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FS\Elviz\Elviz\Development\QA\Regression\Bin\Verification\"/>
    </mc:Choice>
  </mc:AlternateContent>
  <bookViews>
    <workbookView xWindow="240" yWindow="105" windowWidth="19320" windowHeight="9030"/>
  </bookViews>
  <sheets>
    <sheet name="PosMon-EUR-MtM-ClosePrice" sheetId="34" r:id="rId1"/>
  </sheets>
  <functionGroups builtInGroupCount="18"/>
  <calcPr calcId="152511"/>
</workbook>
</file>

<file path=xl/calcChain.xml><?xml version="1.0" encoding="utf-8"?>
<calcChain xmlns="http://schemas.openxmlformats.org/spreadsheetml/2006/main">
  <c r="AH14" i="34" l="1"/>
  <c r="AH15" i="34"/>
  <c r="AH16" i="34"/>
  <c r="AH17" i="34"/>
  <c r="AH18" i="34"/>
  <c r="AH19" i="34"/>
  <c r="AH20" i="34"/>
  <c r="AH21" i="34"/>
  <c r="AH22" i="34"/>
  <c r="AH23" i="34"/>
  <c r="AH24" i="34"/>
  <c r="AH25" i="34"/>
  <c r="AH26" i="34"/>
  <c r="AH13" i="34"/>
  <c r="AL25" i="34"/>
  <c r="AM25" i="34"/>
  <c r="AO25" i="34" s="1"/>
  <c r="AY25" i="34" s="1"/>
  <c r="AZ25" i="34" s="1"/>
  <c r="AR25" i="34"/>
  <c r="AL26" i="34"/>
  <c r="AM26" i="34"/>
  <c r="AO26" i="34" s="1"/>
  <c r="AR26" i="34"/>
  <c r="AK25" i="34"/>
  <c r="AK26" i="34"/>
  <c r="BN26" i="34"/>
  <c r="AT26" i="34"/>
  <c r="BM25" i="34"/>
  <c r="AP26" i="34"/>
  <c r="AN25" i="34"/>
  <c r="AS26" i="34"/>
  <c r="BJ25" i="34"/>
  <c r="AW26" i="34"/>
  <c r="AQ26" i="34"/>
  <c r="BL25" i="34"/>
  <c r="AV25" i="34"/>
  <c r="AT25" i="34"/>
  <c r="BJ26" i="34"/>
  <c r="AU25" i="34"/>
  <c r="AQ25" i="34"/>
  <c r="AN26" i="34"/>
  <c r="AS25" i="34"/>
  <c r="BN25" i="34"/>
  <c r="AU26" i="34"/>
  <c r="BW26" i="34"/>
  <c r="AW25" i="34"/>
  <c r="AP25" i="34"/>
  <c r="AV26" i="34"/>
  <c r="BY26" i="34" s="1"/>
  <c r="AT15" i="34"/>
  <c r="AT14" i="34"/>
  <c r="AT16" i="34"/>
  <c r="AU17" i="34"/>
  <c r="AT17" i="34"/>
  <c r="AU14" i="34"/>
  <c r="AT13" i="34"/>
  <c r="AU15" i="34"/>
  <c r="AU16" i="34"/>
  <c r="AU13" i="34"/>
  <c r="AX25" i="34" l="1"/>
  <c r="AX26" i="34"/>
  <c r="BE26" i="34" s="1"/>
  <c r="AY26" i="34"/>
  <c r="BH25" i="34"/>
  <c r="BH26" i="34"/>
  <c r="BC25" i="34"/>
  <c r="BF25" i="34"/>
  <c r="AM14" i="34"/>
  <c r="AO14" i="34" s="1"/>
  <c r="AM15" i="34"/>
  <c r="AO15" i="34" s="1"/>
  <c r="AM16" i="34"/>
  <c r="AO16" i="34" s="1"/>
  <c r="AM17" i="34"/>
  <c r="AO17" i="34" s="1"/>
  <c r="AM18" i="34"/>
  <c r="AO18" i="34" s="1"/>
  <c r="AM19" i="34"/>
  <c r="AO19" i="34" s="1"/>
  <c r="AM20" i="34"/>
  <c r="AO20" i="34" s="1"/>
  <c r="AM21" i="34"/>
  <c r="AO21" i="34" s="1"/>
  <c r="AM22" i="34"/>
  <c r="AO22" i="34" s="1"/>
  <c r="AM23" i="34"/>
  <c r="AO23" i="34" s="1"/>
  <c r="AM24" i="34"/>
  <c r="AO24" i="34" s="1"/>
  <c r="AM13" i="34"/>
  <c r="AO13" i="34" s="1"/>
  <c r="AR24" i="34"/>
  <c r="AL24" i="34"/>
  <c r="AK24" i="34"/>
  <c r="AR23" i="34"/>
  <c r="AL23" i="34"/>
  <c r="AK23" i="34"/>
  <c r="AR22" i="34"/>
  <c r="AL22" i="34"/>
  <c r="AK22" i="34"/>
  <c r="AR21" i="34"/>
  <c r="AL21" i="34"/>
  <c r="AK21" i="34"/>
  <c r="AR20" i="34"/>
  <c r="AL20" i="34"/>
  <c r="AK20" i="34"/>
  <c r="AR19" i="34"/>
  <c r="AL19" i="34"/>
  <c r="AK19" i="34"/>
  <c r="AL18" i="34"/>
  <c r="AK18" i="34"/>
  <c r="AL17" i="34"/>
  <c r="AK17" i="34"/>
  <c r="AR16" i="34"/>
  <c r="AL16" i="34"/>
  <c r="AK16" i="34"/>
  <c r="AR15" i="34"/>
  <c r="AX15" i="34" s="1"/>
  <c r="AL15" i="34"/>
  <c r="AK15" i="34"/>
  <c r="AR14" i="34"/>
  <c r="AL14" i="34"/>
  <c r="AK14" i="34"/>
  <c r="AR13" i="34"/>
  <c r="AL13" i="34"/>
  <c r="AK13" i="34"/>
  <c r="AW16" i="34"/>
  <c r="AV16" i="34"/>
  <c r="AS16" i="34"/>
  <c r="AS13" i="34"/>
  <c r="AW13" i="34"/>
  <c r="AV13" i="34"/>
  <c r="AW15" i="34"/>
  <c r="AS15" i="34"/>
  <c r="AV15" i="34"/>
  <c r="AS14" i="34"/>
  <c r="AW14" i="34"/>
  <c r="AV14" i="34"/>
  <c r="AW17" i="34"/>
  <c r="AS17" i="34"/>
  <c r="AV17" i="34"/>
  <c r="BK25" i="34"/>
  <c r="BW25" i="34"/>
  <c r="AP23" i="34"/>
  <c r="BJ17" i="34"/>
  <c r="BN20" i="34"/>
  <c r="AQ20" i="34"/>
  <c r="BJ14" i="34"/>
  <c r="AW24" i="34"/>
  <c r="AS19" i="34"/>
  <c r="AN18" i="34"/>
  <c r="BL26" i="34"/>
  <c r="BJ23" i="34"/>
  <c r="BN23" i="34"/>
  <c r="AT21" i="34"/>
  <c r="BX26" i="34"/>
  <c r="BX25" i="34"/>
  <c r="BU25" i="34"/>
  <c r="AQ23" i="34"/>
  <c r="AW19" i="34"/>
  <c r="BI25" i="34"/>
  <c r="BJ19" i="34"/>
  <c r="BP25" i="34"/>
  <c r="AP18" i="34"/>
  <c r="BJ22" i="34"/>
  <c r="AW20" i="34"/>
  <c r="BN17" i="34"/>
  <c r="AN19" i="34"/>
  <c r="BV26" i="34"/>
  <c r="AQ18" i="34"/>
  <c r="AU18" i="34"/>
  <c r="BJ21" i="34"/>
  <c r="AS22" i="34"/>
  <c r="BJ16" i="34"/>
  <c r="AP19" i="34"/>
  <c r="BS25" i="34"/>
  <c r="AW18" i="34"/>
  <c r="AU19" i="34"/>
  <c r="AQ22" i="34"/>
  <c r="BN22" i="34"/>
  <c r="AW23" i="34"/>
  <c r="BJ15" i="34"/>
  <c r="AP20" i="34"/>
  <c r="AQ24" i="34"/>
  <c r="BJ18" i="34"/>
  <c r="AN20" i="34"/>
  <c r="AT20" i="34"/>
  <c r="BN19" i="34"/>
  <c r="AV23" i="34"/>
  <c r="AW22" i="34"/>
  <c r="AT22" i="34"/>
  <c r="AV19" i="34"/>
  <c r="AN23" i="34"/>
  <c r="BK26" i="34"/>
  <c r="AT24" i="34"/>
  <c r="AN24" i="34"/>
  <c r="AT18" i="34"/>
  <c r="BV25" i="34"/>
  <c r="AU21" i="34"/>
  <c r="AW21" i="34"/>
  <c r="BX21" i="34"/>
  <c r="AN21" i="34"/>
  <c r="BN24" i="34"/>
  <c r="AT19" i="34"/>
  <c r="AS21" i="34"/>
  <c r="AQ21" i="34"/>
  <c r="AP24" i="34"/>
  <c r="BJ24" i="34"/>
  <c r="AV20" i="34"/>
  <c r="BJ13" i="34"/>
  <c r="AU24" i="34"/>
  <c r="BN14" i="34"/>
  <c r="AV18" i="34"/>
  <c r="BN16" i="34"/>
  <c r="AP22" i="34"/>
  <c r="AT23" i="34"/>
  <c r="BK15" i="34"/>
  <c r="AQ19" i="34"/>
  <c r="BN13" i="34"/>
  <c r="AV21" i="34"/>
  <c r="AS24" i="34"/>
  <c r="BU24" i="34" s="1"/>
  <c r="BN15" i="34"/>
  <c r="AP21" i="34"/>
  <c r="BY25" i="34"/>
  <c r="AU23" i="34"/>
  <c r="BN18" i="34"/>
  <c r="BJ20" i="34"/>
  <c r="AN22" i="34"/>
  <c r="AU20" i="34"/>
  <c r="BR26" i="34"/>
  <c r="AS18" i="34"/>
  <c r="AS20" i="34"/>
  <c r="BU26" i="34"/>
  <c r="BN21" i="34"/>
  <c r="AS23" i="34"/>
  <c r="BI26" i="34"/>
  <c r="AV24" i="34"/>
  <c r="AV22" i="34"/>
  <c r="AU22" i="34"/>
  <c r="AN14" i="34"/>
  <c r="AN15" i="34"/>
  <c r="BU13" i="34"/>
  <c r="AQ14" i="34"/>
  <c r="AQ16" i="34"/>
  <c r="AQ13" i="34"/>
  <c r="AQ17" i="34"/>
  <c r="AN17" i="34"/>
  <c r="BI17" i="34" s="1"/>
  <c r="BY13" i="34"/>
  <c r="AN16" i="34"/>
  <c r="BU14" i="34"/>
  <c r="AP14" i="34"/>
  <c r="AN13" i="34"/>
  <c r="BI13" i="34" s="1"/>
  <c r="AQ15" i="34"/>
  <c r="BB25" i="34" l="1"/>
  <c r="BE25" i="34"/>
  <c r="BB26" i="34"/>
  <c r="AZ26" i="34"/>
  <c r="AX18" i="34"/>
  <c r="BB18" i="34" s="1"/>
  <c r="BD25" i="34"/>
  <c r="AX13" i="34"/>
  <c r="BB13" i="34" s="1"/>
  <c r="AX20" i="34"/>
  <c r="AX23" i="34"/>
  <c r="BB23" i="34" s="1"/>
  <c r="AX17" i="34"/>
  <c r="AX14" i="34"/>
  <c r="BE14" i="34" s="1"/>
  <c r="AX19" i="34"/>
  <c r="BE19" i="34" s="1"/>
  <c r="BB15" i="34"/>
  <c r="AX22" i="34"/>
  <c r="BE22" i="34" s="1"/>
  <c r="AX24" i="34"/>
  <c r="AX16" i="34"/>
  <c r="BE16" i="34" s="1"/>
  <c r="AX21" i="34"/>
  <c r="BE21" i="34" s="1"/>
  <c r="BH23" i="34"/>
  <c r="AY13" i="34"/>
  <c r="BH15" i="34"/>
  <c r="AY20" i="34"/>
  <c r="BH21" i="34"/>
  <c r="BH14" i="34"/>
  <c r="AY19" i="34"/>
  <c r="BH16" i="34"/>
  <c r="BH13" i="34"/>
  <c r="AY18" i="34"/>
  <c r="BH20" i="34"/>
  <c r="AY15" i="34"/>
  <c r="BH19" i="34"/>
  <c r="AY24" i="34"/>
  <c r="AY14" i="34"/>
  <c r="BH22" i="34"/>
  <c r="AY17" i="34"/>
  <c r="BH18" i="34"/>
  <c r="AY23" i="34"/>
  <c r="BH17" i="34"/>
  <c r="AY21" i="34"/>
  <c r="AY16" i="34"/>
  <c r="AY22" i="34"/>
  <c r="BH24" i="34"/>
  <c r="BE15" i="34"/>
  <c r="BE24" i="34"/>
  <c r="BB20" i="34"/>
  <c r="BO25" i="34"/>
  <c r="BR25" i="34"/>
  <c r="BV20" i="34"/>
  <c r="BU18" i="34"/>
  <c r="BV24" i="34"/>
  <c r="BW21" i="34"/>
  <c r="BK13" i="34"/>
  <c r="BX20" i="34"/>
  <c r="BL23" i="34"/>
  <c r="BW23" i="34"/>
  <c r="BK19" i="34"/>
  <c r="BK21" i="34"/>
  <c r="BU21" i="34"/>
  <c r="BL17" i="34"/>
  <c r="BY18" i="34"/>
  <c r="BL14" i="34"/>
  <c r="BW18" i="34"/>
  <c r="BY21" i="34"/>
  <c r="BU19" i="34"/>
  <c r="BR22" i="34"/>
  <c r="BV18" i="34"/>
  <c r="BR19" i="34"/>
  <c r="BK16" i="34"/>
  <c r="BY22" i="34"/>
  <c r="BL18" i="34"/>
  <c r="BV22" i="34"/>
  <c r="BI23" i="34"/>
  <c r="BO26" i="34"/>
  <c r="BL21" i="34"/>
  <c r="BX24" i="34"/>
  <c r="BK22" i="34"/>
  <c r="BK20" i="34"/>
  <c r="BR15" i="34"/>
  <c r="BX23" i="34"/>
  <c r="BV19" i="34"/>
  <c r="BO13" i="34"/>
  <c r="BX18" i="34"/>
  <c r="BR14" i="34"/>
  <c r="BL19" i="34"/>
  <c r="BU22" i="34"/>
  <c r="BW22" i="34"/>
  <c r="BY20" i="34"/>
  <c r="BK18" i="34"/>
  <c r="BM26" i="34"/>
  <c r="BI20" i="34"/>
  <c r="BU20" i="34"/>
  <c r="BI22" i="34"/>
  <c r="BL20" i="34"/>
  <c r="BK24" i="34"/>
  <c r="BR21" i="34"/>
  <c r="BR16" i="34"/>
  <c r="BX19" i="34"/>
  <c r="BX22" i="34"/>
  <c r="BU23" i="34"/>
  <c r="BO18" i="34"/>
  <c r="BW19" i="34"/>
  <c r="BY19" i="34"/>
  <c r="BK23" i="34"/>
  <c r="BO23" i="34"/>
  <c r="BI19" i="34"/>
  <c r="BO15" i="34"/>
  <c r="BW20" i="34"/>
  <c r="BW24" i="34"/>
  <c r="BY23" i="34"/>
  <c r="BK14" i="34"/>
  <c r="BY24" i="34"/>
  <c r="BL13" i="34"/>
  <c r="BI21" i="34"/>
  <c r="BL16" i="34"/>
  <c r="BR24" i="34"/>
  <c r="BI24" i="34"/>
  <c r="BO20" i="34"/>
  <c r="BV23" i="34"/>
  <c r="BK17" i="34"/>
  <c r="BI18" i="34"/>
  <c r="BV21" i="34"/>
  <c r="BL22" i="34"/>
  <c r="BL15" i="34"/>
  <c r="BL24" i="34"/>
  <c r="BQ25" i="34"/>
  <c r="AP16" i="34"/>
  <c r="BW16" i="34"/>
  <c r="BV15" i="34"/>
  <c r="BX14" i="34"/>
  <c r="BI14" i="34"/>
  <c r="BY17" i="34"/>
  <c r="BU15" i="34"/>
  <c r="BW17" i="34"/>
  <c r="BW14" i="34"/>
  <c r="BX16" i="34"/>
  <c r="BV14" i="34"/>
  <c r="BV13" i="34"/>
  <c r="AP17" i="34"/>
  <c r="BV16" i="34"/>
  <c r="BU16" i="34"/>
  <c r="BV17" i="34"/>
  <c r="BY16" i="34"/>
  <c r="AP15" i="34"/>
  <c r="BX17" i="34"/>
  <c r="BW15" i="34"/>
  <c r="BX13" i="34"/>
  <c r="BY15" i="34"/>
  <c r="BI15" i="34"/>
  <c r="BX15" i="34"/>
  <c r="BU17" i="34"/>
  <c r="BI16" i="34"/>
  <c r="BW13" i="34"/>
  <c r="AP13" i="34"/>
  <c r="BY14" i="34"/>
  <c r="BG25" i="34" l="1"/>
  <c r="BE23" i="34"/>
  <c r="BE18" i="34"/>
  <c r="BB19" i="34"/>
  <c r="BC26" i="34"/>
  <c r="BF26" i="34"/>
  <c r="BE13" i="34"/>
  <c r="BE20" i="34"/>
  <c r="BB14" i="34"/>
  <c r="BE17" i="34"/>
  <c r="BB17" i="34"/>
  <c r="BB24" i="34"/>
  <c r="BB22" i="34"/>
  <c r="BB21" i="34"/>
  <c r="BB16" i="34"/>
  <c r="AZ19" i="34"/>
  <c r="AZ22" i="34"/>
  <c r="AZ16" i="34"/>
  <c r="AZ24" i="34"/>
  <c r="AZ14" i="34"/>
  <c r="AZ21" i="34"/>
  <c r="AZ15" i="34"/>
  <c r="AZ20" i="34"/>
  <c r="AZ23" i="34"/>
  <c r="AZ18" i="34"/>
  <c r="AZ13" i="34"/>
  <c r="AZ17" i="34"/>
  <c r="BT25" i="34"/>
  <c r="BR23" i="34"/>
  <c r="BM20" i="34"/>
  <c r="BM24" i="34"/>
  <c r="BR17" i="34"/>
  <c r="BM14" i="34"/>
  <c r="BO19" i="34"/>
  <c r="BR18" i="34"/>
  <c r="BM23" i="34"/>
  <c r="BR13" i="34"/>
  <c r="BM18" i="34"/>
  <c r="BM15" i="34"/>
  <c r="BO21" i="34"/>
  <c r="BM16" i="34"/>
  <c r="BM13" i="34"/>
  <c r="BO22" i="34"/>
  <c r="BR20" i="34"/>
  <c r="BM22" i="34"/>
  <c r="BM19" i="34"/>
  <c r="BM21" i="34"/>
  <c r="BO17" i="34"/>
  <c r="BO14" i="34"/>
  <c r="BO24" i="34"/>
  <c r="BO16" i="34"/>
  <c r="BS26" i="34"/>
  <c r="BP26" i="34"/>
  <c r="BM17" i="34"/>
  <c r="BG26" i="34" l="1"/>
  <c r="BD26" i="34"/>
  <c r="BC13" i="34"/>
  <c r="BF13" i="34"/>
  <c r="BF15" i="34"/>
  <c r="BC15" i="34"/>
  <c r="BF16" i="34"/>
  <c r="BC16" i="34"/>
  <c r="BC18" i="34"/>
  <c r="BF18" i="34"/>
  <c r="BF22" i="34"/>
  <c r="BC22" i="34"/>
  <c r="BF21" i="34"/>
  <c r="BC21" i="34"/>
  <c r="BC20" i="34"/>
  <c r="BF20" i="34"/>
  <c r="BC19" i="34"/>
  <c r="BF19" i="34"/>
  <c r="BF23" i="34"/>
  <c r="BC23" i="34"/>
  <c r="BC14" i="34"/>
  <c r="BF14" i="34"/>
  <c r="BC17" i="34"/>
  <c r="BF17" i="34"/>
  <c r="BC24" i="34"/>
  <c r="BF24" i="34"/>
  <c r="BP24" i="34"/>
  <c r="BS20" i="34"/>
  <c r="BS21" i="34"/>
  <c r="BS24" i="34"/>
  <c r="BS22" i="34"/>
  <c r="BS23" i="34"/>
  <c r="BS19" i="34"/>
  <c r="BP16" i="34"/>
  <c r="BQ26" i="34"/>
  <c r="BP20" i="34"/>
  <c r="BS13" i="34"/>
  <c r="BP15" i="34"/>
  <c r="BP22" i="34"/>
  <c r="BS17" i="34"/>
  <c r="BP13" i="34"/>
  <c r="BP21" i="34"/>
  <c r="BP17" i="34"/>
  <c r="BS16" i="34"/>
  <c r="BS18" i="34"/>
  <c r="BP18" i="34"/>
  <c r="BP23" i="34"/>
  <c r="BS14" i="34"/>
  <c r="BP14" i="34"/>
  <c r="BS15" i="34"/>
  <c r="BP19" i="34"/>
  <c r="BT26" i="34"/>
  <c r="BD24" i="34" l="1"/>
  <c r="BD18" i="34"/>
  <c r="BG17" i="34"/>
  <c r="BG20" i="34"/>
  <c r="BD16" i="34"/>
  <c r="BD19" i="34"/>
  <c r="BD17" i="34"/>
  <c r="BD20" i="34"/>
  <c r="BG16" i="34"/>
  <c r="BG24" i="34"/>
  <c r="BG19" i="34"/>
  <c r="BG18" i="34"/>
  <c r="BG14" i="34"/>
  <c r="BD21" i="34"/>
  <c r="BD15" i="34"/>
  <c r="BD14" i="34"/>
  <c r="BG21" i="34"/>
  <c r="BG15" i="34"/>
  <c r="BD23" i="34"/>
  <c r="BD22" i="34"/>
  <c r="BG13" i="34"/>
  <c r="BG23" i="34"/>
  <c r="BG22" i="34"/>
  <c r="BD13" i="34"/>
  <c r="BQ21" i="34"/>
  <c r="BQ17" i="34"/>
  <c r="BQ13" i="34"/>
  <c r="BQ20" i="34"/>
  <c r="BQ18" i="34"/>
  <c r="BT14" i="34"/>
  <c r="BT15" i="34"/>
  <c r="BT18" i="34"/>
  <c r="BT13" i="34"/>
  <c r="BQ23" i="34"/>
  <c r="BT23" i="34"/>
  <c r="BT16" i="34"/>
  <c r="BT20" i="34"/>
  <c r="BQ19" i="34"/>
  <c r="BQ22" i="34"/>
  <c r="BT17" i="34"/>
  <c r="BQ14" i="34"/>
  <c r="BT22" i="34"/>
  <c r="BT19" i="34"/>
  <c r="BT21" i="34"/>
  <c r="BQ16" i="34"/>
  <c r="BQ24" i="34"/>
  <c r="BQ15" i="34"/>
  <c r="BT24" i="34"/>
</calcChain>
</file>

<file path=xl/sharedStrings.xml><?xml version="1.0" encoding="utf-8"?>
<sst xmlns="http://schemas.openxmlformats.org/spreadsheetml/2006/main" count="141" uniqueCount="102">
  <si>
    <t>Hours</t>
  </si>
  <si>
    <t>Expiry</t>
  </si>
  <si>
    <t>Strike</t>
  </si>
  <si>
    <t>Active</t>
  </si>
  <si>
    <t>Volat</t>
  </si>
  <si>
    <t>ExpriyRate</t>
  </si>
  <si>
    <t>Theta</t>
  </si>
  <si>
    <t>Rho</t>
  </si>
  <si>
    <t>Expired</t>
  </si>
  <si>
    <t>PriceBasis</t>
  </si>
  <si>
    <t>Instrument</t>
  </si>
  <si>
    <t>FromDate</t>
  </si>
  <si>
    <t>ToDate</t>
  </si>
  <si>
    <t>PosStatus</t>
  </si>
  <si>
    <t>QTY</t>
  </si>
  <si>
    <t>Bkprice</t>
  </si>
  <si>
    <t>Bkvalue</t>
  </si>
  <si>
    <t>Mktprice</t>
  </si>
  <si>
    <t>Prod</t>
  </si>
  <si>
    <t>delta</t>
  </si>
  <si>
    <t>Gamma</t>
  </si>
  <si>
    <t>Vega</t>
  </si>
  <si>
    <t>GrossValue</t>
  </si>
  <si>
    <t>MtmValue</t>
  </si>
  <si>
    <t>Trade_PL</t>
  </si>
  <si>
    <t>Real_PL</t>
  </si>
  <si>
    <t>Unreal_PL</t>
  </si>
  <si>
    <t>Net_PL</t>
  </si>
  <si>
    <t>CFstoDate</t>
  </si>
  <si>
    <t>FwdCFs</t>
  </si>
  <si>
    <t>NetCfs</t>
  </si>
  <si>
    <t>PriceCalc</t>
  </si>
  <si>
    <t>PutCall</t>
  </si>
  <si>
    <t>UndrelyingPrice</t>
  </si>
  <si>
    <t>CalcDelta</t>
  </si>
  <si>
    <t>CalcGamma</t>
  </si>
  <si>
    <t>CalcVega</t>
  </si>
  <si>
    <t>CalcTheta</t>
  </si>
  <si>
    <t>CalcRho</t>
  </si>
  <si>
    <t>CalcBookValue</t>
  </si>
  <si>
    <t>CalcGrossValue</t>
  </si>
  <si>
    <t>CalcMtM</t>
  </si>
  <si>
    <t>Calc TradePL</t>
  </si>
  <si>
    <t>CalcRealizedPL</t>
  </si>
  <si>
    <t>CalcUnrealizedPL</t>
  </si>
  <si>
    <t>CalcNetPL</t>
  </si>
  <si>
    <t>CalcCFToDate</t>
  </si>
  <si>
    <t>CalcFwdCF</t>
  </si>
  <si>
    <t>CalcNetCF</t>
  </si>
  <si>
    <t>ErrorBookValue</t>
  </si>
  <si>
    <t>ErrorGrossValue</t>
  </si>
  <si>
    <t>ErrorMtM</t>
  </si>
  <si>
    <t>ErrorRealizedPL</t>
  </si>
  <si>
    <t>ErrorUnrealizedPL</t>
  </si>
  <si>
    <t>ErrorNetPL</t>
  </si>
  <si>
    <t>ErrorCFToDate</t>
  </si>
  <si>
    <t>ErrorFwdCF</t>
  </si>
  <si>
    <t>ErrorNetCF</t>
  </si>
  <si>
    <t>ErrorBookPrice</t>
  </si>
  <si>
    <t>ErrorTradePL</t>
  </si>
  <si>
    <t>ErrorGamma1</t>
  </si>
  <si>
    <t>ErrorRho</t>
  </si>
  <si>
    <t>ErrorTheta</t>
  </si>
  <si>
    <t>Query</t>
  </si>
  <si>
    <t>Elviz other input</t>
  </si>
  <si>
    <t>Effective Rd</t>
  </si>
  <si>
    <t>Calculated</t>
  </si>
  <si>
    <t>Errors</t>
  </si>
  <si>
    <t>Elviz output</t>
  </si>
  <si>
    <t>FX</t>
  </si>
  <si>
    <t>Total Q</t>
  </si>
  <si>
    <t>Scaling</t>
  </si>
  <si>
    <t>OrgBookPrice</t>
  </si>
  <si>
    <t>ErrorDelta</t>
  </si>
  <si>
    <t>ErrorVega</t>
  </si>
  <si>
    <t>CalcBookPrice</t>
  </si>
  <si>
    <t>FX Forw</t>
  </si>
  <si>
    <t>PriceOrgCurrency</t>
  </si>
  <si>
    <t>CalcExposure</t>
  </si>
  <si>
    <t>ImpVol</t>
  </si>
  <si>
    <t>VolatilityError</t>
  </si>
  <si>
    <t>PriceCalImpVol</t>
  </si>
  <si>
    <t>PriceCalcElvizVOl</t>
  </si>
  <si>
    <t>Coal API #2</t>
  </si>
  <si>
    <t>Coal API #2-Other Period</t>
  </si>
  <si>
    <t>EURC Mar12 31-JAN-12 130.00</t>
  </si>
  <si>
    <t>EURP Mar12 31-JAN-12 130.00</t>
  </si>
  <si>
    <t>EURC Mar12 31-JAN-12 80.00</t>
  </si>
  <si>
    <t>EURP Mar12 31-JAN-12 80.00</t>
  </si>
  <si>
    <t>EURC Jun12 02-MAY-12 130.00</t>
  </si>
  <si>
    <t>EURC May11 01-APR-11 130.00</t>
  </si>
  <si>
    <t>EURC Sep11 02-AUG-11 130.00</t>
  </si>
  <si>
    <t>EURP Sep11 02-AUG-11 130.00</t>
  </si>
  <si>
    <t>EURC Sep11 02-AUG-11 80.00</t>
  </si>
  <si>
    <t>EURP Sep11 02-AUG-11 80.00</t>
  </si>
  <si>
    <t>EURC Nov11 30-SEP-11 130.00</t>
  </si>
  <si>
    <t>EURP Nov11 30-SEP-11 130.00</t>
  </si>
  <si>
    <t>EURC Nov11 30-SEP-11 80.00</t>
  </si>
  <si>
    <t>EURP Nov11 30-SEP-11 80.00</t>
  </si>
  <si>
    <t>Verification is calculated againt Elviz Vol and not Verification Vol since vol is from numerical methods. No deviation expected, unless the Greeks is a very very small number</t>
  </si>
  <si>
    <t>Since numerical method, deviation errors expected</t>
  </si>
  <si>
    <t xml:space="preserve">   DECLARE @workspace varchar(255)
   DECLARE @reportDate Date
   set @workspace='Coal-EU-ICE-USD-Posmon-USD-Mtm'
   set @reportDate='2011-11-01'
   SELECT 
      [PriceBasis]
    ,pricebasis+'-'+Period as Prod
      ,[Instrument]
      ,[FromDate]
      ,[ToDate]
   ,Expiry
      ,Strike
      ,[PosStatus]
      ,[QTY]
      ,[Hours]
       ,[Bkprice]
      ,[Bkvalue]
      ,[Mktprice]
      ,delta
      ,Gamma
      ,Vega
      ,Theta
      ,Rho
      ,Volat
      ,GrossValue
      ,[MtmValue]
      ,[Trade_PL]
      ,[Real_PL]
      ,[Unreal_PL]
      ,[Net_PL]
      ,[CFstoDate]
      ,[FwdCFs]
      ,[NetCfs]
      --,[Expiry]
      --,[Strike]
      --,[Gamma]
      --,[Theta]
      --,[Vega]
      --,[Rho]
      --,[Delta]
      --,[Uprice]
      --,[Volat]
     FROM [VizPosMonData]
     WHERE ReportID=(
        SELECT [ReportID]
        FROM [VizPosMonReports]
        WHERE [ReportDate]=@reportDate
        AND [Workspace]=@workspace
        AND [MonitorTitle]=@workspace
         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</si>
</sst>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-* #,##0_-;\-* #,##0_-;_-* &quot;-&quot;??_-;_-@_-"/>
    <numFmt numFmtId="165" formatCode="0.0000000"/>
    <numFmt numFmtId="166" formatCode="0.0%"/>
    <numFmt numFmtId="167" formatCode="0.000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6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4" applyNumberFormat="0" applyAlignment="0" applyProtection="0"/>
    <xf numFmtId="0" fontId="12" fillId="10" borderId="5" applyNumberFormat="0" applyAlignment="0" applyProtection="0"/>
    <xf numFmtId="0" fontId="13" fillId="10" borderId="4" applyNumberFormat="0" applyAlignment="0" applyProtection="0"/>
    <xf numFmtId="0" fontId="14" fillId="0" borderId="6" applyNumberFormat="0" applyFill="0" applyAlignment="0" applyProtection="0"/>
    <xf numFmtId="0" fontId="15" fillId="11" borderId="7" applyNumberFormat="0" applyAlignment="0" applyProtection="0"/>
    <xf numFmtId="0" fontId="16" fillId="0" borderId="0" applyNumberFormat="0" applyFill="0" applyBorder="0" applyAlignment="0" applyProtection="0"/>
    <xf numFmtId="0" fontId="2" fillId="12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8" fillId="36" borderId="0" applyNumberFormat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8">
    <xf numFmtId="0" fontId="0" fillId="0" borderId="0" xfId="0"/>
    <xf numFmtId="0" fontId="0" fillId="3" borderId="0" xfId="0" applyNumberFormat="1" applyFill="1"/>
    <xf numFmtId="0" fontId="0" fillId="3" borderId="0" xfId="0" applyFill="1"/>
    <xf numFmtId="0" fontId="0" fillId="4" borderId="0" xfId="0" applyNumberFormat="1" applyFill="1"/>
    <xf numFmtId="0" fontId="0" fillId="4" borderId="0" xfId="0" applyFill="1"/>
    <xf numFmtId="0" fontId="0" fillId="2" borderId="0" xfId="0" applyFill="1"/>
    <xf numFmtId="49" fontId="1" fillId="5" borderId="0" xfId="0" applyNumberFormat="1" applyFont="1" applyFill="1"/>
    <xf numFmtId="0" fontId="0" fillId="5" borderId="0" xfId="0" applyFill="1"/>
    <xf numFmtId="0" fontId="0" fillId="3" borderId="0" xfId="0" applyNumberFormat="1" applyFont="1" applyFill="1"/>
    <xf numFmtId="0" fontId="0" fillId="5" borderId="0" xfId="0" applyNumberFormat="1" applyFont="1" applyFill="1"/>
    <xf numFmtId="0" fontId="0" fillId="5" borderId="0" xfId="0" applyNumberFormat="1" applyFill="1"/>
    <xf numFmtId="0" fontId="1" fillId="3" borderId="0" xfId="0" applyFont="1" applyFill="1"/>
    <xf numFmtId="0" fontId="1" fillId="4" borderId="0" xfId="0" applyFont="1" applyFill="1"/>
    <xf numFmtId="0" fontId="0" fillId="0" borderId="0" xfId="0" applyAlignment="1">
      <alignment wrapText="1"/>
    </xf>
    <xf numFmtId="17" fontId="0" fillId="0" borderId="0" xfId="0" applyNumberFormat="1"/>
    <xf numFmtId="0" fontId="4" fillId="2" borderId="0" xfId="4" applyNumberFormat="1" applyFont="1" applyFill="1"/>
    <xf numFmtId="11" fontId="4" fillId="2" borderId="0" xfId="4" applyNumberFormat="1" applyFont="1" applyFill="1"/>
    <xf numFmtId="0" fontId="4" fillId="2" borderId="0" xfId="4" applyFont="1" applyFill="1"/>
    <xf numFmtId="164" fontId="4" fillId="2" borderId="0" xfId="4" applyNumberFormat="1" applyFont="1" applyFill="1"/>
    <xf numFmtId="0" fontId="4" fillId="2" borderId="0" xfId="0" applyFont="1" applyFill="1"/>
    <xf numFmtId="0" fontId="0" fillId="0" borderId="0" xfId="0" applyFill="1"/>
    <xf numFmtId="2" fontId="0" fillId="3" borderId="0" xfId="0" applyNumberFormat="1" applyFill="1"/>
    <xf numFmtId="0" fontId="0" fillId="0" borderId="0" xfId="0" applyNumberFormat="1"/>
    <xf numFmtId="14" fontId="0" fillId="0" borderId="0" xfId="0" applyNumberFormat="1"/>
    <xf numFmtId="43" fontId="0" fillId="3" borderId="0" xfId="1" applyFont="1" applyFill="1"/>
    <xf numFmtId="0" fontId="0" fillId="0" borderId="0" xfId="0"/>
    <xf numFmtId="165" fontId="0" fillId="3" borderId="0" xfId="0" applyNumberFormat="1" applyFill="1"/>
    <xf numFmtId="10" fontId="1" fillId="4" borderId="0" xfId="46" applyNumberFormat="1" applyFont="1" applyFill="1"/>
    <xf numFmtId="166" fontId="0" fillId="3" borderId="0" xfId="46" applyNumberFormat="1" applyFont="1" applyFill="1"/>
    <xf numFmtId="167" fontId="0" fillId="3" borderId="0" xfId="0" applyNumberFormat="1" applyFill="1"/>
    <xf numFmtId="0" fontId="9" fillId="7" borderId="0" xfId="10"/>
    <xf numFmtId="0" fontId="9" fillId="7" borderId="0" xfId="10" applyNumberFormat="1"/>
    <xf numFmtId="17" fontId="9" fillId="7" borderId="0" xfId="10" applyNumberFormat="1"/>
    <xf numFmtId="2" fontId="9" fillId="7" borderId="0" xfId="10" applyNumberFormat="1"/>
    <xf numFmtId="14" fontId="4" fillId="2" borderId="0" xfId="4" applyNumberFormat="1" applyFont="1" applyFill="1"/>
    <xf numFmtId="0" fontId="0" fillId="0" borderId="0" xfId="0" applyAlignment="1">
      <alignment horizontal="center" wrapText="1"/>
    </xf>
    <xf numFmtId="47" fontId="4" fillId="2" borderId="0" xfId="4" applyNumberFormat="1" applyFont="1" applyFill="1"/>
    <xf numFmtId="47" fontId="4" fillId="2" borderId="0" xfId="0" applyNumberFormat="1" applyFont="1" applyFill="1"/>
  </cellXfs>
  <cellStyles count="47">
    <cellStyle name="20 % - uthevingsfarge 1" xfId="22" builtinId="30" customBuiltin="1"/>
    <cellStyle name="20 % - uthevingsfarge 2" xfId="26" builtinId="34" customBuiltin="1"/>
    <cellStyle name="20 % - uthevingsfarge 3" xfId="30" builtinId="38" customBuiltin="1"/>
    <cellStyle name="20 % - uthevingsfarge 4" xfId="34" builtinId="42" customBuiltin="1"/>
    <cellStyle name="20 % - uthevingsfarge 5" xfId="38" builtinId="46" customBuiltin="1"/>
    <cellStyle name="20 % - uthevingsfarge 6" xfId="42" builtinId="50" customBuiltin="1"/>
    <cellStyle name="40 % - uthevingsfarge 1" xfId="23" builtinId="31" customBuiltin="1"/>
    <cellStyle name="40 % - uthevingsfarge 2" xfId="27" builtinId="35" customBuiltin="1"/>
    <cellStyle name="40 % - uthevingsfarge 3" xfId="31" builtinId="39" customBuiltin="1"/>
    <cellStyle name="40 % - uthevingsfarge 4" xfId="35" builtinId="43" customBuiltin="1"/>
    <cellStyle name="40 % - uthevingsfarge 5" xfId="39" builtinId="47" customBuiltin="1"/>
    <cellStyle name="40 % - uthevingsfarge 6" xfId="43" builtinId="51" customBuiltin="1"/>
    <cellStyle name="60 % - uthevingsfarge 1" xfId="24" builtinId="32" customBuiltin="1"/>
    <cellStyle name="60 % - uthevingsfarge 2" xfId="28" builtinId="36" customBuiltin="1"/>
    <cellStyle name="60 % - uthevingsfarge 3" xfId="32" builtinId="40" customBuiltin="1"/>
    <cellStyle name="60 % - uthevingsfarge 4" xfId="36" builtinId="44" customBuiltin="1"/>
    <cellStyle name="60 % - uthevingsfarge 5" xfId="40" builtinId="48" customBuiltin="1"/>
    <cellStyle name="60 % - uthevingsfarge 6" xfId="44" builtinId="52" customBuiltin="1"/>
    <cellStyle name="Beregning" xfId="14" builtinId="22" customBuiltin="1"/>
    <cellStyle name="Comma 2" xfId="2"/>
    <cellStyle name="Comma 3" xfId="3"/>
    <cellStyle name="Comma 4" xfId="45"/>
    <cellStyle name="Dårlig" xfId="11" builtinId="27" customBuiltin="1"/>
    <cellStyle name="Forklarende tekst" xfId="19" builtinId="53" customBuiltin="1"/>
    <cellStyle name="God" xfId="10" builtinId="26" customBuiltin="1"/>
    <cellStyle name="Inndata" xfId="12" builtinId="20" customBuiltin="1"/>
    <cellStyle name="Koblet celle" xfId="15" builtinId="24" customBuiltin="1"/>
    <cellStyle name="Komma" xfId="1" builtinId="3"/>
    <cellStyle name="Kontrollcelle" xfId="16" builtinId="23" customBuiltin="1"/>
    <cellStyle name="Merknad" xfId="18" builtinId="10" customBuiltin="1"/>
    <cellStyle name="Normal" xfId="0" builtinId="0"/>
    <cellStyle name="Nøytral" xfId="4" builtinId="28" customBuiltin="1"/>
    <cellStyle name="Overskrift 1" xfId="6" builtinId="16" customBuiltin="1"/>
    <cellStyle name="Overskrift 2" xfId="7" builtinId="17" customBuiltin="1"/>
    <cellStyle name="Overskrift 3" xfId="8" builtinId="18" customBuiltin="1"/>
    <cellStyle name="Overskrift 4" xfId="9" builtinId="19" customBuiltin="1"/>
    <cellStyle name="Prosent" xfId="46" builtinId="5"/>
    <cellStyle name="Tittel" xfId="5" builtinId="15" customBuiltin="1"/>
    <cellStyle name="Totalt" xfId="20" builtinId="25" customBuiltin="1"/>
    <cellStyle name="Utdata" xfId="13" builtinId="21" customBuiltin="1"/>
    <cellStyle name="Uthevingsfarge1" xfId="21" builtinId="29" customBuiltin="1"/>
    <cellStyle name="Uthevingsfarge2" xfId="25" builtinId="33" customBuiltin="1"/>
    <cellStyle name="Uthevingsfarge3" xfId="29" builtinId="37" customBuiltin="1"/>
    <cellStyle name="Uthevingsfarge4" xfId="33" builtinId="41" customBuiltin="1"/>
    <cellStyle name="Uthevingsfarge5" xfId="37" builtinId="45" customBuiltin="1"/>
    <cellStyle name="Uthevingsfarge6" xfId="41" builtinId="49" customBuiltin="1"/>
    <cellStyle name="Varseltekst" xfId="17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B2:CE48"/>
  <sheetViews>
    <sheetView tabSelected="1" workbookViewId="0">
      <selection activeCell="E8" sqref="E8"/>
    </sheetView>
  </sheetViews>
  <sheetFormatPr baseColWidth="10" defaultColWidth="11.42578125" defaultRowHeight="15" x14ac:dyDescent="0.25"/>
  <cols>
    <col min="1" max="1" width="11.42578125" style="25"/>
    <col min="2" max="3" width="15.140625" style="25" bestFit="1" customWidth="1"/>
    <col min="4" max="4" width="27.42578125" style="25" bestFit="1" customWidth="1"/>
    <col min="5" max="5" width="11.42578125" style="25"/>
    <col min="6" max="6" width="22.85546875" style="25" customWidth="1"/>
    <col min="7" max="7" width="17.85546875" style="23" customWidth="1"/>
    <col min="8" max="28" width="11.42578125" style="25"/>
    <col min="29" max="30" width="12" style="25" bestFit="1" customWidth="1"/>
    <col min="31" max="31" width="15.140625" style="25" bestFit="1" customWidth="1"/>
    <col min="32" max="32" width="3.140625" style="25" bestFit="1" customWidth="1"/>
    <col min="33" max="33" width="8" style="25" bestFit="1" customWidth="1"/>
    <col min="34" max="34" width="7.28515625" style="25" bestFit="1" customWidth="1"/>
    <col min="35" max="35" width="7.140625" style="25" bestFit="1" customWidth="1"/>
    <col min="36" max="36" width="13" style="25" bestFit="1" customWidth="1"/>
    <col min="37" max="37" width="38.28515625" style="25" bestFit="1" customWidth="1"/>
    <col min="38" max="38" width="11.42578125" style="25"/>
    <col min="39" max="39" width="16.5703125" style="25" bestFit="1" customWidth="1"/>
    <col min="40" max="40" width="16.5703125" style="25" customWidth="1"/>
    <col min="41" max="41" width="11.42578125" style="25"/>
    <col min="42" max="42" width="14.7109375" style="25" bestFit="1" customWidth="1"/>
    <col min="43" max="43" width="14.7109375" style="25" customWidth="1"/>
    <col min="44" max="44" width="13.5703125" style="25" bestFit="1" customWidth="1"/>
    <col min="45" max="47" width="11.42578125" style="25"/>
    <col min="48" max="48" width="12.7109375" style="25" bestFit="1" customWidth="1"/>
    <col min="49" max="49" width="11.42578125" style="25"/>
    <col min="50" max="50" width="16.42578125" style="25" bestFit="1" customWidth="1"/>
    <col min="51" max="59" width="11.42578125" style="25"/>
    <col min="60" max="60" width="13.28515625" style="25" bestFit="1" customWidth="1"/>
    <col min="61" max="61" width="13.5703125" style="25" bestFit="1" customWidth="1"/>
    <col min="62" max="62" width="14.28515625" style="25" bestFit="1" customWidth="1"/>
    <col min="63" max="63" width="15" style="25" bestFit="1" customWidth="1"/>
    <col min="64" max="64" width="12.7109375" style="25" bestFit="1" customWidth="1"/>
    <col min="65" max="65" width="11.42578125" style="25"/>
    <col min="66" max="66" width="13.28515625" style="25" customWidth="1"/>
    <col min="67" max="67" width="11.42578125" style="25"/>
    <col min="68" max="68" width="14.85546875" style="25" bestFit="1" customWidth="1"/>
    <col min="69" max="69" width="17.140625" style="25" bestFit="1" customWidth="1"/>
    <col min="70" max="77" width="11.42578125" style="25"/>
    <col min="78" max="78" width="16.140625" style="25" bestFit="1" customWidth="1"/>
    <col min="79" max="16384" width="11.42578125" style="25"/>
  </cols>
  <sheetData>
    <row r="2" spans="2:83" ht="13.5" customHeight="1" x14ac:dyDescent="0.25">
      <c r="F2" s="23"/>
    </row>
    <row r="3" spans="2:83" x14ac:dyDescent="0.25">
      <c r="D3" s="5" t="s">
        <v>68</v>
      </c>
      <c r="F3" s="23"/>
      <c r="AD3" s="14"/>
      <c r="BZ3" s="30"/>
      <c r="CA3" s="30"/>
      <c r="CB3" s="30"/>
      <c r="CC3" s="30"/>
      <c r="CD3" s="30"/>
    </row>
    <row r="4" spans="2:83" x14ac:dyDescent="0.25">
      <c r="D4" s="7" t="s">
        <v>64</v>
      </c>
      <c r="F4" s="23"/>
      <c r="BZ4" s="30"/>
      <c r="CA4" s="30"/>
      <c r="CB4" s="30"/>
      <c r="CC4" s="30"/>
      <c r="CD4" s="30"/>
    </row>
    <row r="5" spans="2:83" x14ac:dyDescent="0.25">
      <c r="D5" s="2" t="s">
        <v>66</v>
      </c>
      <c r="F5" s="23"/>
      <c r="BZ5" s="30"/>
      <c r="CA5" s="30"/>
      <c r="CB5" s="30"/>
      <c r="CC5" s="30"/>
      <c r="CD5" s="30"/>
    </row>
    <row r="6" spans="2:83" x14ac:dyDescent="0.25">
      <c r="D6" s="4" t="s">
        <v>67</v>
      </c>
      <c r="F6" s="23"/>
      <c r="BZ6" s="30"/>
      <c r="CA6" s="30"/>
      <c r="CB6" s="30"/>
      <c r="CC6" s="30"/>
      <c r="CD6" s="30"/>
    </row>
    <row r="7" spans="2:83" x14ac:dyDescent="0.25">
      <c r="D7" s="20"/>
      <c r="F7" s="23"/>
      <c r="BZ7" s="30"/>
      <c r="CA7" s="30"/>
      <c r="CB7" s="30"/>
      <c r="CC7" s="30"/>
      <c r="CD7" s="30"/>
    </row>
    <row r="8" spans="2:83" ht="93" customHeight="1" x14ac:dyDescent="0.25">
      <c r="D8" s="25" t="s">
        <v>63</v>
      </c>
      <c r="E8" s="13" t="s">
        <v>101</v>
      </c>
      <c r="F8" s="23"/>
      <c r="AD8" s="22"/>
      <c r="BZ8" s="30"/>
      <c r="CA8" s="30"/>
      <c r="CB8" s="30"/>
      <c r="CC8" s="30"/>
      <c r="CD8" s="30"/>
    </row>
    <row r="9" spans="2:83" x14ac:dyDescent="0.25">
      <c r="D9" s="25" t="s">
        <v>65</v>
      </c>
      <c r="E9" s="23">
        <v>40849</v>
      </c>
      <c r="F9" s="23"/>
      <c r="BZ9" s="30"/>
      <c r="CA9" s="30"/>
      <c r="CB9" s="30"/>
      <c r="CC9" s="30"/>
      <c r="CD9" s="30"/>
    </row>
    <row r="10" spans="2:83" x14ac:dyDescent="0.25">
      <c r="D10" s="20"/>
      <c r="F10" s="23"/>
      <c r="BZ10" s="30"/>
      <c r="CA10" s="30"/>
      <c r="CB10" s="30"/>
      <c r="CC10" s="30"/>
      <c r="CD10" s="30"/>
    </row>
    <row r="11" spans="2:83" ht="90" x14ac:dyDescent="0.25">
      <c r="E11" s="23"/>
      <c r="F11" s="23"/>
      <c r="BI11" s="13" t="s">
        <v>100</v>
      </c>
      <c r="BU11" s="35" t="s">
        <v>99</v>
      </c>
      <c r="BV11" s="35"/>
      <c r="BW11" s="35"/>
      <c r="BX11" s="35"/>
      <c r="BY11" s="35"/>
      <c r="BZ11" s="30"/>
      <c r="CA11" s="30"/>
      <c r="CB11" s="30"/>
      <c r="CC11" s="30"/>
      <c r="CD11" s="30"/>
    </row>
    <row r="12" spans="2:83" x14ac:dyDescent="0.25">
      <c r="B12" s="15" t="s">
        <v>9</v>
      </c>
      <c r="C12" s="15" t="s">
        <v>18</v>
      </c>
      <c r="D12" s="15" t="s">
        <v>10</v>
      </c>
      <c r="E12" s="34" t="s">
        <v>11</v>
      </c>
      <c r="F12" s="34" t="s">
        <v>12</v>
      </c>
      <c r="G12" s="34" t="s">
        <v>1</v>
      </c>
      <c r="H12" s="15" t="s">
        <v>2</v>
      </c>
      <c r="I12" s="15" t="s">
        <v>13</v>
      </c>
      <c r="J12" s="15" t="s">
        <v>14</v>
      </c>
      <c r="K12" s="15" t="s">
        <v>0</v>
      </c>
      <c r="L12" s="15" t="s">
        <v>15</v>
      </c>
      <c r="M12" s="15" t="s">
        <v>16</v>
      </c>
      <c r="N12" s="15" t="s">
        <v>17</v>
      </c>
      <c r="O12" s="15" t="s">
        <v>19</v>
      </c>
      <c r="P12" s="15" t="s">
        <v>20</v>
      </c>
      <c r="Q12" s="15" t="s">
        <v>21</v>
      </c>
      <c r="R12" s="15" t="s">
        <v>6</v>
      </c>
      <c r="S12" s="15" t="s">
        <v>7</v>
      </c>
      <c r="T12" s="15" t="s">
        <v>4</v>
      </c>
      <c r="U12" s="15" t="s">
        <v>22</v>
      </c>
      <c r="V12" s="15" t="s">
        <v>23</v>
      </c>
      <c r="W12" s="15" t="s">
        <v>24</v>
      </c>
      <c r="X12" s="15" t="s">
        <v>25</v>
      </c>
      <c r="Y12" s="15" t="s">
        <v>26</v>
      </c>
      <c r="Z12" s="15" t="s">
        <v>27</v>
      </c>
      <c r="AA12" s="15" t="s">
        <v>28</v>
      </c>
      <c r="AB12" s="15" t="s">
        <v>29</v>
      </c>
      <c r="AC12" s="15" t="s">
        <v>30</v>
      </c>
      <c r="AD12" s="6" t="s">
        <v>5</v>
      </c>
      <c r="AE12" s="9" t="s">
        <v>33</v>
      </c>
      <c r="AF12" s="9" t="s">
        <v>69</v>
      </c>
      <c r="AG12" s="9" t="s">
        <v>76</v>
      </c>
      <c r="AH12" s="9" t="s">
        <v>70</v>
      </c>
      <c r="AI12" s="9" t="s">
        <v>71</v>
      </c>
      <c r="AJ12" s="9" t="s">
        <v>72</v>
      </c>
      <c r="AK12" s="9" t="s">
        <v>10</v>
      </c>
      <c r="AL12" s="8" t="s">
        <v>32</v>
      </c>
      <c r="AM12" s="8" t="s">
        <v>77</v>
      </c>
      <c r="AN12" s="8" t="s">
        <v>79</v>
      </c>
      <c r="AO12" s="1" t="s">
        <v>31</v>
      </c>
      <c r="AP12" s="1" t="s">
        <v>81</v>
      </c>
      <c r="AQ12" s="1" t="s">
        <v>82</v>
      </c>
      <c r="AR12" s="1" t="s">
        <v>75</v>
      </c>
      <c r="AS12" s="1" t="s">
        <v>34</v>
      </c>
      <c r="AT12" s="1" t="s">
        <v>35</v>
      </c>
      <c r="AU12" s="1" t="s">
        <v>36</v>
      </c>
      <c r="AV12" s="1" t="s">
        <v>37</v>
      </c>
      <c r="AW12" s="1" t="s">
        <v>38</v>
      </c>
      <c r="AX12" s="11" t="s">
        <v>39</v>
      </c>
      <c r="AY12" s="11" t="s">
        <v>40</v>
      </c>
      <c r="AZ12" s="11" t="s">
        <v>41</v>
      </c>
      <c r="BA12" s="11" t="s">
        <v>42</v>
      </c>
      <c r="BB12" s="11" t="s">
        <v>43</v>
      </c>
      <c r="BC12" s="11" t="s">
        <v>44</v>
      </c>
      <c r="BD12" s="11" t="s">
        <v>45</v>
      </c>
      <c r="BE12" s="11" t="s">
        <v>46</v>
      </c>
      <c r="BF12" s="11" t="s">
        <v>47</v>
      </c>
      <c r="BG12" s="11" t="s">
        <v>48</v>
      </c>
      <c r="BH12" s="11" t="s">
        <v>78</v>
      </c>
      <c r="BI12" s="12" t="s">
        <v>80</v>
      </c>
      <c r="BJ12" s="12" t="s">
        <v>58</v>
      </c>
      <c r="BK12" s="12" t="s">
        <v>49</v>
      </c>
      <c r="BL12" s="12" t="s">
        <v>50</v>
      </c>
      <c r="BM12" s="12" t="s">
        <v>51</v>
      </c>
      <c r="BN12" s="12" t="s">
        <v>59</v>
      </c>
      <c r="BO12" s="12" t="s">
        <v>52</v>
      </c>
      <c r="BP12" s="12" t="s">
        <v>53</v>
      </c>
      <c r="BQ12" s="12" t="s">
        <v>54</v>
      </c>
      <c r="BR12" s="12" t="s">
        <v>55</v>
      </c>
      <c r="BS12" s="12" t="s">
        <v>56</v>
      </c>
      <c r="BT12" s="12" t="s">
        <v>57</v>
      </c>
      <c r="BU12" s="12" t="s">
        <v>73</v>
      </c>
      <c r="BV12" s="12" t="s">
        <v>60</v>
      </c>
      <c r="BW12" s="12" t="s">
        <v>74</v>
      </c>
      <c r="BX12" s="12" t="s">
        <v>61</v>
      </c>
      <c r="BY12" s="12" t="s">
        <v>62</v>
      </c>
      <c r="BZ12" s="30"/>
      <c r="CA12" s="30"/>
      <c r="CB12" s="30"/>
      <c r="CC12" s="30"/>
      <c r="CD12" s="30"/>
    </row>
    <row r="13" spans="2:83" x14ac:dyDescent="0.25">
      <c r="B13" s="15" t="s">
        <v>83</v>
      </c>
      <c r="C13" s="15" t="s">
        <v>84</v>
      </c>
      <c r="D13" s="15" t="s">
        <v>85</v>
      </c>
      <c r="E13" s="36">
        <v>40964</v>
      </c>
      <c r="F13" s="36">
        <v>40998</v>
      </c>
      <c r="G13" s="36">
        <v>40939</v>
      </c>
      <c r="H13" s="15">
        <v>130</v>
      </c>
      <c r="I13" s="15" t="s">
        <v>3</v>
      </c>
      <c r="J13" s="15">
        <v>5</v>
      </c>
      <c r="K13" s="15">
        <v>839</v>
      </c>
      <c r="L13" s="15">
        <v>3.66</v>
      </c>
      <c r="M13" s="15">
        <v>-18.3</v>
      </c>
      <c r="N13" s="15">
        <v>4</v>
      </c>
      <c r="O13" s="15">
        <v>0.250963263715686</v>
      </c>
      <c r="P13" s="15">
        <v>1.0320213813449001E-2</v>
      </c>
      <c r="Q13" s="15">
        <v>16.074014386435799</v>
      </c>
      <c r="R13" s="16">
        <v>-5.3879367244152501E-2</v>
      </c>
      <c r="S13" s="15">
        <v>-0.99785951828348396</v>
      </c>
      <c r="T13" s="15">
        <v>0.61059796929041399</v>
      </c>
      <c r="U13" s="15">
        <v>20</v>
      </c>
      <c r="V13" s="15">
        <v>20</v>
      </c>
      <c r="W13" s="15">
        <v>0</v>
      </c>
      <c r="X13" s="15">
        <v>-18.3</v>
      </c>
      <c r="Y13" s="15">
        <v>20</v>
      </c>
      <c r="Z13" s="15">
        <v>1.7</v>
      </c>
      <c r="AA13" s="15">
        <v>-18.3</v>
      </c>
      <c r="AB13" s="15">
        <v>20</v>
      </c>
      <c r="AC13" s="15">
        <v>1.7</v>
      </c>
      <c r="AD13" s="10">
        <v>4.3672010000000002E-3</v>
      </c>
      <c r="AE13" s="10">
        <v>101.15</v>
      </c>
      <c r="AF13" s="7">
        <v>1</v>
      </c>
      <c r="AG13" s="7">
        <v>1</v>
      </c>
      <c r="AH13" s="7">
        <f>J13</f>
        <v>5</v>
      </c>
      <c r="AI13" s="7">
        <v>1</v>
      </c>
      <c r="AJ13" s="7">
        <v>3.66</v>
      </c>
      <c r="AK13" s="7" t="str">
        <f>B13&amp;"-"&amp;D13</f>
        <v>Coal API #2-EURC Mar12 31-JAN-12 130.00</v>
      </c>
      <c r="AL13" s="1" t="str">
        <f t="shared" ref="AL13:AL24" si="0">MID(D13,4,1)</f>
        <v>C</v>
      </c>
      <c r="AM13" s="26">
        <f>N13/AG13</f>
        <v>4</v>
      </c>
      <c r="AN13" s="28">
        <f>ImpliedVolatilityB76Future($E$9,AL13,AE13,H13,G13,AM13,AD13)</f>
        <v>0.61044842630517449</v>
      </c>
      <c r="AO13" s="1">
        <f>AM13*AG13</f>
        <v>4</v>
      </c>
      <c r="AP13" s="29">
        <f>B76Future($E$9,AL13,AE13,H13,G13,AN13,AD13)</f>
        <v>3.9999999999999964</v>
      </c>
      <c r="AQ13" s="29">
        <f>B76Future($E$9,AL13,AE13,H13,G13,T13,AD13)</f>
        <v>4.0024035635011845</v>
      </c>
      <c r="AR13" s="1">
        <f>AJ13*AF13</f>
        <v>3.66</v>
      </c>
      <c r="AS13" s="1">
        <f>B76Delta($E$9,AL13,AE13,H13,G13,T13,AD13)</f>
        <v>0.25096326370317407</v>
      </c>
      <c r="AT13" s="1">
        <f>B76Gamma($E$9,AL13,AE13,H13,G13,T13,AD13)</f>
        <v>1.0320213812360307E-2</v>
      </c>
      <c r="AU13" s="1">
        <f>B76Vega($E$9,AL13,AE13,H13,G13,T13,AD13)</f>
        <v>16.07401438675419</v>
      </c>
      <c r="AV13" s="1">
        <f>B76Theta($E$9,AL13,AE13,H13,G13,T13,AD13)</f>
        <v>-5.3879367234737789E-2</v>
      </c>
      <c r="AW13" s="1">
        <f>B76Rho($E$9,AL13,AE13,H13,G13,T13,AD13)</f>
        <v>-0.99785951857152821</v>
      </c>
      <c r="AX13" s="21">
        <f>-AR13*AH13*AI13</f>
        <v>-18.3</v>
      </c>
      <c r="AY13" s="1">
        <f>AO13*AH13*AI13</f>
        <v>20</v>
      </c>
      <c r="AZ13" s="1">
        <f>AY13</f>
        <v>20</v>
      </c>
      <c r="BA13" s="1">
        <v>0</v>
      </c>
      <c r="BB13" s="1">
        <f>AX13+BA13</f>
        <v>-18.3</v>
      </c>
      <c r="BC13" s="1">
        <f>AZ13</f>
        <v>20</v>
      </c>
      <c r="BD13" s="1">
        <f>BB13+BC13</f>
        <v>1.6999999999999993</v>
      </c>
      <c r="BE13" s="1">
        <f>BA13+AX13</f>
        <v>-18.3</v>
      </c>
      <c r="BF13" s="1">
        <f>AZ13</f>
        <v>20</v>
      </c>
      <c r="BG13" s="1">
        <f>BE13+BF13</f>
        <v>1.6999999999999993</v>
      </c>
      <c r="BH13" s="24">
        <f t="shared" ref="BH13:BH24" si="1">AS13*AH13</f>
        <v>1.2548163185158703</v>
      </c>
      <c r="BI13" s="27">
        <f>QaAssert(T13,AN13)</f>
        <v>2.4497234949838465E-4</v>
      </c>
      <c r="BJ13" s="12">
        <f>QaAssert(L13,AR13)</f>
        <v>0</v>
      </c>
      <c r="BK13" s="3">
        <f t="shared" ref="BK13:BK24" si="2">QaAssert(AX13,M13)</f>
        <v>0</v>
      </c>
      <c r="BL13" s="3">
        <f t="shared" ref="BL13:BL24" si="3">QaAssert(AY13,U13)</f>
        <v>0</v>
      </c>
      <c r="BM13" s="3">
        <f t="shared" ref="BM13:BM24" si="4">QaAssert(AZ13, V13)</f>
        <v>0</v>
      </c>
      <c r="BN13" s="3">
        <f t="shared" ref="BN13:BN24" si="5">QaAssert(W13,BA13)</f>
        <v>0</v>
      </c>
      <c r="BO13" s="3">
        <f t="shared" ref="BO13:BO24" si="6">QaAssert(X13,BB13)</f>
        <v>0</v>
      </c>
      <c r="BP13" s="3">
        <f t="shared" ref="BP13:BP24" si="7">QaAssert(Y13,BC13)</f>
        <v>0</v>
      </c>
      <c r="BQ13" s="3">
        <f t="shared" ref="BQ13:BQ24" si="8">QaAssert(Z13,BD13)</f>
        <v>0</v>
      </c>
      <c r="BR13" s="3">
        <f t="shared" ref="BR13:BR24" si="9">QaAssert(AA13,BE13)</f>
        <v>0</v>
      </c>
      <c r="BS13" s="3">
        <f t="shared" ref="BS13:BS24" si="10">QaAssert(AB13,BF13)</f>
        <v>0</v>
      </c>
      <c r="BT13" s="3">
        <f t="shared" ref="BT13:BT24" si="11">QaAssert(AC13,BG13)</f>
        <v>0</v>
      </c>
      <c r="BU13" s="3">
        <f t="shared" ref="BU13:BU24" si="12">QaAssert(O13,AS13)</f>
        <v>0</v>
      </c>
      <c r="BV13" s="3">
        <f t="shared" ref="BV13:BV24" si="13">QaAssert(P13,AT13)</f>
        <v>0</v>
      </c>
      <c r="BW13" s="3">
        <f t="shared" ref="BW13:BW24" si="14">QaAssert(Q13,AU13)</f>
        <v>0</v>
      </c>
      <c r="BX13" s="3">
        <f t="shared" ref="BX13:BX24" si="15">QaAssert(S13,AW13)</f>
        <v>0</v>
      </c>
      <c r="BY13" s="3">
        <f t="shared" ref="BY13:BY24" si="16">QaAssert(R13,AV13)</f>
        <v>0</v>
      </c>
      <c r="BZ13" s="30"/>
      <c r="CA13" s="31"/>
      <c r="CB13" s="31"/>
      <c r="CC13" s="31"/>
      <c r="CD13" s="31"/>
      <c r="CE13" s="22"/>
    </row>
    <row r="14" spans="2:83" x14ac:dyDescent="0.25">
      <c r="B14" s="15" t="s">
        <v>83</v>
      </c>
      <c r="C14" s="15" t="s">
        <v>84</v>
      </c>
      <c r="D14" s="15" t="s">
        <v>86</v>
      </c>
      <c r="E14" s="36">
        <v>40964</v>
      </c>
      <c r="F14" s="36">
        <v>40998</v>
      </c>
      <c r="G14" s="36">
        <v>40939</v>
      </c>
      <c r="H14" s="15">
        <v>130</v>
      </c>
      <c r="I14" s="15" t="s">
        <v>3</v>
      </c>
      <c r="J14" s="15">
        <v>5</v>
      </c>
      <c r="K14" s="15">
        <v>839</v>
      </c>
      <c r="L14" s="15">
        <v>3.66</v>
      </c>
      <c r="M14" s="15">
        <v>-18.3</v>
      </c>
      <c r="N14" s="15">
        <v>28.9</v>
      </c>
      <c r="O14" s="15">
        <v>-0.97645147166982205</v>
      </c>
      <c r="P14" s="15">
        <v>4.3460733524302003E-3</v>
      </c>
      <c r="Q14" s="15">
        <v>2.6970752647495702</v>
      </c>
      <c r="R14" s="15">
        <v>-3.2592722879447901E-3</v>
      </c>
      <c r="S14" s="15">
        <v>-7.2095350195981798</v>
      </c>
      <c r="T14" s="15">
        <v>0.24328521240963499</v>
      </c>
      <c r="U14" s="15">
        <v>144.5</v>
      </c>
      <c r="V14" s="15">
        <v>144.5</v>
      </c>
      <c r="W14" s="15">
        <v>0</v>
      </c>
      <c r="X14" s="15">
        <v>-18.3</v>
      </c>
      <c r="Y14" s="15">
        <v>144.5</v>
      </c>
      <c r="Z14" s="15">
        <v>126.2</v>
      </c>
      <c r="AA14" s="15">
        <v>-18.3</v>
      </c>
      <c r="AB14" s="15">
        <v>144.5</v>
      </c>
      <c r="AC14" s="15">
        <v>126.2</v>
      </c>
      <c r="AD14" s="10">
        <v>4.3672010000000002E-3</v>
      </c>
      <c r="AE14" s="10">
        <v>101.15</v>
      </c>
      <c r="AF14" s="7">
        <v>1</v>
      </c>
      <c r="AG14" s="7">
        <v>1</v>
      </c>
      <c r="AH14" s="7">
        <f t="shared" ref="AH14:AH26" si="17">J14</f>
        <v>5</v>
      </c>
      <c r="AI14" s="7">
        <v>1</v>
      </c>
      <c r="AJ14" s="7">
        <v>3.66</v>
      </c>
      <c r="AK14" s="7" t="str">
        <f t="shared" ref="AK14:AK24" si="18">B14&amp;"-"&amp;D14</f>
        <v>Coal API #2-EURP Mar12 31-JAN-12 130.00</v>
      </c>
      <c r="AL14" s="1" t="str">
        <f t="shared" si="0"/>
        <v>P</v>
      </c>
      <c r="AM14" s="26">
        <f t="shared" ref="AM14:AM24" si="19">N14/AG14</f>
        <v>28.9</v>
      </c>
      <c r="AN14" s="28">
        <f t="shared" ref="AN14:AN24" si="20">ImpliedVolatilityB76Future($E$9,AL14,AE14,H14,G14,AM14,AD14)</f>
        <v>0.23644112879941323</v>
      </c>
      <c r="AO14" s="1">
        <f t="shared" ref="AO14:AO24" si="21">AM14*AG14</f>
        <v>28.9</v>
      </c>
      <c r="AP14" s="29">
        <f t="shared" ref="AP14:AP24" si="22">B76Future($E$9,AL14,AE14,H14,G14,AN14,AD14)</f>
        <v>28.900000000000034</v>
      </c>
      <c r="AQ14" s="29">
        <f t="shared" ref="AQ14:AQ24" si="23">B76Future($E$9,AL14,AE14,H14,G14,T14,AD14)</f>
        <v>28.917365742897765</v>
      </c>
      <c r="AR14" s="1">
        <f t="shared" ref="AR14:AR24" si="24">AJ14*AF14</f>
        <v>3.66</v>
      </c>
      <c r="AS14" s="1">
        <f>B76Delta($E$9,AL14,AE14,H14,G14,T14,AD14)</f>
        <v>-0.97645147147784883</v>
      </c>
      <c r="AT14" s="1">
        <f>B76Gamma($E$9,AL14,AE14,H14,G14,T14,AD14)</f>
        <v>4.3460733529104689E-3</v>
      </c>
      <c r="AU14" s="1">
        <f>B76Vega($E$9,AL14,AE14,H14,G14,T14,AD14)</f>
        <v>2.6970752653855508</v>
      </c>
      <c r="AV14" s="1">
        <f>B76Theta($E$9,AL14,AE14,H14,G14,T14,AD14)</f>
        <v>-3.2592722621926974E-3</v>
      </c>
      <c r="AW14" s="1">
        <f>B76Rho($E$9,AL14,AE14,H14,G14,T14,AD14)</f>
        <v>-7.2095350208320452</v>
      </c>
      <c r="AX14" s="21">
        <f t="shared" ref="AX14:AX24" si="25">-AR14*AH14*AI14</f>
        <v>-18.3</v>
      </c>
      <c r="AY14" s="1">
        <f t="shared" ref="AY14:AY24" si="26">AO14*AH14*AI14</f>
        <v>144.5</v>
      </c>
      <c r="AZ14" s="1">
        <f t="shared" ref="AZ14:AZ24" si="27">AY14</f>
        <v>144.5</v>
      </c>
      <c r="BA14" s="1">
        <v>0</v>
      </c>
      <c r="BB14" s="1">
        <f t="shared" ref="BB14:BB18" si="28">AX14+BA14</f>
        <v>-18.3</v>
      </c>
      <c r="BC14" s="1">
        <f t="shared" ref="BC14:BC18" si="29">AZ14</f>
        <v>144.5</v>
      </c>
      <c r="BD14" s="1">
        <f t="shared" ref="BD14:BD18" si="30">BB14+BC14</f>
        <v>126.2</v>
      </c>
      <c r="BE14" s="1">
        <f t="shared" ref="BE14:BE18" si="31">BA14+AX14</f>
        <v>-18.3</v>
      </c>
      <c r="BF14" s="1">
        <f t="shared" ref="BF14:BF18" si="32">AZ14</f>
        <v>144.5</v>
      </c>
      <c r="BG14" s="1">
        <f t="shared" ref="BG14:BG18" si="33">BE14+BF14</f>
        <v>126.2</v>
      </c>
      <c r="BH14" s="24">
        <f t="shared" si="1"/>
        <v>-4.8822573573892445</v>
      </c>
      <c r="BI14" s="27">
        <f t="shared" ref="BI14:BI24" si="34">QaAssert(T14,AN14)</f>
        <v>2.8946248247816442E-2</v>
      </c>
      <c r="BJ14" s="12">
        <f t="shared" ref="BJ14:BJ24" si="35">QaAssert(L14,AR14)</f>
        <v>0</v>
      </c>
      <c r="BK14" s="3">
        <f t="shared" si="2"/>
        <v>0</v>
      </c>
      <c r="BL14" s="3">
        <f t="shared" si="3"/>
        <v>0</v>
      </c>
      <c r="BM14" s="3">
        <f t="shared" si="4"/>
        <v>0</v>
      </c>
      <c r="BN14" s="3">
        <f t="shared" si="5"/>
        <v>0</v>
      </c>
      <c r="BO14" s="3">
        <f t="shared" si="6"/>
        <v>0</v>
      </c>
      <c r="BP14" s="3">
        <f t="shared" si="7"/>
        <v>0</v>
      </c>
      <c r="BQ14" s="3">
        <f t="shared" si="8"/>
        <v>0</v>
      </c>
      <c r="BR14" s="3">
        <f t="shared" si="9"/>
        <v>0</v>
      </c>
      <c r="BS14" s="3">
        <f t="shared" si="10"/>
        <v>0</v>
      </c>
      <c r="BT14" s="3">
        <f t="shared" si="11"/>
        <v>0</v>
      </c>
      <c r="BU14" s="3">
        <f t="shared" si="12"/>
        <v>0</v>
      </c>
      <c r="BV14" s="3">
        <f t="shared" si="13"/>
        <v>0</v>
      </c>
      <c r="BW14" s="3">
        <f t="shared" si="14"/>
        <v>0</v>
      </c>
      <c r="BX14" s="3">
        <f t="shared" si="15"/>
        <v>0</v>
      </c>
      <c r="BY14" s="3">
        <f t="shared" si="16"/>
        <v>0</v>
      </c>
      <c r="BZ14" s="30"/>
      <c r="CA14" s="31"/>
      <c r="CB14" s="31"/>
      <c r="CC14" s="31"/>
      <c r="CD14" s="31"/>
      <c r="CE14" s="22"/>
    </row>
    <row r="15" spans="2:83" x14ac:dyDescent="0.25">
      <c r="B15" s="15" t="s">
        <v>83</v>
      </c>
      <c r="C15" s="15" t="s">
        <v>84</v>
      </c>
      <c r="D15" s="15" t="s">
        <v>87</v>
      </c>
      <c r="E15" s="36">
        <v>40964</v>
      </c>
      <c r="F15" s="36">
        <v>40998</v>
      </c>
      <c r="G15" s="36">
        <v>40939</v>
      </c>
      <c r="H15" s="15">
        <v>80</v>
      </c>
      <c r="I15" s="15" t="s">
        <v>3</v>
      </c>
      <c r="J15" s="15">
        <v>5</v>
      </c>
      <c r="K15" s="15">
        <v>839</v>
      </c>
      <c r="L15" s="15">
        <v>3.66</v>
      </c>
      <c r="M15" s="15">
        <v>-18.3</v>
      </c>
      <c r="N15" s="15">
        <v>24</v>
      </c>
      <c r="O15" s="15">
        <v>0.83315551476035798</v>
      </c>
      <c r="P15" s="15">
        <v>8.6934670916669204E-3</v>
      </c>
      <c r="Q15" s="15">
        <v>12.5694831297923</v>
      </c>
      <c r="R15" s="16">
        <v>-3.8858916261863503E-2</v>
      </c>
      <c r="S15" s="15">
        <v>-5.9871571097008998</v>
      </c>
      <c r="T15" s="15">
        <v>0.56681861284789103</v>
      </c>
      <c r="U15" s="15">
        <v>120</v>
      </c>
      <c r="V15" s="15">
        <v>120</v>
      </c>
      <c r="W15" s="15">
        <v>0</v>
      </c>
      <c r="X15" s="15">
        <v>-18.3</v>
      </c>
      <c r="Y15" s="15">
        <v>120</v>
      </c>
      <c r="Z15" s="15">
        <v>101.7</v>
      </c>
      <c r="AA15" s="15">
        <v>-18.3</v>
      </c>
      <c r="AB15" s="15">
        <v>120</v>
      </c>
      <c r="AC15" s="15">
        <v>101.7</v>
      </c>
      <c r="AD15" s="10">
        <v>4.3672010000000002E-3</v>
      </c>
      <c r="AE15" s="10">
        <v>101.15</v>
      </c>
      <c r="AF15" s="10">
        <v>1</v>
      </c>
      <c r="AG15" s="7">
        <v>1</v>
      </c>
      <c r="AH15" s="7">
        <f t="shared" si="17"/>
        <v>5</v>
      </c>
      <c r="AI15" s="7">
        <v>1</v>
      </c>
      <c r="AJ15" s="7">
        <v>3.66</v>
      </c>
      <c r="AK15" s="7" t="str">
        <f t="shared" si="18"/>
        <v>Coal API #2-EURC Mar12 31-JAN-12 80.00</v>
      </c>
      <c r="AL15" s="1" t="str">
        <f t="shared" si="0"/>
        <v>C</v>
      </c>
      <c r="AM15" s="26">
        <f t="shared" si="19"/>
        <v>24</v>
      </c>
      <c r="AN15" s="28">
        <f t="shared" si="20"/>
        <v>0.56567050366019755</v>
      </c>
      <c r="AO15" s="1">
        <f t="shared" si="21"/>
        <v>24</v>
      </c>
      <c r="AP15" s="29">
        <f t="shared" si="22"/>
        <v>24</v>
      </c>
      <c r="AQ15" s="29">
        <f t="shared" si="23"/>
        <v>24.014421375261382</v>
      </c>
      <c r="AR15" s="1">
        <f t="shared" si="24"/>
        <v>3.66</v>
      </c>
      <c r="AS15" s="1">
        <f>B76Delta($E$9,AL15,AE15,H15,G15,T15,AD15)</f>
        <v>0.83315551469004112</v>
      </c>
      <c r="AT15" s="1">
        <f>B76Gamma($E$9,AL15,AE15,H15,G15,T15,AD15)</f>
        <v>8.69346709080316E-3</v>
      </c>
      <c r="AU15" s="1">
        <f>B76Vega($E$9,AL15,AE15,H15,G15,T15,AD15)</f>
        <v>12.569483130118323</v>
      </c>
      <c r="AV15" s="1">
        <f>B76Theta($E$9,AL15,AE15,H15,G15,T15,AD15)</f>
        <v>-3.8858916236223985E-2</v>
      </c>
      <c r="AW15" s="1">
        <f>B76Rho($E$9,AL15,AE15,H15,G15,T15,AD15)</f>
        <v>-5.9871571099966729</v>
      </c>
      <c r="AX15" s="21">
        <f t="shared" si="25"/>
        <v>-18.3</v>
      </c>
      <c r="AY15" s="1">
        <f t="shared" si="26"/>
        <v>120</v>
      </c>
      <c r="AZ15" s="1">
        <f t="shared" si="27"/>
        <v>120</v>
      </c>
      <c r="BA15" s="1">
        <v>0</v>
      </c>
      <c r="BB15" s="1">
        <f t="shared" si="28"/>
        <v>-18.3</v>
      </c>
      <c r="BC15" s="1">
        <f t="shared" si="29"/>
        <v>120</v>
      </c>
      <c r="BD15" s="1">
        <f t="shared" si="30"/>
        <v>101.7</v>
      </c>
      <c r="BE15" s="1">
        <f t="shared" si="31"/>
        <v>-18.3</v>
      </c>
      <c r="BF15" s="1">
        <f t="shared" si="32"/>
        <v>120</v>
      </c>
      <c r="BG15" s="1">
        <f t="shared" si="33"/>
        <v>101.7</v>
      </c>
      <c r="BH15" s="24">
        <f>AS15*AH15</f>
        <v>4.1657775734502058</v>
      </c>
      <c r="BI15" s="27">
        <f t="shared" si="34"/>
        <v>2.0296430170294588E-3</v>
      </c>
      <c r="BJ15" s="12">
        <f t="shared" si="35"/>
        <v>0</v>
      </c>
      <c r="BK15" s="3">
        <f t="shared" si="2"/>
        <v>0</v>
      </c>
      <c r="BL15" s="3">
        <f t="shared" si="3"/>
        <v>0</v>
      </c>
      <c r="BM15" s="3">
        <f t="shared" si="4"/>
        <v>0</v>
      </c>
      <c r="BN15" s="3">
        <f t="shared" si="5"/>
        <v>0</v>
      </c>
      <c r="BO15" s="3">
        <f t="shared" si="6"/>
        <v>0</v>
      </c>
      <c r="BP15" s="3">
        <f t="shared" si="7"/>
        <v>0</v>
      </c>
      <c r="BQ15" s="3">
        <f t="shared" si="8"/>
        <v>0</v>
      </c>
      <c r="BR15" s="3">
        <f t="shared" si="9"/>
        <v>0</v>
      </c>
      <c r="BS15" s="3">
        <f t="shared" si="10"/>
        <v>0</v>
      </c>
      <c r="BT15" s="3">
        <f t="shared" si="11"/>
        <v>0</v>
      </c>
      <c r="BU15" s="3">
        <f t="shared" si="12"/>
        <v>0</v>
      </c>
      <c r="BV15" s="3">
        <f t="shared" si="13"/>
        <v>0</v>
      </c>
      <c r="BW15" s="3">
        <f t="shared" si="14"/>
        <v>0</v>
      </c>
      <c r="BX15" s="3">
        <f t="shared" si="15"/>
        <v>0</v>
      </c>
      <c r="BY15" s="3">
        <f t="shared" si="16"/>
        <v>0</v>
      </c>
      <c r="BZ15" s="30"/>
      <c r="CA15" s="31"/>
      <c r="CB15" s="31"/>
      <c r="CC15" s="31"/>
      <c r="CD15" s="31"/>
      <c r="CE15" s="22"/>
    </row>
    <row r="16" spans="2:83" x14ac:dyDescent="0.25">
      <c r="B16" s="15" t="s">
        <v>83</v>
      </c>
      <c r="C16" s="15" t="s">
        <v>84</v>
      </c>
      <c r="D16" s="15" t="s">
        <v>88</v>
      </c>
      <c r="E16" s="36">
        <v>40964</v>
      </c>
      <c r="F16" s="36">
        <v>40998</v>
      </c>
      <c r="G16" s="36">
        <v>40939</v>
      </c>
      <c r="H16" s="15">
        <v>80</v>
      </c>
      <c r="I16" s="15" t="s">
        <v>3</v>
      </c>
      <c r="J16" s="15">
        <v>5</v>
      </c>
      <c r="K16" s="15">
        <v>839</v>
      </c>
      <c r="L16" s="15">
        <v>3.66</v>
      </c>
      <c r="M16" s="15">
        <v>-18.3</v>
      </c>
      <c r="N16" s="15">
        <v>5</v>
      </c>
      <c r="O16" s="15">
        <v>-0.20304506604015701</v>
      </c>
      <c r="P16" s="15">
        <v>7.7285768714668501E-3</v>
      </c>
      <c r="Q16" s="15">
        <v>14.2620065022011</v>
      </c>
      <c r="R16" s="15">
        <v>-5.6630607001534702E-2</v>
      </c>
      <c r="S16" s="15">
        <v>-1.24732439785436</v>
      </c>
      <c r="T16" s="15">
        <v>0.72343713370685703</v>
      </c>
      <c r="U16" s="15">
        <v>25</v>
      </c>
      <c r="V16" s="15">
        <v>25</v>
      </c>
      <c r="W16" s="15">
        <v>0</v>
      </c>
      <c r="X16" s="15">
        <v>-18.3</v>
      </c>
      <c r="Y16" s="15">
        <v>25</v>
      </c>
      <c r="Z16" s="15">
        <v>6.7</v>
      </c>
      <c r="AA16" s="15">
        <v>-18.3</v>
      </c>
      <c r="AB16" s="15">
        <v>25</v>
      </c>
      <c r="AC16" s="15">
        <v>6.7</v>
      </c>
      <c r="AD16" s="10">
        <v>4.3672010000000002E-3</v>
      </c>
      <c r="AE16" s="10">
        <v>101.15</v>
      </c>
      <c r="AF16" s="10">
        <v>1</v>
      </c>
      <c r="AG16" s="7">
        <v>1</v>
      </c>
      <c r="AH16" s="7">
        <f t="shared" si="17"/>
        <v>5</v>
      </c>
      <c r="AI16" s="7">
        <v>1</v>
      </c>
      <c r="AJ16" s="7">
        <v>3.66</v>
      </c>
      <c r="AK16" s="7" t="str">
        <f t="shared" si="18"/>
        <v>Coal API #2-EURP Mar12 31-JAN-12 80.00</v>
      </c>
      <c r="AL16" s="1" t="str">
        <f t="shared" si="0"/>
        <v>P</v>
      </c>
      <c r="AM16" s="26">
        <f t="shared" si="19"/>
        <v>5</v>
      </c>
      <c r="AN16" s="28">
        <f t="shared" si="20"/>
        <v>0.72322646031739013</v>
      </c>
      <c r="AO16" s="1">
        <f t="shared" si="21"/>
        <v>5</v>
      </c>
      <c r="AP16" s="29">
        <f t="shared" si="22"/>
        <v>4.9999999999999982</v>
      </c>
      <c r="AQ16" s="29">
        <f t="shared" si="23"/>
        <v>5.0030044549741763</v>
      </c>
      <c r="AR16" s="1">
        <f t="shared" si="24"/>
        <v>3.66</v>
      </c>
      <c r="AS16" s="1">
        <f>B76Delta($E$9,AL16,AE16,H16,G16,T16,AD16)</f>
        <v>-0.20304506601966943</v>
      </c>
      <c r="AT16" s="1">
        <f>B76Gamma($E$9,AL16,AE16,H16,G16,T16,AD16)</f>
        <v>7.7285768705541409E-3</v>
      </c>
      <c r="AU16" s="1">
        <f>B76Vega($E$9,AL16,AE16,H16,G16,T16,AD16)</f>
        <v>14.26200650230386</v>
      </c>
      <c r="AV16" s="1">
        <f>B76Theta($E$9,AL16,AE16,H16,G16,T16,AD16)</f>
        <v>-5.6630606990195315E-2</v>
      </c>
      <c r="AW16" s="1">
        <f>B76Rho($E$9,AL16,AE16,H16,G16,T16,AD16)</f>
        <v>-1.2473243983634248</v>
      </c>
      <c r="AX16" s="21">
        <f t="shared" si="25"/>
        <v>-18.3</v>
      </c>
      <c r="AY16" s="1">
        <f t="shared" si="26"/>
        <v>25</v>
      </c>
      <c r="AZ16" s="1">
        <f t="shared" si="27"/>
        <v>25</v>
      </c>
      <c r="BA16" s="1">
        <v>0</v>
      </c>
      <c r="BB16" s="1">
        <f t="shared" si="28"/>
        <v>-18.3</v>
      </c>
      <c r="BC16" s="1">
        <f t="shared" si="29"/>
        <v>25</v>
      </c>
      <c r="BD16" s="1">
        <f t="shared" si="30"/>
        <v>6.6999999999999993</v>
      </c>
      <c r="BE16" s="1">
        <f t="shared" si="31"/>
        <v>-18.3</v>
      </c>
      <c r="BF16" s="1">
        <f t="shared" si="32"/>
        <v>25</v>
      </c>
      <c r="BG16" s="1">
        <f t="shared" si="33"/>
        <v>6.6999999999999993</v>
      </c>
      <c r="BH16" s="24">
        <f t="shared" si="1"/>
        <v>-1.0152253300983471</v>
      </c>
      <c r="BI16" s="27">
        <f t="shared" si="34"/>
        <v>2.9129657310167367E-4</v>
      </c>
      <c r="BJ16" s="12">
        <f t="shared" si="35"/>
        <v>0</v>
      </c>
      <c r="BK16" s="3">
        <f t="shared" si="2"/>
        <v>0</v>
      </c>
      <c r="BL16" s="3">
        <f t="shared" si="3"/>
        <v>0</v>
      </c>
      <c r="BM16" s="3">
        <f t="shared" si="4"/>
        <v>0</v>
      </c>
      <c r="BN16" s="3">
        <f t="shared" si="5"/>
        <v>0</v>
      </c>
      <c r="BO16" s="3">
        <f t="shared" si="6"/>
        <v>0</v>
      </c>
      <c r="BP16" s="3">
        <f t="shared" si="7"/>
        <v>0</v>
      </c>
      <c r="BQ16" s="3">
        <f t="shared" si="8"/>
        <v>0</v>
      </c>
      <c r="BR16" s="3">
        <f t="shared" si="9"/>
        <v>0</v>
      </c>
      <c r="BS16" s="3">
        <f t="shared" si="10"/>
        <v>0</v>
      </c>
      <c r="BT16" s="3">
        <f t="shared" si="11"/>
        <v>0</v>
      </c>
      <c r="BU16" s="3">
        <f t="shared" si="12"/>
        <v>0</v>
      </c>
      <c r="BV16" s="3">
        <f t="shared" si="13"/>
        <v>0</v>
      </c>
      <c r="BW16" s="3">
        <f t="shared" si="14"/>
        <v>0</v>
      </c>
      <c r="BX16" s="3">
        <f t="shared" si="15"/>
        <v>0</v>
      </c>
      <c r="BY16" s="3">
        <f t="shared" si="16"/>
        <v>0</v>
      </c>
      <c r="BZ16" s="30"/>
      <c r="CA16" s="31"/>
      <c r="CB16" s="31"/>
      <c r="CC16" s="31"/>
      <c r="CD16" s="31"/>
      <c r="CE16" s="22"/>
    </row>
    <row r="17" spans="2:83" x14ac:dyDescent="0.25">
      <c r="B17" s="15" t="s">
        <v>83</v>
      </c>
      <c r="C17" s="15" t="s">
        <v>84</v>
      </c>
      <c r="D17" s="15" t="s">
        <v>89</v>
      </c>
      <c r="E17" s="36">
        <v>41055</v>
      </c>
      <c r="F17" s="36">
        <v>41089</v>
      </c>
      <c r="G17" s="36">
        <v>41031</v>
      </c>
      <c r="H17" s="15">
        <v>130</v>
      </c>
      <c r="I17" s="15" t="s">
        <v>3</v>
      </c>
      <c r="J17" s="15">
        <v>0</v>
      </c>
      <c r="K17" s="15">
        <v>840</v>
      </c>
      <c r="L17" s="15">
        <v>0</v>
      </c>
      <c r="M17" s="15">
        <v>0</v>
      </c>
      <c r="N17" s="15">
        <v>16</v>
      </c>
      <c r="O17" s="15">
        <v>0.46755050366819501</v>
      </c>
      <c r="P17" s="15">
        <v>6.5102881406102001E-3</v>
      </c>
      <c r="Q17" s="15">
        <v>29.491855985902099</v>
      </c>
      <c r="R17" s="15">
        <v>-6.5697564828501101E-2</v>
      </c>
      <c r="S17" s="15">
        <v>-8.0283226932548892</v>
      </c>
      <c r="T17" s="15">
        <v>0.81875045663910395</v>
      </c>
      <c r="U17" s="15">
        <v>0</v>
      </c>
      <c r="V17" s="15">
        <v>0</v>
      </c>
      <c r="W17" s="15">
        <v>0</v>
      </c>
      <c r="X17" s="15">
        <v>0</v>
      </c>
      <c r="Y17" s="15">
        <v>0</v>
      </c>
      <c r="Z17" s="15">
        <v>0</v>
      </c>
      <c r="AA17" s="15">
        <v>0</v>
      </c>
      <c r="AB17" s="15">
        <v>0</v>
      </c>
      <c r="AC17" s="17">
        <v>0</v>
      </c>
      <c r="AD17" s="10">
        <v>6.3003089999999996E-3</v>
      </c>
      <c r="AE17" s="10">
        <v>105.05</v>
      </c>
      <c r="AF17" s="7">
        <v>1</v>
      </c>
      <c r="AG17" s="7">
        <v>1</v>
      </c>
      <c r="AH17" s="7">
        <f t="shared" si="17"/>
        <v>0</v>
      </c>
      <c r="AI17" s="7">
        <v>1</v>
      </c>
      <c r="AJ17" s="7">
        <v>3.66</v>
      </c>
      <c r="AK17" s="7" t="str">
        <f t="shared" si="18"/>
        <v>Coal API #2-EURC Jun12 02-MAY-12 130.00</v>
      </c>
      <c r="AL17" s="1" t="str">
        <f t="shared" si="0"/>
        <v>C</v>
      </c>
      <c r="AM17" s="26">
        <f t="shared" si="19"/>
        <v>16</v>
      </c>
      <c r="AN17" s="28">
        <f t="shared" si="20"/>
        <v>0.81831728797995251</v>
      </c>
      <c r="AO17" s="1">
        <f t="shared" si="21"/>
        <v>16</v>
      </c>
      <c r="AP17" s="29">
        <f t="shared" si="22"/>
        <v>15.999999999999996</v>
      </c>
      <c r="AQ17" s="29">
        <f t="shared" si="23"/>
        <v>16.012774774774641</v>
      </c>
      <c r="AR17" s="1">
        <v>0</v>
      </c>
      <c r="AS17" s="1">
        <f>B76Delta($E$9,AL17,AE17,H17,G17,T17,AD17)</f>
        <v>0.46755050371330137</v>
      </c>
      <c r="AT17" s="1">
        <f>B76Gamma($E$9,AL17,AE17,H17,G17,T17,AD17)</f>
        <v>6.5102881408991668E-3</v>
      </c>
      <c r="AU17" s="1">
        <f>B76Vega($E$9,AL17,AE17,H17,G17,T17,AD17)</f>
        <v>29.4918559891914</v>
      </c>
      <c r="AV17" s="1">
        <f>B76Theta($E$9,AL17,AE17,H17,G17,T17,AD17)</f>
        <v>-6.5697564838308645E-2</v>
      </c>
      <c r="AW17" s="1">
        <f>B76Rho($E$9,AL17,AE17,H17,G17,T17,AD17)</f>
        <v>-8.0283226952979714</v>
      </c>
      <c r="AX17" s="21">
        <f t="shared" si="25"/>
        <v>0</v>
      </c>
      <c r="AY17" s="1">
        <f t="shared" si="26"/>
        <v>0</v>
      </c>
      <c r="AZ17" s="1">
        <f t="shared" si="27"/>
        <v>0</v>
      </c>
      <c r="BA17" s="1">
        <v>0</v>
      </c>
      <c r="BB17" s="1">
        <f t="shared" si="28"/>
        <v>0</v>
      </c>
      <c r="BC17" s="1">
        <f t="shared" si="29"/>
        <v>0</v>
      </c>
      <c r="BD17" s="1">
        <f t="shared" si="30"/>
        <v>0</v>
      </c>
      <c r="BE17" s="1">
        <f t="shared" si="31"/>
        <v>0</v>
      </c>
      <c r="BF17" s="1">
        <f t="shared" si="32"/>
        <v>0</v>
      </c>
      <c r="BG17" s="1">
        <f t="shared" si="33"/>
        <v>0</v>
      </c>
      <c r="BH17" s="24">
        <f>AS17*AH17</f>
        <v>0</v>
      </c>
      <c r="BI17" s="27">
        <f t="shared" si="34"/>
        <v>5.2934071602073196E-4</v>
      </c>
      <c r="BJ17" s="12">
        <f t="shared" si="35"/>
        <v>0</v>
      </c>
      <c r="BK17" s="3">
        <f t="shared" si="2"/>
        <v>0</v>
      </c>
      <c r="BL17" s="3">
        <f t="shared" si="3"/>
        <v>0</v>
      </c>
      <c r="BM17" s="3">
        <f t="shared" si="4"/>
        <v>0</v>
      </c>
      <c r="BN17" s="3">
        <f t="shared" si="5"/>
        <v>0</v>
      </c>
      <c r="BO17" s="3">
        <f t="shared" si="6"/>
        <v>0</v>
      </c>
      <c r="BP17" s="3">
        <f t="shared" si="7"/>
        <v>0</v>
      </c>
      <c r="BQ17" s="3">
        <f t="shared" si="8"/>
        <v>0</v>
      </c>
      <c r="BR17" s="3">
        <f t="shared" si="9"/>
        <v>0</v>
      </c>
      <c r="BS17" s="3">
        <f t="shared" si="10"/>
        <v>0</v>
      </c>
      <c r="BT17" s="3">
        <f t="shared" si="11"/>
        <v>0</v>
      </c>
      <c r="BU17" s="3">
        <f t="shared" si="12"/>
        <v>0</v>
      </c>
      <c r="BV17" s="3">
        <f t="shared" si="13"/>
        <v>0</v>
      </c>
      <c r="BW17" s="3">
        <f t="shared" si="14"/>
        <v>0</v>
      </c>
      <c r="BX17" s="3">
        <f t="shared" si="15"/>
        <v>0</v>
      </c>
      <c r="BY17" s="3">
        <f t="shared" si="16"/>
        <v>0</v>
      </c>
      <c r="BZ17" s="30"/>
      <c r="CA17" s="31"/>
      <c r="CB17" s="31"/>
      <c r="CC17" s="31"/>
      <c r="CD17" s="31"/>
      <c r="CE17" s="22"/>
    </row>
    <row r="18" spans="2:83" x14ac:dyDescent="0.25">
      <c r="B18" s="17" t="s">
        <v>83</v>
      </c>
      <c r="C18" s="17" t="s">
        <v>84</v>
      </c>
      <c r="D18" s="17" t="s">
        <v>90</v>
      </c>
      <c r="E18" s="36">
        <v>40663</v>
      </c>
      <c r="F18" s="36">
        <v>40690</v>
      </c>
      <c r="G18" s="36">
        <v>40634</v>
      </c>
      <c r="H18" s="15">
        <v>130</v>
      </c>
      <c r="I18" s="18" t="s">
        <v>8</v>
      </c>
      <c r="J18" s="15">
        <v>0</v>
      </c>
      <c r="K18" s="15">
        <v>672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v>0</v>
      </c>
      <c r="W18" s="15">
        <v>0</v>
      </c>
      <c r="X18" s="15">
        <v>0</v>
      </c>
      <c r="Y18" s="15">
        <v>0</v>
      </c>
      <c r="Z18" s="15">
        <v>0</v>
      </c>
      <c r="AA18" s="15">
        <v>0</v>
      </c>
      <c r="AB18" s="15">
        <v>0</v>
      </c>
      <c r="AC18" s="15">
        <v>0</v>
      </c>
      <c r="AD18" s="7"/>
      <c r="AE18" s="7"/>
      <c r="AF18" s="10">
        <v>1</v>
      </c>
      <c r="AG18" s="7">
        <v>1</v>
      </c>
      <c r="AH18" s="7">
        <f t="shared" si="17"/>
        <v>0</v>
      </c>
      <c r="AI18" s="7">
        <v>1</v>
      </c>
      <c r="AJ18" s="7">
        <v>3.66</v>
      </c>
      <c r="AK18" s="7" t="str">
        <f t="shared" si="18"/>
        <v>Coal API #2-EURC May11 01-APR-11 130.00</v>
      </c>
      <c r="AL18" s="1" t="str">
        <f t="shared" si="0"/>
        <v>C</v>
      </c>
      <c r="AM18" s="26">
        <f t="shared" si="19"/>
        <v>0</v>
      </c>
      <c r="AN18" s="28">
        <f t="shared" si="20"/>
        <v>0</v>
      </c>
      <c r="AO18" s="1">
        <f t="shared" si="21"/>
        <v>0</v>
      </c>
      <c r="AP18" s="29">
        <f t="shared" si="22"/>
        <v>0</v>
      </c>
      <c r="AQ18" s="29">
        <f t="shared" si="23"/>
        <v>0</v>
      </c>
      <c r="AR18" s="1">
        <v>0</v>
      </c>
      <c r="AS18" s="1">
        <f t="shared" ref="AS18:AS24" si="36">B76Delta($E$9,AL18,AE18,H18,G18,T18,AD18)</f>
        <v>0</v>
      </c>
      <c r="AT18" s="1">
        <f t="shared" ref="AT18:AT24" si="37">B76Gamma($E$9,AL18,AE18,H18,G18,T18,AD18)</f>
        <v>0</v>
      </c>
      <c r="AU18" s="1">
        <f t="shared" ref="AU18:AU24" si="38">B76Vega($E$9,AL18,AE18,H18,G18,T18,AD18)</f>
        <v>0</v>
      </c>
      <c r="AV18" s="1">
        <f t="shared" ref="AV18:AV24" si="39">B76Theta($E$9,AL18,AE18,H18,G18,T18,AD18)</f>
        <v>0</v>
      </c>
      <c r="AW18" s="1">
        <f t="shared" ref="AW18:AW24" si="40">B76Rho($E$9,AL18,AE18,H18,G18,T18,AD18)</f>
        <v>0</v>
      </c>
      <c r="AX18" s="21">
        <f t="shared" si="25"/>
        <v>0</v>
      </c>
      <c r="AY18" s="1">
        <f t="shared" si="26"/>
        <v>0</v>
      </c>
      <c r="AZ18" s="1">
        <f t="shared" si="27"/>
        <v>0</v>
      </c>
      <c r="BA18" s="1">
        <v>0</v>
      </c>
      <c r="BB18" s="1">
        <f t="shared" si="28"/>
        <v>0</v>
      </c>
      <c r="BC18" s="1">
        <f t="shared" si="29"/>
        <v>0</v>
      </c>
      <c r="BD18" s="1">
        <f t="shared" si="30"/>
        <v>0</v>
      </c>
      <c r="BE18" s="1">
        <f t="shared" si="31"/>
        <v>0</v>
      </c>
      <c r="BF18" s="1">
        <f t="shared" si="32"/>
        <v>0</v>
      </c>
      <c r="BG18" s="1">
        <f t="shared" si="33"/>
        <v>0</v>
      </c>
      <c r="BH18" s="24">
        <f t="shared" si="1"/>
        <v>0</v>
      </c>
      <c r="BI18" s="12">
        <f t="shared" si="34"/>
        <v>0</v>
      </c>
      <c r="BJ18" s="12">
        <f t="shared" si="35"/>
        <v>0</v>
      </c>
      <c r="BK18" s="3">
        <f t="shared" si="2"/>
        <v>0</v>
      </c>
      <c r="BL18" s="3">
        <f t="shared" si="3"/>
        <v>0</v>
      </c>
      <c r="BM18" s="3">
        <f t="shared" si="4"/>
        <v>0</v>
      </c>
      <c r="BN18" s="3">
        <f t="shared" si="5"/>
        <v>0</v>
      </c>
      <c r="BO18" s="3">
        <f t="shared" si="6"/>
        <v>0</v>
      </c>
      <c r="BP18" s="3">
        <f t="shared" si="7"/>
        <v>0</v>
      </c>
      <c r="BQ18" s="3">
        <f t="shared" si="8"/>
        <v>0</v>
      </c>
      <c r="BR18" s="3">
        <f t="shared" si="9"/>
        <v>0</v>
      </c>
      <c r="BS18" s="3">
        <f t="shared" si="10"/>
        <v>0</v>
      </c>
      <c r="BT18" s="3">
        <f t="shared" si="11"/>
        <v>0</v>
      </c>
      <c r="BU18" s="3">
        <f t="shared" si="12"/>
        <v>0</v>
      </c>
      <c r="BV18" s="3">
        <f t="shared" si="13"/>
        <v>0</v>
      </c>
      <c r="BW18" s="3">
        <f t="shared" si="14"/>
        <v>0</v>
      </c>
      <c r="BX18" s="3">
        <f t="shared" si="15"/>
        <v>0</v>
      </c>
      <c r="BY18" s="3">
        <f t="shared" si="16"/>
        <v>0</v>
      </c>
      <c r="BZ18" s="30"/>
      <c r="CA18" s="31"/>
      <c r="CB18" s="31"/>
      <c r="CC18" s="31"/>
      <c r="CD18" s="31"/>
      <c r="CE18" s="22"/>
    </row>
    <row r="19" spans="2:83" x14ac:dyDescent="0.25">
      <c r="B19" s="19" t="s">
        <v>83</v>
      </c>
      <c r="C19" s="19" t="s">
        <v>84</v>
      </c>
      <c r="D19" s="19" t="s">
        <v>91</v>
      </c>
      <c r="E19" s="37">
        <v>40782</v>
      </c>
      <c r="F19" s="37">
        <v>40816</v>
      </c>
      <c r="G19" s="37">
        <v>40757</v>
      </c>
      <c r="H19" s="19">
        <v>130</v>
      </c>
      <c r="I19" s="19" t="s">
        <v>8</v>
      </c>
      <c r="J19" s="19">
        <v>5</v>
      </c>
      <c r="K19" s="19">
        <v>840</v>
      </c>
      <c r="L19" s="19">
        <v>3.66</v>
      </c>
      <c r="M19" s="19">
        <v>-18.3</v>
      </c>
      <c r="N19" s="19">
        <v>0</v>
      </c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 s="19">
        <v>0</v>
      </c>
      <c r="W19" s="19">
        <v>0</v>
      </c>
      <c r="X19" s="19">
        <v>-18.3</v>
      </c>
      <c r="Y19" s="19">
        <v>0</v>
      </c>
      <c r="Z19" s="19">
        <v>-18.3</v>
      </c>
      <c r="AA19" s="19">
        <v>-18.3</v>
      </c>
      <c r="AB19" s="19">
        <v>0</v>
      </c>
      <c r="AC19" s="19">
        <v>-18.3</v>
      </c>
      <c r="AD19" s="7"/>
      <c r="AE19" s="7"/>
      <c r="AF19" s="10">
        <v>1</v>
      </c>
      <c r="AG19" s="7">
        <v>1</v>
      </c>
      <c r="AH19" s="7">
        <f t="shared" si="17"/>
        <v>5</v>
      </c>
      <c r="AI19" s="7">
        <v>1</v>
      </c>
      <c r="AJ19" s="7">
        <v>3.66</v>
      </c>
      <c r="AK19" s="7" t="str">
        <f t="shared" si="18"/>
        <v>Coal API #2-EURC Sep11 02-AUG-11 130.00</v>
      </c>
      <c r="AL19" s="1" t="str">
        <f t="shared" si="0"/>
        <v>C</v>
      </c>
      <c r="AM19" s="26">
        <f t="shared" si="19"/>
        <v>0</v>
      </c>
      <c r="AN19" s="28">
        <f t="shared" si="20"/>
        <v>0</v>
      </c>
      <c r="AO19" s="1">
        <f t="shared" si="21"/>
        <v>0</v>
      </c>
      <c r="AP19" s="29">
        <f t="shared" si="22"/>
        <v>0</v>
      </c>
      <c r="AQ19" s="29">
        <f t="shared" si="23"/>
        <v>0</v>
      </c>
      <c r="AR19" s="1">
        <f t="shared" si="24"/>
        <v>3.66</v>
      </c>
      <c r="AS19" s="1">
        <f t="shared" si="36"/>
        <v>0</v>
      </c>
      <c r="AT19" s="1">
        <f t="shared" si="37"/>
        <v>0</v>
      </c>
      <c r="AU19" s="1">
        <f t="shared" si="38"/>
        <v>0</v>
      </c>
      <c r="AV19" s="1">
        <f t="shared" si="39"/>
        <v>0</v>
      </c>
      <c r="AW19" s="1">
        <f t="shared" si="40"/>
        <v>0</v>
      </c>
      <c r="AX19" s="21">
        <f t="shared" si="25"/>
        <v>-18.3</v>
      </c>
      <c r="AY19" s="1">
        <f t="shared" si="26"/>
        <v>0</v>
      </c>
      <c r="AZ19" s="1">
        <f t="shared" si="27"/>
        <v>0</v>
      </c>
      <c r="BA19" s="1">
        <v>0</v>
      </c>
      <c r="BB19" s="1">
        <f>AX19+BA19</f>
        <v>-18.3</v>
      </c>
      <c r="BC19" s="1">
        <f>AZ19</f>
        <v>0</v>
      </c>
      <c r="BD19" s="1">
        <f>BB19+BC19</f>
        <v>-18.3</v>
      </c>
      <c r="BE19" s="1">
        <f>BA19+AX19</f>
        <v>-18.3</v>
      </c>
      <c r="BF19" s="1">
        <f>AZ19</f>
        <v>0</v>
      </c>
      <c r="BG19" s="1">
        <f>BE19+BF19</f>
        <v>-18.3</v>
      </c>
      <c r="BH19" s="24">
        <f t="shared" si="1"/>
        <v>0</v>
      </c>
      <c r="BI19" s="12">
        <f t="shared" si="34"/>
        <v>0</v>
      </c>
      <c r="BJ19" s="12">
        <f t="shared" si="35"/>
        <v>0</v>
      </c>
      <c r="BK19" s="3">
        <f t="shared" si="2"/>
        <v>0</v>
      </c>
      <c r="BL19" s="3">
        <f t="shared" si="3"/>
        <v>0</v>
      </c>
      <c r="BM19" s="3">
        <f t="shared" si="4"/>
        <v>0</v>
      </c>
      <c r="BN19" s="3">
        <f t="shared" si="5"/>
        <v>0</v>
      </c>
      <c r="BO19" s="3">
        <f t="shared" si="6"/>
        <v>0</v>
      </c>
      <c r="BP19" s="3">
        <f t="shared" si="7"/>
        <v>0</v>
      </c>
      <c r="BQ19" s="3">
        <f t="shared" si="8"/>
        <v>0</v>
      </c>
      <c r="BR19" s="3">
        <f t="shared" si="9"/>
        <v>0</v>
      </c>
      <c r="BS19" s="3">
        <f t="shared" si="10"/>
        <v>0</v>
      </c>
      <c r="BT19" s="3">
        <f t="shared" si="11"/>
        <v>0</v>
      </c>
      <c r="BU19" s="3">
        <f t="shared" si="12"/>
        <v>0</v>
      </c>
      <c r="BV19" s="3">
        <f t="shared" si="13"/>
        <v>0</v>
      </c>
      <c r="BW19" s="3">
        <f t="shared" si="14"/>
        <v>0</v>
      </c>
      <c r="BX19" s="3">
        <f t="shared" si="15"/>
        <v>0</v>
      </c>
      <c r="BY19" s="3">
        <f t="shared" si="16"/>
        <v>0</v>
      </c>
      <c r="BZ19" s="30"/>
      <c r="CA19" s="31"/>
      <c r="CB19" s="31"/>
      <c r="CC19" s="31"/>
      <c r="CD19" s="31"/>
      <c r="CE19" s="22"/>
    </row>
    <row r="20" spans="2:83" x14ac:dyDescent="0.25">
      <c r="B20" s="19" t="s">
        <v>83</v>
      </c>
      <c r="C20" s="19" t="s">
        <v>84</v>
      </c>
      <c r="D20" s="19" t="s">
        <v>92</v>
      </c>
      <c r="E20" s="37">
        <v>40782</v>
      </c>
      <c r="F20" s="37">
        <v>40816</v>
      </c>
      <c r="G20" s="37">
        <v>40757</v>
      </c>
      <c r="H20" s="19">
        <v>130</v>
      </c>
      <c r="I20" s="19" t="s">
        <v>8</v>
      </c>
      <c r="J20" s="19">
        <v>5</v>
      </c>
      <c r="K20" s="19">
        <v>840</v>
      </c>
      <c r="L20" s="19">
        <v>3.66</v>
      </c>
      <c r="M20" s="19">
        <v>-18.3</v>
      </c>
      <c r="N20" s="19">
        <v>0</v>
      </c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 s="19">
        <v>0</v>
      </c>
      <c r="W20" s="19">
        <v>0</v>
      </c>
      <c r="X20" s="19">
        <v>-18.3</v>
      </c>
      <c r="Y20" s="19">
        <v>0</v>
      </c>
      <c r="Z20" s="19">
        <v>-18.3</v>
      </c>
      <c r="AA20" s="19">
        <v>-18.3</v>
      </c>
      <c r="AB20" s="19">
        <v>0</v>
      </c>
      <c r="AC20" s="19">
        <v>-18.3</v>
      </c>
      <c r="AD20" s="7"/>
      <c r="AE20" s="7"/>
      <c r="AF20" s="7">
        <v>1</v>
      </c>
      <c r="AG20" s="7">
        <v>1</v>
      </c>
      <c r="AH20" s="7">
        <f t="shared" si="17"/>
        <v>5</v>
      </c>
      <c r="AI20" s="7">
        <v>1</v>
      </c>
      <c r="AJ20" s="7">
        <v>3.66</v>
      </c>
      <c r="AK20" s="7" t="str">
        <f t="shared" si="18"/>
        <v>Coal API #2-EURP Sep11 02-AUG-11 130.00</v>
      </c>
      <c r="AL20" s="1" t="str">
        <f t="shared" si="0"/>
        <v>P</v>
      </c>
      <c r="AM20" s="26">
        <f t="shared" si="19"/>
        <v>0</v>
      </c>
      <c r="AN20" s="28">
        <f t="shared" si="20"/>
        <v>0</v>
      </c>
      <c r="AO20" s="1">
        <f t="shared" si="21"/>
        <v>0</v>
      </c>
      <c r="AP20" s="29">
        <f t="shared" si="22"/>
        <v>0</v>
      </c>
      <c r="AQ20" s="29">
        <f t="shared" si="23"/>
        <v>0</v>
      </c>
      <c r="AR20" s="1">
        <f t="shared" si="24"/>
        <v>3.66</v>
      </c>
      <c r="AS20" s="1">
        <f t="shared" si="36"/>
        <v>0</v>
      </c>
      <c r="AT20" s="1">
        <f t="shared" si="37"/>
        <v>0</v>
      </c>
      <c r="AU20" s="1">
        <f t="shared" si="38"/>
        <v>0</v>
      </c>
      <c r="AV20" s="1">
        <f t="shared" si="39"/>
        <v>0</v>
      </c>
      <c r="AW20" s="1">
        <f t="shared" si="40"/>
        <v>0</v>
      </c>
      <c r="AX20" s="21">
        <f t="shared" si="25"/>
        <v>-18.3</v>
      </c>
      <c r="AY20" s="1">
        <f t="shared" si="26"/>
        <v>0</v>
      </c>
      <c r="AZ20" s="1">
        <f t="shared" si="27"/>
        <v>0</v>
      </c>
      <c r="BA20" s="1">
        <v>0</v>
      </c>
      <c r="BB20" s="1">
        <f t="shared" ref="BB20:BB24" si="41">AX20+BA20</f>
        <v>-18.3</v>
      </c>
      <c r="BC20" s="1">
        <f t="shared" ref="BC20:BC24" si="42">AZ20</f>
        <v>0</v>
      </c>
      <c r="BD20" s="1">
        <f t="shared" ref="BD20:BD24" si="43">BB20+BC20</f>
        <v>-18.3</v>
      </c>
      <c r="BE20" s="1">
        <f t="shared" ref="BE20:BE24" si="44">BA20+AX20</f>
        <v>-18.3</v>
      </c>
      <c r="BF20" s="1">
        <f t="shared" ref="BF20:BF24" si="45">AZ20</f>
        <v>0</v>
      </c>
      <c r="BG20" s="1">
        <f t="shared" ref="BG20:BG24" si="46">BE20+BF20</f>
        <v>-18.3</v>
      </c>
      <c r="BH20" s="24">
        <f t="shared" si="1"/>
        <v>0</v>
      </c>
      <c r="BI20" s="12">
        <f t="shared" si="34"/>
        <v>0</v>
      </c>
      <c r="BJ20" s="12">
        <f t="shared" si="35"/>
        <v>0</v>
      </c>
      <c r="BK20" s="3">
        <f t="shared" si="2"/>
        <v>0</v>
      </c>
      <c r="BL20" s="3">
        <f t="shared" si="3"/>
        <v>0</v>
      </c>
      <c r="BM20" s="3">
        <f t="shared" si="4"/>
        <v>0</v>
      </c>
      <c r="BN20" s="3">
        <f t="shared" si="5"/>
        <v>0</v>
      </c>
      <c r="BO20" s="3">
        <f t="shared" si="6"/>
        <v>0</v>
      </c>
      <c r="BP20" s="3">
        <f t="shared" si="7"/>
        <v>0</v>
      </c>
      <c r="BQ20" s="3">
        <f t="shared" si="8"/>
        <v>0</v>
      </c>
      <c r="BR20" s="3">
        <f t="shared" si="9"/>
        <v>0</v>
      </c>
      <c r="BS20" s="3">
        <f t="shared" si="10"/>
        <v>0</v>
      </c>
      <c r="BT20" s="3">
        <f t="shared" si="11"/>
        <v>0</v>
      </c>
      <c r="BU20" s="3">
        <f t="shared" si="12"/>
        <v>0</v>
      </c>
      <c r="BV20" s="3">
        <f t="shared" si="13"/>
        <v>0</v>
      </c>
      <c r="BW20" s="3">
        <f t="shared" si="14"/>
        <v>0</v>
      </c>
      <c r="BX20" s="3">
        <f t="shared" si="15"/>
        <v>0</v>
      </c>
      <c r="BY20" s="3">
        <f t="shared" si="16"/>
        <v>0</v>
      </c>
      <c r="BZ20" s="30"/>
      <c r="CA20" s="31"/>
      <c r="CB20" s="31"/>
      <c r="CC20" s="31"/>
      <c r="CD20" s="31"/>
      <c r="CE20" s="22"/>
    </row>
    <row r="21" spans="2:83" x14ac:dyDescent="0.25">
      <c r="B21" s="19" t="s">
        <v>83</v>
      </c>
      <c r="C21" s="19" t="s">
        <v>84</v>
      </c>
      <c r="D21" s="19" t="s">
        <v>93</v>
      </c>
      <c r="E21" s="37">
        <v>40782</v>
      </c>
      <c r="F21" s="37">
        <v>40816</v>
      </c>
      <c r="G21" s="37">
        <v>40757</v>
      </c>
      <c r="H21" s="19">
        <v>80</v>
      </c>
      <c r="I21" s="19" t="s">
        <v>8</v>
      </c>
      <c r="J21" s="19">
        <v>5</v>
      </c>
      <c r="K21" s="19">
        <v>840</v>
      </c>
      <c r="L21" s="19">
        <v>3.66</v>
      </c>
      <c r="M21" s="19">
        <v>-18.3</v>
      </c>
      <c r="N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 s="19">
        <v>0</v>
      </c>
      <c r="W21" s="19">
        <v>0</v>
      </c>
      <c r="X21" s="19">
        <v>-18.3</v>
      </c>
      <c r="Y21" s="19">
        <v>0</v>
      </c>
      <c r="Z21" s="19">
        <v>-18.3</v>
      </c>
      <c r="AA21" s="19">
        <v>-18.3</v>
      </c>
      <c r="AB21" s="19">
        <v>0</v>
      </c>
      <c r="AC21" s="19">
        <v>-18.3</v>
      </c>
      <c r="AD21" s="7"/>
      <c r="AE21" s="7"/>
      <c r="AF21" s="10">
        <v>1</v>
      </c>
      <c r="AG21" s="7">
        <v>1</v>
      </c>
      <c r="AH21" s="7">
        <f t="shared" si="17"/>
        <v>5</v>
      </c>
      <c r="AI21" s="7">
        <v>1</v>
      </c>
      <c r="AJ21" s="7">
        <v>3.66</v>
      </c>
      <c r="AK21" s="7" t="str">
        <f t="shared" si="18"/>
        <v>Coal API #2-EURC Sep11 02-AUG-11 80.00</v>
      </c>
      <c r="AL21" s="1" t="str">
        <f t="shared" si="0"/>
        <v>C</v>
      </c>
      <c r="AM21" s="26">
        <f t="shared" si="19"/>
        <v>0</v>
      </c>
      <c r="AN21" s="28">
        <f t="shared" si="20"/>
        <v>0</v>
      </c>
      <c r="AO21" s="1">
        <f t="shared" si="21"/>
        <v>0</v>
      </c>
      <c r="AP21" s="29">
        <f t="shared" si="22"/>
        <v>0</v>
      </c>
      <c r="AQ21" s="29">
        <f t="shared" si="23"/>
        <v>0</v>
      </c>
      <c r="AR21" s="1">
        <f t="shared" si="24"/>
        <v>3.66</v>
      </c>
      <c r="AS21" s="1">
        <f t="shared" si="36"/>
        <v>0</v>
      </c>
      <c r="AT21" s="1">
        <f t="shared" si="37"/>
        <v>0</v>
      </c>
      <c r="AU21" s="1">
        <f t="shared" si="38"/>
        <v>0</v>
      </c>
      <c r="AV21" s="1">
        <f t="shared" si="39"/>
        <v>0</v>
      </c>
      <c r="AW21" s="1">
        <f t="shared" si="40"/>
        <v>0</v>
      </c>
      <c r="AX21" s="21">
        <f t="shared" si="25"/>
        <v>-18.3</v>
      </c>
      <c r="AY21" s="1">
        <f t="shared" si="26"/>
        <v>0</v>
      </c>
      <c r="AZ21" s="1">
        <f t="shared" si="27"/>
        <v>0</v>
      </c>
      <c r="BA21" s="1">
        <v>0</v>
      </c>
      <c r="BB21" s="1">
        <f t="shared" si="41"/>
        <v>-18.3</v>
      </c>
      <c r="BC21" s="1">
        <f t="shared" si="42"/>
        <v>0</v>
      </c>
      <c r="BD21" s="1">
        <f t="shared" si="43"/>
        <v>-18.3</v>
      </c>
      <c r="BE21" s="1">
        <f t="shared" si="44"/>
        <v>-18.3</v>
      </c>
      <c r="BF21" s="1">
        <f t="shared" si="45"/>
        <v>0</v>
      </c>
      <c r="BG21" s="1">
        <f t="shared" si="46"/>
        <v>-18.3</v>
      </c>
      <c r="BH21" s="24">
        <f t="shared" si="1"/>
        <v>0</v>
      </c>
      <c r="BI21" s="12">
        <f t="shared" si="34"/>
        <v>0</v>
      </c>
      <c r="BJ21" s="12">
        <f t="shared" si="35"/>
        <v>0</v>
      </c>
      <c r="BK21" s="3">
        <f t="shared" si="2"/>
        <v>0</v>
      </c>
      <c r="BL21" s="3">
        <f t="shared" si="3"/>
        <v>0</v>
      </c>
      <c r="BM21" s="3">
        <f t="shared" si="4"/>
        <v>0</v>
      </c>
      <c r="BN21" s="3">
        <f t="shared" si="5"/>
        <v>0</v>
      </c>
      <c r="BO21" s="3">
        <f t="shared" si="6"/>
        <v>0</v>
      </c>
      <c r="BP21" s="3">
        <f t="shared" si="7"/>
        <v>0</v>
      </c>
      <c r="BQ21" s="3">
        <f t="shared" si="8"/>
        <v>0</v>
      </c>
      <c r="BR21" s="3">
        <f t="shared" si="9"/>
        <v>0</v>
      </c>
      <c r="BS21" s="3">
        <f t="shared" si="10"/>
        <v>0</v>
      </c>
      <c r="BT21" s="3">
        <f t="shared" si="11"/>
        <v>0</v>
      </c>
      <c r="BU21" s="3">
        <f t="shared" si="12"/>
        <v>0</v>
      </c>
      <c r="BV21" s="3">
        <f t="shared" si="13"/>
        <v>0</v>
      </c>
      <c r="BW21" s="3">
        <f t="shared" si="14"/>
        <v>0</v>
      </c>
      <c r="BX21" s="3">
        <f t="shared" si="15"/>
        <v>0</v>
      </c>
      <c r="BY21" s="3">
        <f t="shared" si="16"/>
        <v>0</v>
      </c>
      <c r="BZ21" s="30"/>
      <c r="CA21" s="31"/>
      <c r="CB21" s="31"/>
      <c r="CC21" s="31"/>
      <c r="CD21" s="31"/>
      <c r="CE21" s="22"/>
    </row>
    <row r="22" spans="2:83" x14ac:dyDescent="0.25">
      <c r="B22" s="19" t="s">
        <v>83</v>
      </c>
      <c r="C22" s="19" t="s">
        <v>84</v>
      </c>
      <c r="D22" s="19" t="s">
        <v>94</v>
      </c>
      <c r="E22" s="37">
        <v>40782</v>
      </c>
      <c r="F22" s="37">
        <v>40816</v>
      </c>
      <c r="G22" s="37">
        <v>40757</v>
      </c>
      <c r="H22" s="19">
        <v>80</v>
      </c>
      <c r="I22" s="19" t="s">
        <v>8</v>
      </c>
      <c r="J22" s="19">
        <v>5</v>
      </c>
      <c r="K22" s="19">
        <v>840</v>
      </c>
      <c r="L22" s="19">
        <v>3.66</v>
      </c>
      <c r="M22" s="19">
        <v>-18.3</v>
      </c>
      <c r="N22" s="19">
        <v>0</v>
      </c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 s="19">
        <v>0</v>
      </c>
      <c r="W22" s="19">
        <v>0</v>
      </c>
      <c r="X22" s="19">
        <v>-18.3</v>
      </c>
      <c r="Y22" s="19">
        <v>0</v>
      </c>
      <c r="Z22" s="19">
        <v>-18.3</v>
      </c>
      <c r="AA22" s="19">
        <v>-18.3</v>
      </c>
      <c r="AB22" s="19">
        <v>0</v>
      </c>
      <c r="AC22" s="19">
        <v>-18.3</v>
      </c>
      <c r="AD22" s="7"/>
      <c r="AE22" s="7"/>
      <c r="AF22" s="7">
        <v>1</v>
      </c>
      <c r="AG22" s="7">
        <v>1</v>
      </c>
      <c r="AH22" s="7">
        <f t="shared" si="17"/>
        <v>5</v>
      </c>
      <c r="AI22" s="7">
        <v>1</v>
      </c>
      <c r="AJ22" s="7">
        <v>3.66</v>
      </c>
      <c r="AK22" s="7" t="str">
        <f t="shared" si="18"/>
        <v>Coal API #2-EURP Sep11 02-AUG-11 80.00</v>
      </c>
      <c r="AL22" s="1" t="str">
        <f t="shared" si="0"/>
        <v>P</v>
      </c>
      <c r="AM22" s="26">
        <f t="shared" si="19"/>
        <v>0</v>
      </c>
      <c r="AN22" s="28">
        <f t="shared" si="20"/>
        <v>0</v>
      </c>
      <c r="AO22" s="1">
        <f t="shared" si="21"/>
        <v>0</v>
      </c>
      <c r="AP22" s="29">
        <f t="shared" si="22"/>
        <v>0</v>
      </c>
      <c r="AQ22" s="29">
        <f t="shared" si="23"/>
        <v>0</v>
      </c>
      <c r="AR22" s="1">
        <f t="shared" si="24"/>
        <v>3.66</v>
      </c>
      <c r="AS22" s="1">
        <f t="shared" si="36"/>
        <v>0</v>
      </c>
      <c r="AT22" s="1">
        <f t="shared" si="37"/>
        <v>0</v>
      </c>
      <c r="AU22" s="1">
        <f t="shared" si="38"/>
        <v>0</v>
      </c>
      <c r="AV22" s="1">
        <f t="shared" si="39"/>
        <v>0</v>
      </c>
      <c r="AW22" s="1">
        <f t="shared" si="40"/>
        <v>0</v>
      </c>
      <c r="AX22" s="21">
        <f t="shared" si="25"/>
        <v>-18.3</v>
      </c>
      <c r="AY22" s="1">
        <f t="shared" si="26"/>
        <v>0</v>
      </c>
      <c r="AZ22" s="1">
        <f t="shared" si="27"/>
        <v>0</v>
      </c>
      <c r="BA22" s="1">
        <v>0</v>
      </c>
      <c r="BB22" s="1">
        <f t="shared" si="41"/>
        <v>-18.3</v>
      </c>
      <c r="BC22" s="1">
        <f t="shared" si="42"/>
        <v>0</v>
      </c>
      <c r="BD22" s="1">
        <f t="shared" si="43"/>
        <v>-18.3</v>
      </c>
      <c r="BE22" s="1">
        <f t="shared" si="44"/>
        <v>-18.3</v>
      </c>
      <c r="BF22" s="1">
        <f t="shared" si="45"/>
        <v>0</v>
      </c>
      <c r="BG22" s="1">
        <f t="shared" si="46"/>
        <v>-18.3</v>
      </c>
      <c r="BH22" s="24">
        <f t="shared" si="1"/>
        <v>0</v>
      </c>
      <c r="BI22" s="12">
        <f t="shared" si="34"/>
        <v>0</v>
      </c>
      <c r="BJ22" s="12">
        <f t="shared" si="35"/>
        <v>0</v>
      </c>
      <c r="BK22" s="3">
        <f t="shared" si="2"/>
        <v>0</v>
      </c>
      <c r="BL22" s="3">
        <f t="shared" si="3"/>
        <v>0</v>
      </c>
      <c r="BM22" s="3">
        <f t="shared" si="4"/>
        <v>0</v>
      </c>
      <c r="BN22" s="3">
        <f t="shared" si="5"/>
        <v>0</v>
      </c>
      <c r="BO22" s="3">
        <f t="shared" si="6"/>
        <v>0</v>
      </c>
      <c r="BP22" s="3">
        <f t="shared" si="7"/>
        <v>0</v>
      </c>
      <c r="BQ22" s="3">
        <f t="shared" si="8"/>
        <v>0</v>
      </c>
      <c r="BR22" s="3">
        <f t="shared" si="9"/>
        <v>0</v>
      </c>
      <c r="BS22" s="3">
        <f t="shared" si="10"/>
        <v>0</v>
      </c>
      <c r="BT22" s="3">
        <f t="shared" si="11"/>
        <v>0</v>
      </c>
      <c r="BU22" s="3">
        <f t="shared" si="12"/>
        <v>0</v>
      </c>
      <c r="BV22" s="3">
        <f t="shared" si="13"/>
        <v>0</v>
      </c>
      <c r="BW22" s="3">
        <f t="shared" si="14"/>
        <v>0</v>
      </c>
      <c r="BX22" s="3">
        <f t="shared" si="15"/>
        <v>0</v>
      </c>
      <c r="BY22" s="3">
        <f t="shared" si="16"/>
        <v>0</v>
      </c>
      <c r="BZ22" s="30"/>
      <c r="CA22" s="31"/>
      <c r="CB22" s="31"/>
      <c r="CC22" s="31"/>
      <c r="CD22" s="31"/>
      <c r="CE22" s="22"/>
    </row>
    <row r="23" spans="2:83" x14ac:dyDescent="0.25">
      <c r="B23" s="19" t="s">
        <v>83</v>
      </c>
      <c r="C23" s="19" t="s">
        <v>84</v>
      </c>
      <c r="D23" s="19" t="s">
        <v>95</v>
      </c>
      <c r="E23" s="37">
        <v>40845</v>
      </c>
      <c r="F23" s="37">
        <v>40872</v>
      </c>
      <c r="G23" s="37">
        <v>40816</v>
      </c>
      <c r="H23" s="19">
        <v>130</v>
      </c>
      <c r="I23" s="19" t="s">
        <v>8</v>
      </c>
      <c r="J23" s="19">
        <v>5</v>
      </c>
      <c r="K23" s="19">
        <v>673</v>
      </c>
      <c r="L23" s="19">
        <v>3.66</v>
      </c>
      <c r="M23" s="19">
        <v>-18.3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 s="19">
        <v>0</v>
      </c>
      <c r="W23" s="19">
        <v>0</v>
      </c>
      <c r="X23" s="19">
        <v>-18.3</v>
      </c>
      <c r="Y23" s="19">
        <v>0</v>
      </c>
      <c r="Z23" s="19">
        <v>-18.3</v>
      </c>
      <c r="AA23" s="19">
        <v>-18.3</v>
      </c>
      <c r="AB23" s="19">
        <v>0</v>
      </c>
      <c r="AC23" s="19">
        <v>-18.3</v>
      </c>
      <c r="AD23" s="7"/>
      <c r="AE23" s="7"/>
      <c r="AF23" s="10">
        <v>1</v>
      </c>
      <c r="AG23" s="7">
        <v>1</v>
      </c>
      <c r="AH23" s="7">
        <f t="shared" si="17"/>
        <v>5</v>
      </c>
      <c r="AI23" s="7">
        <v>1</v>
      </c>
      <c r="AJ23" s="7">
        <v>3.66</v>
      </c>
      <c r="AK23" s="7" t="str">
        <f t="shared" si="18"/>
        <v>Coal API #2-EURC Nov11 30-SEP-11 130.00</v>
      </c>
      <c r="AL23" s="1" t="str">
        <f t="shared" si="0"/>
        <v>C</v>
      </c>
      <c r="AM23" s="26">
        <f t="shared" si="19"/>
        <v>0</v>
      </c>
      <c r="AN23" s="28">
        <f t="shared" si="20"/>
        <v>0</v>
      </c>
      <c r="AO23" s="1">
        <f t="shared" si="21"/>
        <v>0</v>
      </c>
      <c r="AP23" s="29">
        <f t="shared" si="22"/>
        <v>0</v>
      </c>
      <c r="AQ23" s="29">
        <f t="shared" si="23"/>
        <v>0</v>
      </c>
      <c r="AR23" s="1">
        <f t="shared" si="24"/>
        <v>3.66</v>
      </c>
      <c r="AS23" s="1">
        <f t="shared" si="36"/>
        <v>0</v>
      </c>
      <c r="AT23" s="1">
        <f t="shared" si="37"/>
        <v>0</v>
      </c>
      <c r="AU23" s="1">
        <f t="shared" si="38"/>
        <v>0</v>
      </c>
      <c r="AV23" s="1">
        <f t="shared" si="39"/>
        <v>0</v>
      </c>
      <c r="AW23" s="1">
        <f t="shared" si="40"/>
        <v>0</v>
      </c>
      <c r="AX23" s="21">
        <f t="shared" si="25"/>
        <v>-18.3</v>
      </c>
      <c r="AY23" s="1">
        <f t="shared" si="26"/>
        <v>0</v>
      </c>
      <c r="AZ23" s="1">
        <f t="shared" si="27"/>
        <v>0</v>
      </c>
      <c r="BA23" s="1">
        <v>0</v>
      </c>
      <c r="BB23" s="1">
        <f t="shared" si="41"/>
        <v>-18.3</v>
      </c>
      <c r="BC23" s="1">
        <f t="shared" si="42"/>
        <v>0</v>
      </c>
      <c r="BD23" s="1">
        <f t="shared" si="43"/>
        <v>-18.3</v>
      </c>
      <c r="BE23" s="1">
        <f t="shared" si="44"/>
        <v>-18.3</v>
      </c>
      <c r="BF23" s="1">
        <f t="shared" si="45"/>
        <v>0</v>
      </c>
      <c r="BG23" s="1">
        <f t="shared" si="46"/>
        <v>-18.3</v>
      </c>
      <c r="BH23" s="24">
        <f t="shared" si="1"/>
        <v>0</v>
      </c>
      <c r="BI23" s="12">
        <f t="shared" si="34"/>
        <v>0</v>
      </c>
      <c r="BJ23" s="12">
        <f t="shared" si="35"/>
        <v>0</v>
      </c>
      <c r="BK23" s="3">
        <f t="shared" si="2"/>
        <v>0</v>
      </c>
      <c r="BL23" s="3">
        <f t="shared" si="3"/>
        <v>0</v>
      </c>
      <c r="BM23" s="3">
        <f t="shared" si="4"/>
        <v>0</v>
      </c>
      <c r="BN23" s="3">
        <f t="shared" si="5"/>
        <v>0</v>
      </c>
      <c r="BO23" s="3">
        <f t="shared" si="6"/>
        <v>0</v>
      </c>
      <c r="BP23" s="3">
        <f t="shared" si="7"/>
        <v>0</v>
      </c>
      <c r="BQ23" s="3">
        <f t="shared" si="8"/>
        <v>0</v>
      </c>
      <c r="BR23" s="3">
        <f t="shared" si="9"/>
        <v>0</v>
      </c>
      <c r="BS23" s="3">
        <f t="shared" si="10"/>
        <v>0</v>
      </c>
      <c r="BT23" s="3">
        <f t="shared" si="11"/>
        <v>0</v>
      </c>
      <c r="BU23" s="3">
        <f t="shared" si="12"/>
        <v>0</v>
      </c>
      <c r="BV23" s="3">
        <f t="shared" si="13"/>
        <v>0</v>
      </c>
      <c r="BW23" s="3">
        <f t="shared" si="14"/>
        <v>0</v>
      </c>
      <c r="BX23" s="3">
        <f t="shared" si="15"/>
        <v>0</v>
      </c>
      <c r="BY23" s="3">
        <f t="shared" si="16"/>
        <v>0</v>
      </c>
      <c r="BZ23" s="30"/>
      <c r="CA23" s="31"/>
      <c r="CB23" s="31"/>
      <c r="CC23" s="31"/>
      <c r="CD23" s="31"/>
      <c r="CE23" s="22"/>
    </row>
    <row r="24" spans="2:83" x14ac:dyDescent="0.25">
      <c r="B24" s="19" t="s">
        <v>83</v>
      </c>
      <c r="C24" s="19" t="s">
        <v>84</v>
      </c>
      <c r="D24" s="19" t="s">
        <v>96</v>
      </c>
      <c r="E24" s="37">
        <v>40845</v>
      </c>
      <c r="F24" s="37">
        <v>40872</v>
      </c>
      <c r="G24" s="37">
        <v>40816</v>
      </c>
      <c r="H24" s="19">
        <v>130</v>
      </c>
      <c r="I24" s="19" t="s">
        <v>8</v>
      </c>
      <c r="J24" s="19">
        <v>5</v>
      </c>
      <c r="K24" s="19">
        <v>673</v>
      </c>
      <c r="L24" s="19">
        <v>3.66</v>
      </c>
      <c r="M24" s="19">
        <v>-18.3</v>
      </c>
      <c r="N24" s="19">
        <v>0</v>
      </c>
      <c r="O24" s="19">
        <v>0</v>
      </c>
      <c r="P24" s="19">
        <v>0</v>
      </c>
      <c r="Q24" s="19">
        <v>0</v>
      </c>
      <c r="R24" s="19">
        <v>0</v>
      </c>
      <c r="S24" s="19">
        <v>0</v>
      </c>
      <c r="T24" s="19">
        <v>0</v>
      </c>
      <c r="U24" s="19">
        <v>0</v>
      </c>
      <c r="V24" s="19">
        <v>0</v>
      </c>
      <c r="W24" s="19">
        <v>0</v>
      </c>
      <c r="X24" s="19">
        <v>-18.3</v>
      </c>
      <c r="Y24" s="19">
        <v>0</v>
      </c>
      <c r="Z24" s="19">
        <v>-18.3</v>
      </c>
      <c r="AA24" s="19">
        <v>-18.3</v>
      </c>
      <c r="AB24" s="19">
        <v>0</v>
      </c>
      <c r="AC24" s="19">
        <v>-18.3</v>
      </c>
      <c r="AD24" s="7"/>
      <c r="AE24" s="7"/>
      <c r="AF24" s="10">
        <v>1</v>
      </c>
      <c r="AG24" s="7">
        <v>1</v>
      </c>
      <c r="AH24" s="7">
        <f t="shared" si="17"/>
        <v>5</v>
      </c>
      <c r="AI24" s="7">
        <v>1</v>
      </c>
      <c r="AJ24" s="7">
        <v>3.66</v>
      </c>
      <c r="AK24" s="7" t="str">
        <f t="shared" si="18"/>
        <v>Coal API #2-EURP Nov11 30-SEP-11 130.00</v>
      </c>
      <c r="AL24" s="1" t="str">
        <f t="shared" si="0"/>
        <v>P</v>
      </c>
      <c r="AM24" s="26">
        <f t="shared" si="19"/>
        <v>0</v>
      </c>
      <c r="AN24" s="28">
        <f t="shared" si="20"/>
        <v>0</v>
      </c>
      <c r="AO24" s="1">
        <f t="shared" si="21"/>
        <v>0</v>
      </c>
      <c r="AP24" s="29">
        <f t="shared" si="22"/>
        <v>0</v>
      </c>
      <c r="AQ24" s="29">
        <f t="shared" si="23"/>
        <v>0</v>
      </c>
      <c r="AR24" s="1">
        <f t="shared" si="24"/>
        <v>3.66</v>
      </c>
      <c r="AS24" s="1">
        <f t="shared" si="36"/>
        <v>0</v>
      </c>
      <c r="AT24" s="1">
        <f t="shared" si="37"/>
        <v>0</v>
      </c>
      <c r="AU24" s="1">
        <f t="shared" si="38"/>
        <v>0</v>
      </c>
      <c r="AV24" s="1">
        <f t="shared" si="39"/>
        <v>0</v>
      </c>
      <c r="AW24" s="1">
        <f t="shared" si="40"/>
        <v>0</v>
      </c>
      <c r="AX24" s="21">
        <f t="shared" si="25"/>
        <v>-18.3</v>
      </c>
      <c r="AY24" s="1">
        <f t="shared" si="26"/>
        <v>0</v>
      </c>
      <c r="AZ24" s="1">
        <f t="shared" si="27"/>
        <v>0</v>
      </c>
      <c r="BA24" s="1">
        <v>0</v>
      </c>
      <c r="BB24" s="1">
        <f t="shared" si="41"/>
        <v>-18.3</v>
      </c>
      <c r="BC24" s="1">
        <f t="shared" si="42"/>
        <v>0</v>
      </c>
      <c r="BD24" s="1">
        <f t="shared" si="43"/>
        <v>-18.3</v>
      </c>
      <c r="BE24" s="1">
        <f t="shared" si="44"/>
        <v>-18.3</v>
      </c>
      <c r="BF24" s="1">
        <f t="shared" si="45"/>
        <v>0</v>
      </c>
      <c r="BG24" s="1">
        <f t="shared" si="46"/>
        <v>-18.3</v>
      </c>
      <c r="BH24" s="24">
        <f t="shared" si="1"/>
        <v>0</v>
      </c>
      <c r="BI24" s="12">
        <f t="shared" si="34"/>
        <v>0</v>
      </c>
      <c r="BJ24" s="12">
        <f t="shared" si="35"/>
        <v>0</v>
      </c>
      <c r="BK24" s="3">
        <f t="shared" si="2"/>
        <v>0</v>
      </c>
      <c r="BL24" s="3">
        <f t="shared" si="3"/>
        <v>0</v>
      </c>
      <c r="BM24" s="3">
        <f t="shared" si="4"/>
        <v>0</v>
      </c>
      <c r="BN24" s="3">
        <f t="shared" si="5"/>
        <v>0</v>
      </c>
      <c r="BO24" s="3">
        <f t="shared" si="6"/>
        <v>0</v>
      </c>
      <c r="BP24" s="3">
        <f t="shared" si="7"/>
        <v>0</v>
      </c>
      <c r="BQ24" s="3">
        <f t="shared" si="8"/>
        <v>0</v>
      </c>
      <c r="BR24" s="3">
        <f t="shared" si="9"/>
        <v>0</v>
      </c>
      <c r="BS24" s="3">
        <f t="shared" si="10"/>
        <v>0</v>
      </c>
      <c r="BT24" s="3">
        <f t="shared" si="11"/>
        <v>0</v>
      </c>
      <c r="BU24" s="3">
        <f t="shared" si="12"/>
        <v>0</v>
      </c>
      <c r="BV24" s="3">
        <f t="shared" si="13"/>
        <v>0</v>
      </c>
      <c r="BW24" s="3">
        <f t="shared" si="14"/>
        <v>0</v>
      </c>
      <c r="BX24" s="3">
        <f t="shared" si="15"/>
        <v>0</v>
      </c>
      <c r="BY24" s="3">
        <f t="shared" si="16"/>
        <v>0</v>
      </c>
      <c r="BZ24" s="30"/>
      <c r="CA24" s="31"/>
      <c r="CB24" s="31"/>
      <c r="CC24" s="31"/>
      <c r="CD24" s="31"/>
      <c r="CE24" s="22"/>
    </row>
    <row r="25" spans="2:83" x14ac:dyDescent="0.25">
      <c r="B25" s="19" t="s">
        <v>83</v>
      </c>
      <c r="C25" s="19" t="s">
        <v>84</v>
      </c>
      <c r="D25" s="19" t="s">
        <v>97</v>
      </c>
      <c r="E25" s="37">
        <v>40845</v>
      </c>
      <c r="F25" s="37">
        <v>40872</v>
      </c>
      <c r="G25" s="37">
        <v>40816</v>
      </c>
      <c r="H25" s="19">
        <v>80</v>
      </c>
      <c r="I25" s="19" t="s">
        <v>8</v>
      </c>
      <c r="J25" s="19">
        <v>5</v>
      </c>
      <c r="K25" s="19">
        <v>673</v>
      </c>
      <c r="L25" s="19">
        <v>3.66</v>
      </c>
      <c r="M25" s="19">
        <v>-18.3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-18.3</v>
      </c>
      <c r="Y25" s="19">
        <v>0</v>
      </c>
      <c r="Z25" s="19">
        <v>-18.3</v>
      </c>
      <c r="AA25" s="19">
        <v>-18.3</v>
      </c>
      <c r="AB25" s="19">
        <v>0</v>
      </c>
      <c r="AC25" s="19">
        <v>-18.3</v>
      </c>
      <c r="AD25" s="7"/>
      <c r="AE25" s="7"/>
      <c r="AF25" s="10">
        <v>1</v>
      </c>
      <c r="AG25" s="7">
        <v>1</v>
      </c>
      <c r="AH25" s="7">
        <f t="shared" si="17"/>
        <v>5</v>
      </c>
      <c r="AI25" s="7">
        <v>1</v>
      </c>
      <c r="AJ25" s="7">
        <v>3.66</v>
      </c>
      <c r="AK25" s="7" t="str">
        <f t="shared" ref="AK25:AK26" si="47">B25&amp;"-"&amp;D25</f>
        <v>Coal API #2-EURC Nov11 30-SEP-11 80.00</v>
      </c>
      <c r="AL25" s="1" t="str">
        <f t="shared" ref="AL25:AL26" si="48">MID(D25,4,1)</f>
        <v>C</v>
      </c>
      <c r="AM25" s="26">
        <f t="shared" ref="AM25:AM26" si="49">N25/AG25</f>
        <v>0</v>
      </c>
      <c r="AN25" s="28">
        <f t="shared" ref="AN25:AN26" si="50">ImpliedVolatilityB76Future($E$9,AL25,AE25,H25,G25,AM25,AD25)</f>
        <v>0</v>
      </c>
      <c r="AO25" s="1">
        <f t="shared" ref="AO25:AO26" si="51">AM25*AG25</f>
        <v>0</v>
      </c>
      <c r="AP25" s="29">
        <f t="shared" ref="AP25:AP26" si="52">B76Future($E$9,AL25,AE25,H25,G25,AN25,AD25)</f>
        <v>0</v>
      </c>
      <c r="AQ25" s="29">
        <f t="shared" ref="AQ25:AQ26" si="53">B76Future($E$9,AL25,AE25,H25,G25,T25,AD25)</f>
        <v>0</v>
      </c>
      <c r="AR25" s="1">
        <f t="shared" ref="AR25:AR26" si="54">AJ25*AF25</f>
        <v>3.66</v>
      </c>
      <c r="AS25" s="1">
        <f t="shared" ref="AS25:AS26" si="55">B76Delta($E$9,AL25,AE25,H25,G25,T25,AD25)</f>
        <v>0</v>
      </c>
      <c r="AT25" s="1">
        <f t="shared" ref="AT25:AT26" si="56">B76Gamma($E$9,AL25,AE25,H25,G25,T25,AD25)</f>
        <v>0</v>
      </c>
      <c r="AU25" s="1">
        <f t="shared" ref="AU25:AU26" si="57">B76Vega($E$9,AL25,AE25,H25,G25,T25,AD25)</f>
        <v>0</v>
      </c>
      <c r="AV25" s="1">
        <f t="shared" ref="AV25:AV26" si="58">B76Theta($E$9,AL25,AE25,H25,G25,T25,AD25)</f>
        <v>0</v>
      </c>
      <c r="AW25" s="1">
        <f t="shared" ref="AW25:AW26" si="59">B76Rho($E$9,AL25,AE25,H25,G25,T25,AD25)</f>
        <v>0</v>
      </c>
      <c r="AX25" s="21">
        <f t="shared" ref="AX25:AX26" si="60">-AR25*AH25*AI25</f>
        <v>-18.3</v>
      </c>
      <c r="AY25" s="1">
        <f t="shared" ref="AY25:AY26" si="61">AO25*AH25*AI25</f>
        <v>0</v>
      </c>
      <c r="AZ25" s="1">
        <f t="shared" ref="AZ25:AZ26" si="62">AY25</f>
        <v>0</v>
      </c>
      <c r="BA25" s="1">
        <v>0</v>
      </c>
      <c r="BB25" s="1">
        <f t="shared" ref="BB25:BB26" si="63">AX25+BA25</f>
        <v>-18.3</v>
      </c>
      <c r="BC25" s="1">
        <f t="shared" ref="BC25:BC26" si="64">AZ25</f>
        <v>0</v>
      </c>
      <c r="BD25" s="1">
        <f t="shared" ref="BD25:BD26" si="65">BB25+BC25</f>
        <v>-18.3</v>
      </c>
      <c r="BE25" s="1">
        <f t="shared" ref="BE25:BE26" si="66">BA25+AX25</f>
        <v>-18.3</v>
      </c>
      <c r="BF25" s="1">
        <f t="shared" ref="BF25:BF26" si="67">AZ25</f>
        <v>0</v>
      </c>
      <c r="BG25" s="1">
        <f t="shared" ref="BG25:BG26" si="68">BE25+BF25</f>
        <v>-18.3</v>
      </c>
      <c r="BH25" s="24">
        <f t="shared" ref="BH25:BH26" si="69">AS25*AH25</f>
        <v>0</v>
      </c>
      <c r="BI25" s="12">
        <f t="shared" ref="BI25:BI26" si="70">QaAssert(T25,AN25)</f>
        <v>0</v>
      </c>
      <c r="BJ25" s="12">
        <f t="shared" ref="BJ25:BJ26" si="71">QaAssert(L25,AR25)</f>
        <v>0</v>
      </c>
      <c r="BK25" s="3">
        <f t="shared" ref="BK25:BK26" si="72">QaAssert(AX25,M25)</f>
        <v>0</v>
      </c>
      <c r="BL25" s="3">
        <f t="shared" ref="BL25:BL26" si="73">QaAssert(AY25,U25)</f>
        <v>0</v>
      </c>
      <c r="BM25" s="3">
        <f t="shared" ref="BM25:BM26" si="74">QaAssert(AZ25, V25)</f>
        <v>0</v>
      </c>
      <c r="BN25" s="3">
        <f t="shared" ref="BN25:BN26" si="75">QaAssert(W25,BA25)</f>
        <v>0</v>
      </c>
      <c r="BO25" s="3">
        <f t="shared" ref="BO25:BO26" si="76">QaAssert(X25,BB25)</f>
        <v>0</v>
      </c>
      <c r="BP25" s="3">
        <f t="shared" ref="BP25:BP26" si="77">QaAssert(Y25,BC25)</f>
        <v>0</v>
      </c>
      <c r="BQ25" s="3">
        <f t="shared" ref="BQ25:BQ26" si="78">QaAssert(Z25,BD25)</f>
        <v>0</v>
      </c>
      <c r="BR25" s="3">
        <f t="shared" ref="BR25:BR26" si="79">QaAssert(AA25,BE25)</f>
        <v>0</v>
      </c>
      <c r="BS25" s="3">
        <f t="shared" ref="BS25:BS26" si="80">QaAssert(AB25,BF25)</f>
        <v>0</v>
      </c>
      <c r="BT25" s="3">
        <f t="shared" ref="BT25:BT26" si="81">QaAssert(AC25,BG25)</f>
        <v>0</v>
      </c>
      <c r="BU25" s="3">
        <f t="shared" ref="BU25:BU26" si="82">QaAssert(O25,AS25)</f>
        <v>0</v>
      </c>
      <c r="BV25" s="3">
        <f t="shared" ref="BV25:BV26" si="83">QaAssert(P25,AT25)</f>
        <v>0</v>
      </c>
      <c r="BW25" s="3">
        <f t="shared" ref="BW25:BW26" si="84">QaAssert(Q25,AU25)</f>
        <v>0</v>
      </c>
      <c r="BX25" s="3">
        <f t="shared" ref="BX25:BX26" si="85">QaAssert(S25,AW25)</f>
        <v>0</v>
      </c>
      <c r="BY25" s="3">
        <f t="shared" ref="BY25:BY26" si="86">QaAssert(R25,AV25)</f>
        <v>0</v>
      </c>
      <c r="BZ25" s="30"/>
      <c r="CA25" s="30"/>
      <c r="CB25" s="30"/>
      <c r="CC25" s="30"/>
      <c r="CD25" s="30"/>
    </row>
    <row r="26" spans="2:83" ht="15.75" customHeight="1" x14ac:dyDescent="0.25">
      <c r="B26" s="19" t="s">
        <v>83</v>
      </c>
      <c r="C26" s="19" t="s">
        <v>84</v>
      </c>
      <c r="D26" s="19" t="s">
        <v>98</v>
      </c>
      <c r="E26" s="37">
        <v>40845</v>
      </c>
      <c r="F26" s="37">
        <v>40872</v>
      </c>
      <c r="G26" s="37">
        <v>40816</v>
      </c>
      <c r="H26" s="19">
        <v>80</v>
      </c>
      <c r="I26" s="19" t="s">
        <v>8</v>
      </c>
      <c r="J26" s="19">
        <v>5</v>
      </c>
      <c r="K26" s="19">
        <v>673</v>
      </c>
      <c r="L26" s="19">
        <v>3.66</v>
      </c>
      <c r="M26" s="19">
        <v>-18.3</v>
      </c>
      <c r="N26" s="19">
        <v>0</v>
      </c>
      <c r="O26" s="19">
        <v>0</v>
      </c>
      <c r="P26" s="19">
        <v>0</v>
      </c>
      <c r="Q26" s="19">
        <v>0</v>
      </c>
      <c r="R26" s="19">
        <v>0</v>
      </c>
      <c r="S26" s="19">
        <v>0</v>
      </c>
      <c r="T26" s="19">
        <v>0</v>
      </c>
      <c r="U26" s="19">
        <v>0</v>
      </c>
      <c r="V26" s="19">
        <v>0</v>
      </c>
      <c r="W26" s="19">
        <v>0</v>
      </c>
      <c r="X26" s="19">
        <v>-18.3</v>
      </c>
      <c r="Y26" s="19">
        <v>0</v>
      </c>
      <c r="Z26" s="19">
        <v>-18.3</v>
      </c>
      <c r="AA26" s="19">
        <v>-18.3</v>
      </c>
      <c r="AB26" s="19">
        <v>0</v>
      </c>
      <c r="AC26" s="19">
        <v>-18.3</v>
      </c>
      <c r="AD26" s="7"/>
      <c r="AE26" s="7"/>
      <c r="AF26" s="10">
        <v>1</v>
      </c>
      <c r="AG26" s="7">
        <v>1</v>
      </c>
      <c r="AH26" s="7">
        <f t="shared" si="17"/>
        <v>5</v>
      </c>
      <c r="AI26" s="7">
        <v>1</v>
      </c>
      <c r="AJ26" s="7">
        <v>3.66</v>
      </c>
      <c r="AK26" s="7" t="str">
        <f t="shared" si="47"/>
        <v>Coal API #2-EURP Nov11 30-SEP-11 80.00</v>
      </c>
      <c r="AL26" s="1" t="str">
        <f t="shared" si="48"/>
        <v>P</v>
      </c>
      <c r="AM26" s="26">
        <f t="shared" si="49"/>
        <v>0</v>
      </c>
      <c r="AN26" s="28">
        <f t="shared" si="50"/>
        <v>0</v>
      </c>
      <c r="AO26" s="1">
        <f t="shared" si="51"/>
        <v>0</v>
      </c>
      <c r="AP26" s="29">
        <f t="shared" si="52"/>
        <v>0</v>
      </c>
      <c r="AQ26" s="29">
        <f t="shared" si="53"/>
        <v>0</v>
      </c>
      <c r="AR26" s="1">
        <f t="shared" si="54"/>
        <v>3.66</v>
      </c>
      <c r="AS26" s="1">
        <f t="shared" si="55"/>
        <v>0</v>
      </c>
      <c r="AT26" s="1">
        <f t="shared" si="56"/>
        <v>0</v>
      </c>
      <c r="AU26" s="1">
        <f t="shared" si="57"/>
        <v>0</v>
      </c>
      <c r="AV26" s="1">
        <f t="shared" si="58"/>
        <v>0</v>
      </c>
      <c r="AW26" s="1">
        <f t="shared" si="59"/>
        <v>0</v>
      </c>
      <c r="AX26" s="21">
        <f t="shared" si="60"/>
        <v>-18.3</v>
      </c>
      <c r="AY26" s="1">
        <f t="shared" si="61"/>
        <v>0</v>
      </c>
      <c r="AZ26" s="1">
        <f t="shared" si="62"/>
        <v>0</v>
      </c>
      <c r="BA26" s="1">
        <v>0</v>
      </c>
      <c r="BB26" s="1">
        <f t="shared" si="63"/>
        <v>-18.3</v>
      </c>
      <c r="BC26" s="1">
        <f t="shared" si="64"/>
        <v>0</v>
      </c>
      <c r="BD26" s="1">
        <f t="shared" si="65"/>
        <v>-18.3</v>
      </c>
      <c r="BE26" s="1">
        <f t="shared" si="66"/>
        <v>-18.3</v>
      </c>
      <c r="BF26" s="1">
        <f t="shared" si="67"/>
        <v>0</v>
      </c>
      <c r="BG26" s="1">
        <f t="shared" si="68"/>
        <v>-18.3</v>
      </c>
      <c r="BH26" s="24">
        <f t="shared" si="69"/>
        <v>0</v>
      </c>
      <c r="BI26" s="12">
        <f t="shared" si="70"/>
        <v>0</v>
      </c>
      <c r="BJ26" s="12">
        <f t="shared" si="71"/>
        <v>0</v>
      </c>
      <c r="BK26" s="3">
        <f t="shared" si="72"/>
        <v>0</v>
      </c>
      <c r="BL26" s="3">
        <f t="shared" si="73"/>
        <v>0</v>
      </c>
      <c r="BM26" s="3">
        <f t="shared" si="74"/>
        <v>0</v>
      </c>
      <c r="BN26" s="3">
        <f t="shared" si="75"/>
        <v>0</v>
      </c>
      <c r="BO26" s="3">
        <f t="shared" si="76"/>
        <v>0</v>
      </c>
      <c r="BP26" s="3">
        <f t="shared" si="77"/>
        <v>0</v>
      </c>
      <c r="BQ26" s="3">
        <f t="shared" si="78"/>
        <v>0</v>
      </c>
      <c r="BR26" s="3">
        <f t="shared" si="79"/>
        <v>0</v>
      </c>
      <c r="BS26" s="3">
        <f t="shared" si="80"/>
        <v>0</v>
      </c>
      <c r="BT26" s="3">
        <f t="shared" si="81"/>
        <v>0</v>
      </c>
      <c r="BU26" s="3">
        <f t="shared" si="82"/>
        <v>0</v>
      </c>
      <c r="BV26" s="3">
        <f t="shared" si="83"/>
        <v>0</v>
      </c>
      <c r="BW26" s="3">
        <f t="shared" si="84"/>
        <v>0</v>
      </c>
      <c r="BX26" s="3">
        <f t="shared" si="85"/>
        <v>0</v>
      </c>
      <c r="BY26" s="3">
        <f t="shared" si="86"/>
        <v>0</v>
      </c>
      <c r="BZ26" s="30"/>
      <c r="CA26" s="30"/>
      <c r="CB26" s="30"/>
      <c r="CC26" s="30"/>
      <c r="CD26" s="30"/>
    </row>
    <row r="27" spans="2:83" x14ac:dyDescent="0.25">
      <c r="BZ27" s="30"/>
      <c r="CA27" s="30"/>
      <c r="CB27" s="30"/>
      <c r="CC27" s="30"/>
      <c r="CD27" s="30"/>
    </row>
    <row r="28" spans="2:83" x14ac:dyDescent="0.25">
      <c r="BZ28" s="32"/>
      <c r="CA28" s="30"/>
      <c r="CB28" s="30"/>
      <c r="CC28" s="30"/>
      <c r="CD28" s="30"/>
    </row>
    <row r="29" spans="2:83" ht="15" customHeight="1" x14ac:dyDescent="0.25">
      <c r="BZ29" s="32"/>
      <c r="CA29" s="30"/>
      <c r="CB29" s="30"/>
      <c r="CC29" s="30"/>
      <c r="CD29" s="30"/>
    </row>
    <row r="30" spans="2:83" x14ac:dyDescent="0.25">
      <c r="AD30" s="22"/>
      <c r="BZ30" s="32"/>
      <c r="CA30" s="30"/>
      <c r="CB30" s="30"/>
      <c r="CC30" s="30"/>
      <c r="CD30" s="30"/>
    </row>
    <row r="31" spans="2:83" x14ac:dyDescent="0.25">
      <c r="BZ31" s="32"/>
      <c r="CA31" s="30"/>
      <c r="CB31" s="30"/>
      <c r="CC31" s="30"/>
      <c r="CD31" s="30"/>
    </row>
    <row r="32" spans="2:83" x14ac:dyDescent="0.25">
      <c r="BZ32" s="32"/>
      <c r="CA32" s="30"/>
      <c r="CB32" s="30"/>
      <c r="CC32" s="30"/>
      <c r="CD32" s="30"/>
    </row>
    <row r="33" spans="78:82" x14ac:dyDescent="0.25">
      <c r="BZ33" s="32"/>
      <c r="CA33" s="30"/>
      <c r="CB33" s="30"/>
      <c r="CC33" s="30"/>
      <c r="CD33" s="30"/>
    </row>
    <row r="34" spans="78:82" x14ac:dyDescent="0.25">
      <c r="BZ34" s="32"/>
      <c r="CA34" s="30"/>
      <c r="CB34" s="30"/>
      <c r="CC34" s="30"/>
      <c r="CD34" s="30"/>
    </row>
    <row r="35" spans="78:82" x14ac:dyDescent="0.25">
      <c r="BZ35" s="32"/>
      <c r="CA35" s="30"/>
      <c r="CB35" s="30"/>
      <c r="CC35" s="30"/>
      <c r="CD35" s="30"/>
    </row>
    <row r="36" spans="78:82" x14ac:dyDescent="0.25">
      <c r="BZ36" s="32"/>
      <c r="CA36" s="33"/>
      <c r="CB36" s="33"/>
      <c r="CC36" s="33"/>
      <c r="CD36" s="33"/>
    </row>
    <row r="37" spans="78:82" x14ac:dyDescent="0.25">
      <c r="BZ37" s="30"/>
      <c r="CA37" s="30"/>
      <c r="CB37" s="30"/>
      <c r="CC37" s="30"/>
      <c r="CD37" s="30"/>
    </row>
    <row r="38" spans="78:82" x14ac:dyDescent="0.25">
      <c r="BZ38" s="30"/>
      <c r="CA38" s="30"/>
      <c r="CB38" s="30"/>
      <c r="CC38" s="30"/>
      <c r="CD38" s="30"/>
    </row>
    <row r="39" spans="78:82" x14ac:dyDescent="0.25">
      <c r="BZ39" s="30"/>
      <c r="CA39" s="30"/>
      <c r="CB39" s="30"/>
      <c r="CC39" s="30"/>
      <c r="CD39" s="30"/>
    </row>
    <row r="40" spans="78:82" x14ac:dyDescent="0.25">
      <c r="BZ40" s="32"/>
      <c r="CA40" s="30"/>
      <c r="CB40" s="30"/>
      <c r="CC40" s="30"/>
      <c r="CD40" s="30"/>
    </row>
    <row r="41" spans="78:82" x14ac:dyDescent="0.25">
      <c r="BZ41" s="32"/>
      <c r="CA41" s="30"/>
      <c r="CB41" s="30"/>
      <c r="CC41" s="30"/>
      <c r="CD41" s="30"/>
    </row>
    <row r="42" spans="78:82" x14ac:dyDescent="0.25">
      <c r="BZ42" s="32"/>
      <c r="CA42" s="30"/>
      <c r="CB42" s="30"/>
      <c r="CC42" s="30"/>
      <c r="CD42" s="30"/>
    </row>
    <row r="43" spans="78:82" x14ac:dyDescent="0.25">
      <c r="BZ43" s="32"/>
      <c r="CA43" s="30"/>
      <c r="CB43" s="30"/>
      <c r="CC43" s="30"/>
      <c r="CD43" s="30"/>
    </row>
    <row r="44" spans="78:82" x14ac:dyDescent="0.25">
      <c r="BZ44" s="32"/>
      <c r="CA44" s="30"/>
      <c r="CB44" s="30"/>
      <c r="CC44" s="30"/>
      <c r="CD44" s="30"/>
    </row>
    <row r="45" spans="78:82" x14ac:dyDescent="0.25">
      <c r="BZ45" s="32"/>
      <c r="CA45" s="30"/>
      <c r="CB45" s="30"/>
      <c r="CC45" s="30"/>
      <c r="CD45" s="30"/>
    </row>
    <row r="46" spans="78:82" x14ac:dyDescent="0.25">
      <c r="BZ46" s="32"/>
      <c r="CA46" s="30"/>
      <c r="CB46" s="30"/>
      <c r="CC46" s="30"/>
      <c r="CD46" s="30"/>
    </row>
    <row r="47" spans="78:82" x14ac:dyDescent="0.25">
      <c r="BZ47" s="32"/>
      <c r="CA47" s="30"/>
      <c r="CB47" s="30"/>
      <c r="CC47" s="30"/>
      <c r="CD47" s="30"/>
    </row>
    <row r="48" spans="78:82" x14ac:dyDescent="0.25">
      <c r="BZ48" s="32"/>
      <c r="CA48" s="33"/>
      <c r="CB48" s="33"/>
      <c r="CC48" s="33"/>
      <c r="CD48" s="33"/>
    </row>
  </sheetData>
  <mergeCells count="1">
    <mergeCell ref="BU11:BY11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PosMon-EUR-MtM-ClosePrice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QA Install</dc:creator>
  <cp:lastModifiedBy>Oyvind Kvamme</cp:lastModifiedBy>
  <dcterms:created xsi:type="dcterms:W3CDTF">2013-08-22T06:34:41Z</dcterms:created>
  <dcterms:modified xsi:type="dcterms:W3CDTF">2016-06-28T08:37:24Z</dcterms:modified>
</cp:coreProperties>
</file>