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\Elviz\Elviz\Development\QA\Regression\Bin\Verification\"/>
    </mc:Choice>
  </mc:AlternateContent>
  <bookViews>
    <workbookView xWindow="240" yWindow="105" windowWidth="19320" windowHeight="9030" activeTab="2"/>
  </bookViews>
  <sheets>
    <sheet name="PosMon-EUR-MtM-VolSurf" sheetId="31" r:id="rId1"/>
    <sheet name="PosMon-EUR-MtM-VolSurf-IntraDay" sheetId="32" r:id="rId2"/>
    <sheet name="PosMon-EUR-MtM-ClosePrice" sheetId="34" r:id="rId3"/>
    <sheet name="PosMon-EUR-MtM" sheetId="13" r:id="rId4"/>
    <sheet name="ActualCF-NOK-MtM" sheetId="21" r:id="rId5"/>
    <sheet name="ActualPL-EUR-Delta-Volsurf" sheetId="33" r:id="rId6"/>
    <sheet name="PosMon-EUR-Delta" sheetId="12" r:id="rId7"/>
    <sheet name="ActualCf-NOK-Bin" sheetId="19" r:id="rId8"/>
    <sheet name="ActualPL-NOK-Bin" sheetId="24" r:id="rId9"/>
    <sheet name="ActualPl-NOK-DeltaBin" sheetId="25" r:id="rId10"/>
    <sheet name="VolMwh-EUR-Bin" sheetId="26" r:id="rId11"/>
    <sheet name="VolMwh-EUR-DeltaBin" sheetId="27" r:id="rId12"/>
    <sheet name="TransMon-EUR" sheetId="30" r:id="rId13"/>
    <sheet name="PosMon-NOK-Bin-VolSurf" sheetId="16" r:id="rId14"/>
    <sheet name="PosMon-NOK-DeltaBin-VolSurf." sheetId="17" r:id="rId15"/>
    <sheet name="ActualCf-EUR-DeltaBin-Volsurf" sheetId="18" r:id="rId16"/>
    <sheet name="ActualCf-Nok-Delta-VolSurf" sheetId="20" r:id="rId17"/>
    <sheet name="ActualPL-EUR-MtM-VolSurf" sheetId="23" r:id="rId18"/>
    <sheet name="VolMwh-EUR-Delta-VolSurf" sheetId="28" r:id="rId19"/>
    <sheet name="VolOrg-EUR-Delta-VolSurf" sheetId="29" r:id="rId20"/>
  </sheets>
  <functionGroups builtInGroupCount="18"/>
  <calcPr calcId="152511"/>
</workbook>
</file>

<file path=xl/calcChain.xml><?xml version="1.0" encoding="utf-8"?>
<calcChain xmlns="http://schemas.openxmlformats.org/spreadsheetml/2006/main">
  <c r="CC48" i="34" l="1"/>
  <c r="CD48" i="34"/>
  <c r="CC17" i="34"/>
  <c r="CC16" i="34"/>
  <c r="CC15" i="34"/>
  <c r="CB48" i="34"/>
  <c r="CA48" i="34"/>
  <c r="CB36" i="34"/>
  <c r="CD36" i="34"/>
  <c r="CA36" i="34"/>
  <c r="CA14" i="34"/>
  <c r="CB14" i="34"/>
  <c r="CC14" i="34"/>
  <c r="CD14" i="34"/>
  <c r="CA15" i="34"/>
  <c r="CB15" i="34"/>
  <c r="CD15" i="34"/>
  <c r="CA16" i="34"/>
  <c r="CB16" i="34"/>
  <c r="CD16" i="34"/>
  <c r="CA17" i="34"/>
  <c r="CB17" i="34"/>
  <c r="CD17" i="34"/>
  <c r="CA18" i="34"/>
  <c r="CB18" i="34"/>
  <c r="CC18" i="34"/>
  <c r="CD18" i="34"/>
  <c r="CA19" i="34"/>
  <c r="CB19" i="34"/>
  <c r="CC19" i="34"/>
  <c r="CD19" i="34"/>
  <c r="CA20" i="34"/>
  <c r="CB20" i="34"/>
  <c r="CC20" i="34"/>
  <c r="CD20" i="34"/>
  <c r="CA21" i="34"/>
  <c r="CB21" i="34"/>
  <c r="CC21" i="34"/>
  <c r="CD21" i="34"/>
  <c r="CA22" i="34"/>
  <c r="CB22" i="34"/>
  <c r="CC22" i="34"/>
  <c r="CD22" i="34"/>
  <c r="CA23" i="34"/>
  <c r="CB23" i="34"/>
  <c r="CC23" i="34"/>
  <c r="CD23" i="34"/>
  <c r="CA24" i="34"/>
  <c r="CB24" i="34"/>
  <c r="CC24" i="34"/>
  <c r="CD24" i="34"/>
  <c r="CD13" i="34"/>
  <c r="CC13" i="34"/>
  <c r="CB13" i="34"/>
  <c r="CA13" i="34"/>
  <c r="CC36" i="34" l="1"/>
  <c r="AM14" i="34"/>
  <c r="AO14" i="34" s="1"/>
  <c r="AM15" i="34"/>
  <c r="AO15" i="34" s="1"/>
  <c r="AM16" i="34"/>
  <c r="AO16" i="34" s="1"/>
  <c r="AM17" i="34"/>
  <c r="AO17" i="34" s="1"/>
  <c r="AM18" i="34"/>
  <c r="AO18" i="34" s="1"/>
  <c r="AM19" i="34"/>
  <c r="AO19" i="34" s="1"/>
  <c r="AM20" i="34"/>
  <c r="AO20" i="34" s="1"/>
  <c r="AM21" i="34"/>
  <c r="AO21" i="34" s="1"/>
  <c r="AM22" i="34"/>
  <c r="AO22" i="34" s="1"/>
  <c r="AM23" i="34"/>
  <c r="AO23" i="34" s="1"/>
  <c r="AM24" i="34"/>
  <c r="AO24" i="34" s="1"/>
  <c r="AM13" i="34"/>
  <c r="AO13" i="34" s="1"/>
  <c r="BA24" i="34"/>
  <c r="AR24" i="34"/>
  <c r="AL24" i="34"/>
  <c r="AK24" i="34"/>
  <c r="AH24" i="34"/>
  <c r="BA23" i="34"/>
  <c r="AR23" i="34"/>
  <c r="AX23" i="34" s="1"/>
  <c r="AL23" i="34"/>
  <c r="AK23" i="34"/>
  <c r="AH23" i="34"/>
  <c r="BA22" i="34"/>
  <c r="AR22" i="34"/>
  <c r="AL22" i="34"/>
  <c r="AK22" i="34"/>
  <c r="AH22" i="34"/>
  <c r="BA21" i="34"/>
  <c r="AR21" i="34"/>
  <c r="AL21" i="34"/>
  <c r="AK21" i="34"/>
  <c r="AH21" i="34"/>
  <c r="AR20" i="34"/>
  <c r="AL20" i="34"/>
  <c r="AK20" i="34"/>
  <c r="AH20" i="34"/>
  <c r="AX20" i="34" s="1"/>
  <c r="BE20" i="34" s="1"/>
  <c r="BA19" i="34"/>
  <c r="AR19" i="34"/>
  <c r="AL19" i="34"/>
  <c r="AK19" i="34"/>
  <c r="AH19" i="34"/>
  <c r="BA18" i="34"/>
  <c r="AR18" i="34"/>
  <c r="AX18" i="34" s="1"/>
  <c r="AL18" i="34"/>
  <c r="AK18" i="34"/>
  <c r="AH18" i="34"/>
  <c r="AR17" i="34"/>
  <c r="AL17" i="34"/>
  <c r="AK17" i="34"/>
  <c r="AH17" i="34"/>
  <c r="AX17" i="34" s="1"/>
  <c r="BA16" i="34"/>
  <c r="AR16" i="34"/>
  <c r="AL16" i="34"/>
  <c r="AK16" i="34"/>
  <c r="AH16" i="34"/>
  <c r="BA15" i="34"/>
  <c r="AR15" i="34"/>
  <c r="AX15" i="34" s="1"/>
  <c r="AL15" i="34"/>
  <c r="AK15" i="34"/>
  <c r="AH15" i="34"/>
  <c r="BA14" i="34"/>
  <c r="AR14" i="34"/>
  <c r="AL14" i="34"/>
  <c r="AK14" i="34"/>
  <c r="AH14" i="34"/>
  <c r="AX14" i="34" s="1"/>
  <c r="BB14" i="34" s="1"/>
  <c r="BA13" i="34"/>
  <c r="AR13" i="34"/>
  <c r="AL13" i="34"/>
  <c r="AK13" i="34"/>
  <c r="AH13" i="34"/>
  <c r="AX13" i="34" s="1"/>
  <c r="AQ18" i="34"/>
  <c r="AP18" i="34"/>
  <c r="AQ15" i="34"/>
  <c r="AQ24" i="34"/>
  <c r="AU18" i="34"/>
  <c r="BN16" i="34"/>
  <c r="BJ24" i="34"/>
  <c r="AT18" i="34"/>
  <c r="AN17" i="34"/>
  <c r="AS22" i="34"/>
  <c r="AW22" i="34"/>
  <c r="AU22" i="34"/>
  <c r="AT15" i="34"/>
  <c r="BJ15" i="34"/>
  <c r="BO14" i="34"/>
  <c r="BJ17" i="34"/>
  <c r="AT13" i="34"/>
  <c r="BN14" i="34"/>
  <c r="AN15" i="34"/>
  <c r="BJ23" i="34"/>
  <c r="AW14" i="34"/>
  <c r="BK13" i="34"/>
  <c r="AW23" i="34"/>
  <c r="AT20" i="34"/>
  <c r="BV20" i="34" s="1"/>
  <c r="AS21" i="34"/>
  <c r="AS24" i="34"/>
  <c r="BN21" i="34"/>
  <c r="AQ14" i="34"/>
  <c r="AQ21" i="34"/>
  <c r="AP24" i="34"/>
  <c r="BK18" i="34"/>
  <c r="BN20" i="34"/>
  <c r="BK23" i="34"/>
  <c r="AV18" i="34"/>
  <c r="AS13" i="34"/>
  <c r="AS23" i="34"/>
  <c r="BJ14" i="34"/>
  <c r="AV23" i="34"/>
  <c r="BJ21" i="34"/>
  <c r="AS20" i="34"/>
  <c r="AS17" i="34"/>
  <c r="AV14" i="34"/>
  <c r="BY14" i="34" s="1"/>
  <c r="AT22" i="34"/>
  <c r="BN13" i="34"/>
  <c r="AQ23" i="34"/>
  <c r="AP21" i="34"/>
  <c r="BN23" i="34"/>
  <c r="AT24" i="34"/>
  <c r="BV24" i="34" s="1"/>
  <c r="AU23" i="34"/>
  <c r="BN17" i="34"/>
  <c r="AV20" i="34"/>
  <c r="AV15" i="34"/>
  <c r="AV16" i="34"/>
  <c r="AU21" i="34"/>
  <c r="BK14" i="34"/>
  <c r="AN19" i="34"/>
  <c r="AN24" i="34"/>
  <c r="BK15" i="34"/>
  <c r="BN15" i="34"/>
  <c r="BU13" i="34"/>
  <c r="AP23" i="34"/>
  <c r="BK17" i="34"/>
  <c r="AV21" i="34"/>
  <c r="AS16" i="34"/>
  <c r="AQ19" i="34"/>
  <c r="AP19" i="34"/>
  <c r="AQ13" i="34"/>
  <c r="AN13" i="34"/>
  <c r="AN14" i="34"/>
  <c r="BK20" i="34"/>
  <c r="AS18" i="34"/>
  <c r="AW13" i="34"/>
  <c r="BJ19" i="34"/>
  <c r="AU24" i="34"/>
  <c r="AU19" i="34"/>
  <c r="AV19" i="34"/>
  <c r="AW19" i="34"/>
  <c r="AN21" i="34"/>
  <c r="AN23" i="34"/>
  <c r="AT19" i="34"/>
  <c r="AT16" i="34"/>
  <c r="BN24" i="34"/>
  <c r="BJ18" i="34"/>
  <c r="AT21" i="34"/>
  <c r="AV13" i="34"/>
  <c r="AT14" i="34"/>
  <c r="BJ13" i="34"/>
  <c r="AN16" i="34"/>
  <c r="AP22" i="34"/>
  <c r="AW21" i="34"/>
  <c r="AS14" i="34"/>
  <c r="AS19" i="34"/>
  <c r="AU15" i="34"/>
  <c r="BW15" i="34" s="1"/>
  <c r="AP14" i="34"/>
  <c r="AT17" i="34"/>
  <c r="AW17" i="34"/>
  <c r="AU16" i="34"/>
  <c r="BW16" i="34" s="1"/>
  <c r="AQ22" i="34"/>
  <c r="AQ16" i="34"/>
  <c r="AU14" i="34"/>
  <c r="AV24" i="34"/>
  <c r="BN22" i="34"/>
  <c r="BJ20" i="34"/>
  <c r="AU20" i="34"/>
  <c r="BR20" i="34"/>
  <c r="AN18" i="34"/>
  <c r="BU24" i="34"/>
  <c r="BN18" i="34"/>
  <c r="BJ22" i="34"/>
  <c r="AW20" i="34"/>
  <c r="AV22" i="34"/>
  <c r="BI13" i="34"/>
  <c r="BU14" i="34"/>
  <c r="BI17" i="34"/>
  <c r="AQ20" i="34"/>
  <c r="AP16" i="34"/>
  <c r="AU13" i="34"/>
  <c r="BW13" i="34" s="1"/>
  <c r="AW24" i="34"/>
  <c r="BJ16" i="34"/>
  <c r="AN20" i="34"/>
  <c r="AS15" i="34"/>
  <c r="AW18" i="34"/>
  <c r="AW16" i="34"/>
  <c r="BX16" i="34" s="1"/>
  <c r="AT23" i="34"/>
  <c r="BU22" i="34"/>
  <c r="AW15" i="34"/>
  <c r="BX15" i="34" s="1"/>
  <c r="BX21" i="34"/>
  <c r="BY13" i="34"/>
  <c r="AN22" i="34"/>
  <c r="BN19" i="34"/>
  <c r="BU21" i="34"/>
  <c r="AP17" i="34"/>
  <c r="AP20" i="34"/>
  <c r="BI16" i="34"/>
  <c r="AU17" i="34"/>
  <c r="AV17" i="34"/>
  <c r="AQ17" i="34"/>
  <c r="AP15" i="34"/>
  <c r="BB23" i="34" l="1"/>
  <c r="AX19" i="34"/>
  <c r="BB13" i="34"/>
  <c r="BE13" i="34"/>
  <c r="BB15" i="34"/>
  <c r="AX22" i="34"/>
  <c r="BE22" i="34" s="1"/>
  <c r="BE14" i="34"/>
  <c r="AX24" i="34"/>
  <c r="AX16" i="34"/>
  <c r="BE16" i="34" s="1"/>
  <c r="AX21" i="34"/>
  <c r="BE21" i="34" s="1"/>
  <c r="BH23" i="34"/>
  <c r="AY13" i="34"/>
  <c r="BH15" i="34"/>
  <c r="AY20" i="34"/>
  <c r="BH21" i="34"/>
  <c r="BH14" i="34"/>
  <c r="AY19" i="34"/>
  <c r="BH16" i="34"/>
  <c r="BH13" i="34"/>
  <c r="AY18" i="34"/>
  <c r="BH20" i="34"/>
  <c r="AY15" i="34"/>
  <c r="BH19" i="34"/>
  <c r="AY24" i="34"/>
  <c r="AY14" i="34"/>
  <c r="BH22" i="34"/>
  <c r="AY17" i="34"/>
  <c r="BH18" i="34"/>
  <c r="AY23" i="34"/>
  <c r="BH17" i="34"/>
  <c r="AY21" i="34"/>
  <c r="AY16" i="34"/>
  <c r="AY22" i="34"/>
  <c r="BH24" i="34"/>
  <c r="BB18" i="34"/>
  <c r="BE18" i="34"/>
  <c r="BB17" i="34"/>
  <c r="BE17" i="34"/>
  <c r="BE15" i="34"/>
  <c r="BB19" i="34"/>
  <c r="BE19" i="34"/>
  <c r="BE23" i="34"/>
  <c r="BE24" i="34"/>
  <c r="BB20" i="34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39" i="33"/>
  <c r="K40" i="33"/>
  <c r="K41" i="33"/>
  <c r="K42" i="33"/>
  <c r="K43" i="33"/>
  <c r="K44" i="33"/>
  <c r="K17" i="33"/>
  <c r="G44" i="33"/>
  <c r="J44" i="33" s="1"/>
  <c r="G43" i="33"/>
  <c r="J43" i="33" s="1"/>
  <c r="G42" i="33"/>
  <c r="J42" i="33" s="1"/>
  <c r="G41" i="33"/>
  <c r="J41" i="33" s="1"/>
  <c r="G40" i="33"/>
  <c r="J40" i="33" s="1"/>
  <c r="G39" i="33"/>
  <c r="J39" i="33" s="1"/>
  <c r="J38" i="33"/>
  <c r="G38" i="33"/>
  <c r="G37" i="33"/>
  <c r="J37" i="33" s="1"/>
  <c r="G36" i="33"/>
  <c r="J36" i="33" s="1"/>
  <c r="G35" i="33"/>
  <c r="J35" i="33" s="1"/>
  <c r="G34" i="33"/>
  <c r="J34" i="33" s="1"/>
  <c r="G33" i="33"/>
  <c r="J33" i="33" s="1"/>
  <c r="J32" i="33"/>
  <c r="G32" i="33"/>
  <c r="G31" i="33"/>
  <c r="J31" i="33" s="1"/>
  <c r="G30" i="33"/>
  <c r="J30" i="33" s="1"/>
  <c r="G29" i="33"/>
  <c r="J29" i="33" s="1"/>
  <c r="G28" i="33"/>
  <c r="J28" i="33" s="1"/>
  <c r="G27" i="33"/>
  <c r="J27" i="33" s="1"/>
  <c r="J26" i="33"/>
  <c r="G26" i="33"/>
  <c r="G25" i="33"/>
  <c r="J25" i="33" s="1"/>
  <c r="G24" i="33"/>
  <c r="J24" i="33" s="1"/>
  <c r="G23" i="33"/>
  <c r="J23" i="33" s="1"/>
  <c r="G22" i="33"/>
  <c r="J22" i="33" s="1"/>
  <c r="G21" i="33"/>
  <c r="J21" i="33" s="1"/>
  <c r="G20" i="33"/>
  <c r="J20" i="33" s="1"/>
  <c r="G19" i="33"/>
  <c r="J19" i="33" s="1"/>
  <c r="G18" i="33"/>
  <c r="J18" i="33" s="1"/>
  <c r="G17" i="33"/>
  <c r="J17" i="33" s="1"/>
  <c r="AW24" i="32"/>
  <c r="AN24" i="32"/>
  <c r="AL24" i="32"/>
  <c r="AK24" i="32"/>
  <c r="AH24" i="32"/>
  <c r="AT24" i="32" s="1"/>
  <c r="AX24" i="32" s="1"/>
  <c r="AW23" i="32"/>
  <c r="AT23" i="32"/>
  <c r="AX23" i="32" s="1"/>
  <c r="AN23" i="32"/>
  <c r="AL23" i="32"/>
  <c r="AK23" i="32"/>
  <c r="AH23" i="32"/>
  <c r="AW22" i="32"/>
  <c r="AN22" i="32"/>
  <c r="AL22" i="32"/>
  <c r="AK22" i="32"/>
  <c r="AH22" i="32"/>
  <c r="AW21" i="32"/>
  <c r="AN21" i="32"/>
  <c r="AT21" i="32" s="1"/>
  <c r="AL21" i="32"/>
  <c r="AK21" i="32"/>
  <c r="AH21" i="32"/>
  <c r="AN20" i="32"/>
  <c r="AT20" i="32" s="1"/>
  <c r="AL20" i="32"/>
  <c r="AK20" i="32"/>
  <c r="AH20" i="32"/>
  <c r="AW19" i="32"/>
  <c r="AN19" i="32"/>
  <c r="AL19" i="32"/>
  <c r="AK19" i="32"/>
  <c r="AH19" i="32"/>
  <c r="AT19" i="32" s="1"/>
  <c r="AX19" i="32" s="1"/>
  <c r="AW18" i="32"/>
  <c r="BA18" i="32" s="1"/>
  <c r="AN18" i="32"/>
  <c r="AL18" i="32"/>
  <c r="AK18" i="32"/>
  <c r="AH18" i="32"/>
  <c r="AT18" i="32" s="1"/>
  <c r="AX18" i="32" s="1"/>
  <c r="AN17" i="32"/>
  <c r="AL17" i="32"/>
  <c r="AK17" i="32"/>
  <c r="AH17" i="32"/>
  <c r="AT17" i="32" s="1"/>
  <c r="AW16" i="32"/>
  <c r="AN16" i="32"/>
  <c r="AT16" i="32" s="1"/>
  <c r="AX16" i="32" s="1"/>
  <c r="AL16" i="32"/>
  <c r="AK16" i="32"/>
  <c r="AH16" i="32"/>
  <c r="AW15" i="32"/>
  <c r="AN15" i="32"/>
  <c r="AL15" i="32"/>
  <c r="AK15" i="32"/>
  <c r="AH15" i="32"/>
  <c r="AW14" i="32"/>
  <c r="AN14" i="32"/>
  <c r="AL14" i="32"/>
  <c r="AK14" i="32"/>
  <c r="AH14" i="32"/>
  <c r="AT14" i="32" s="1"/>
  <c r="AX14" i="32" s="1"/>
  <c r="AW13" i="32"/>
  <c r="AT13" i="32"/>
  <c r="AX13" i="32" s="1"/>
  <c r="AN13" i="32"/>
  <c r="AL13" i="32"/>
  <c r="AK13" i="32"/>
  <c r="AH13" i="32"/>
  <c r="BX20" i="34"/>
  <c r="BU18" i="34"/>
  <c r="AR16" i="32"/>
  <c r="AR17" i="32"/>
  <c r="BR15" i="34"/>
  <c r="BV22" i="34"/>
  <c r="BJ16" i="32"/>
  <c r="AP22" i="32"/>
  <c r="BL20" i="34"/>
  <c r="BF19" i="32"/>
  <c r="AP18" i="32"/>
  <c r="AO21" i="32"/>
  <c r="BR13" i="34"/>
  <c r="AQ14" i="32"/>
  <c r="AR24" i="32"/>
  <c r="AM16" i="32"/>
  <c r="BR14" i="34"/>
  <c r="BG17" i="32"/>
  <c r="BY20" i="34"/>
  <c r="BK13" i="32"/>
  <c r="AQ23" i="32"/>
  <c r="BR18" i="34"/>
  <c r="AP24" i="32"/>
  <c r="BI15" i="34"/>
  <c r="BJ14" i="32"/>
  <c r="AS15" i="32"/>
  <c r="BK22" i="34"/>
  <c r="BI18" i="34"/>
  <c r="BK16" i="34"/>
  <c r="BO13" i="34"/>
  <c r="BR17" i="34"/>
  <c r="BO18" i="34"/>
  <c r="BX23" i="34"/>
  <c r="BG20" i="32"/>
  <c r="BK24" i="34"/>
  <c r="BF23" i="32"/>
  <c r="BG13" i="32"/>
  <c r="BO15" i="34"/>
  <c r="BW20" i="34"/>
  <c r="AP13" i="34"/>
  <c r="BV13" i="34"/>
  <c r="AQ19" i="32"/>
  <c r="AM20" i="13"/>
  <c r="BO20" i="34"/>
  <c r="BW17" i="34"/>
  <c r="AS18" i="32"/>
  <c r="BF13" i="32"/>
  <c r="BX19" i="34"/>
  <c r="BI22" i="34"/>
  <c r="BK18" i="32"/>
  <c r="AQ15" i="32"/>
  <c r="BR22" i="34"/>
  <c r="BI20" i="34"/>
  <c r="BK24" i="32"/>
  <c r="AQ13" i="32"/>
  <c r="BL18" i="34"/>
  <c r="BW18" i="34"/>
  <c r="AQ18" i="32"/>
  <c r="BG24" i="32"/>
  <c r="BF15" i="32"/>
  <c r="AR15" i="32"/>
  <c r="BJ21" i="32"/>
  <c r="BV14" i="34"/>
  <c r="BG23" i="32"/>
  <c r="BJ24" i="32"/>
  <c r="BF16" i="32"/>
  <c r="AR19" i="32"/>
  <c r="AM14" i="32"/>
  <c r="AS19" i="32"/>
  <c r="BV17" i="34"/>
  <c r="BU16" i="34"/>
  <c r="BY15" i="34"/>
  <c r="AM24" i="32"/>
  <c r="BN18" i="32"/>
  <c r="AS20" i="32"/>
  <c r="BV18" i="34"/>
  <c r="AQ24" i="32"/>
  <c r="BF14" i="32"/>
  <c r="BI19" i="34"/>
  <c r="BW21" i="34"/>
  <c r="AO20" i="32"/>
  <c r="AS22" i="32"/>
  <c r="BI24" i="34"/>
  <c r="BV19" i="34"/>
  <c r="AP23" i="32"/>
  <c r="AQ17" i="32"/>
  <c r="BO17" i="34"/>
  <c r="BL24" i="34"/>
  <c r="BJ13" i="32"/>
  <c r="AM18" i="32"/>
  <c r="BS14" i="32"/>
  <c r="AM15" i="32"/>
  <c r="AO15" i="32"/>
  <c r="BQ15" i="32" s="1"/>
  <c r="BG19" i="32"/>
  <c r="BF22" i="32"/>
  <c r="BX24" i="34"/>
  <c r="BY21" i="34"/>
  <c r="BW19" i="34"/>
  <c r="AO22" i="32"/>
  <c r="AO13" i="32"/>
  <c r="AS23" i="32"/>
  <c r="BX13" i="34"/>
  <c r="BL15" i="34"/>
  <c r="BK16" i="32"/>
  <c r="AQ21" i="32"/>
  <c r="AO24" i="32"/>
  <c r="BU19" i="34"/>
  <c r="BY16" i="34"/>
  <c r="BU15" i="34"/>
  <c r="BG16" i="32"/>
  <c r="AO19" i="32"/>
  <c r="BY17" i="34"/>
  <c r="AM22" i="13"/>
  <c r="AR13" i="32"/>
  <c r="BY19" i="34"/>
  <c r="AQ20" i="32"/>
  <c r="BX22" i="34"/>
  <c r="AR23" i="32"/>
  <c r="BE14" i="32"/>
  <c r="BL21" i="34"/>
  <c r="BV23" i="34"/>
  <c r="AP17" i="32"/>
  <c r="AM19" i="32"/>
  <c r="BE19" i="32" s="1"/>
  <c r="BL23" i="34"/>
  <c r="AS24" i="32"/>
  <c r="BG21" i="32"/>
  <c r="AM23" i="32"/>
  <c r="BK19" i="34"/>
  <c r="BL19" i="34"/>
  <c r="AM18" i="13"/>
  <c r="AS13" i="32"/>
  <c r="BJ17" i="32"/>
  <c r="BL22" i="34"/>
  <c r="BF17" i="32"/>
  <c r="BF21" i="32"/>
  <c r="BG14" i="32"/>
  <c r="AM24" i="13"/>
  <c r="BW14" i="34"/>
  <c r="AP19" i="32"/>
  <c r="BY24" i="34"/>
  <c r="BL16" i="34"/>
  <c r="BX14" i="34"/>
  <c r="BV15" i="34"/>
  <c r="BV21" i="34"/>
  <c r="BU17" i="34"/>
  <c r="BG18" i="32"/>
  <c r="AR20" i="32"/>
  <c r="BI23" i="34"/>
  <c r="BJ18" i="32"/>
  <c r="BK19" i="32"/>
  <c r="AR21" i="32"/>
  <c r="BU23" i="34"/>
  <c r="BL14" i="34"/>
  <c r="BW23" i="34"/>
  <c r="AR14" i="32"/>
  <c r="BY22" i="34"/>
  <c r="BJ15" i="32"/>
  <c r="BI14" i="34"/>
  <c r="AS16" i="32"/>
  <c r="BT16" i="32" s="1"/>
  <c r="AO16" i="32"/>
  <c r="BR16" i="34"/>
  <c r="AO23" i="32"/>
  <c r="AM21" i="13"/>
  <c r="AP16" i="32"/>
  <c r="BR24" i="34"/>
  <c r="BU20" i="34"/>
  <c r="BI21" i="34"/>
  <c r="AP21" i="32"/>
  <c r="BJ22" i="32"/>
  <c r="BR19" i="34"/>
  <c r="BS19" i="32"/>
  <c r="AS21" i="32"/>
  <c r="BJ20" i="32"/>
  <c r="BX18" i="34"/>
  <c r="AS17" i="32"/>
  <c r="AP14" i="32"/>
  <c r="BR23" i="34"/>
  <c r="AR18" i="32"/>
  <c r="BV16" i="34"/>
  <c r="BW22" i="34"/>
  <c r="AQ22" i="32"/>
  <c r="BK14" i="32"/>
  <c r="BX17" i="34"/>
  <c r="BJ23" i="32"/>
  <c r="AO14" i="32"/>
  <c r="BF24" i="32"/>
  <c r="BO23" i="34"/>
  <c r="BO19" i="34"/>
  <c r="AM19" i="13"/>
  <c r="AS14" i="32"/>
  <c r="BR21" i="34"/>
  <c r="AM22" i="32"/>
  <c r="AM21" i="32"/>
  <c r="AR22" i="32"/>
  <c r="AP20" i="32"/>
  <c r="BL13" i="34"/>
  <c r="BK23" i="32"/>
  <c r="AO18" i="32"/>
  <c r="AM17" i="32"/>
  <c r="BY23" i="34"/>
  <c r="BW24" i="34"/>
  <c r="AP15" i="32"/>
  <c r="AM23" i="13"/>
  <c r="AM20" i="32"/>
  <c r="BL17" i="34"/>
  <c r="AM13" i="32"/>
  <c r="BF18" i="32"/>
  <c r="BY18" i="34"/>
  <c r="BF20" i="32"/>
  <c r="BK21" i="34"/>
  <c r="AO17" i="32"/>
  <c r="BQ17" i="32" s="1"/>
  <c r="BU16" i="32"/>
  <c r="BJ19" i="32"/>
  <c r="AQ16" i="32"/>
  <c r="AP13" i="32"/>
  <c r="BB24" i="34" l="1"/>
  <c r="BB22" i="34"/>
  <c r="BB21" i="34"/>
  <c r="BB16" i="34"/>
  <c r="BD19" i="32"/>
  <c r="BD16" i="32"/>
  <c r="BD24" i="32"/>
  <c r="BD21" i="32"/>
  <c r="BD22" i="32"/>
  <c r="BD17" i="32"/>
  <c r="BD15" i="32"/>
  <c r="BD23" i="32"/>
  <c r="BD20" i="32"/>
  <c r="BD18" i="32"/>
  <c r="BD14" i="32"/>
  <c r="BD13" i="32"/>
  <c r="AZ19" i="34"/>
  <c r="AZ22" i="34"/>
  <c r="AZ16" i="34"/>
  <c r="AZ24" i="34"/>
  <c r="AZ14" i="34"/>
  <c r="AZ21" i="34"/>
  <c r="AZ15" i="34"/>
  <c r="AZ20" i="34"/>
  <c r="AZ23" i="34"/>
  <c r="AZ18" i="34"/>
  <c r="AZ13" i="34"/>
  <c r="AZ17" i="34"/>
  <c r="L61" i="33"/>
  <c r="L78" i="33"/>
  <c r="L73" i="33"/>
  <c r="L69" i="33"/>
  <c r="L72" i="33"/>
  <c r="L67" i="33"/>
  <c r="L77" i="33"/>
  <c r="L65" i="33"/>
  <c r="L68" i="33"/>
  <c r="L63" i="33"/>
  <c r="L54" i="33"/>
  <c r="L52" i="33"/>
  <c r="L53" i="33"/>
  <c r="L50" i="33"/>
  <c r="L51" i="33"/>
  <c r="L49" i="33"/>
  <c r="L87" i="33"/>
  <c r="L86" i="33"/>
  <c r="BA17" i="32"/>
  <c r="AX17" i="32"/>
  <c r="BA23" i="32"/>
  <c r="BA13" i="32"/>
  <c r="AT22" i="32"/>
  <c r="BA14" i="32"/>
  <c r="AT15" i="32"/>
  <c r="BA15" i="32"/>
  <c r="BA19" i="32"/>
  <c r="AU17" i="32"/>
  <c r="AU16" i="32"/>
  <c r="AU18" i="32"/>
  <c r="AU23" i="32"/>
  <c r="AU15" i="32"/>
  <c r="AU20" i="32"/>
  <c r="AU13" i="32"/>
  <c r="AU22" i="32"/>
  <c r="AU14" i="32"/>
  <c r="AU19" i="32"/>
  <c r="AU24" i="32"/>
  <c r="AU21" i="32"/>
  <c r="AX20" i="32"/>
  <c r="BA20" i="32"/>
  <c r="BA16" i="32"/>
  <c r="AX22" i="32"/>
  <c r="BA21" i="32"/>
  <c r="AX21" i="32"/>
  <c r="BA24" i="32"/>
  <c r="AW24" i="31"/>
  <c r="AN24" i="31"/>
  <c r="AT24" i="31" s="1"/>
  <c r="AX24" i="31" s="1"/>
  <c r="AL24" i="31"/>
  <c r="AK24" i="31"/>
  <c r="AH24" i="31"/>
  <c r="AW23" i="31"/>
  <c r="AN23" i="31"/>
  <c r="AL23" i="31"/>
  <c r="AK23" i="31"/>
  <c r="AH23" i="31"/>
  <c r="AW22" i="31"/>
  <c r="AN22" i="31"/>
  <c r="AL22" i="31"/>
  <c r="AK22" i="31"/>
  <c r="AH22" i="31"/>
  <c r="AW21" i="31"/>
  <c r="AN21" i="31"/>
  <c r="AL21" i="31"/>
  <c r="AK21" i="31"/>
  <c r="AH21" i="31"/>
  <c r="AT21" i="31" s="1"/>
  <c r="BA21" i="31" s="1"/>
  <c r="AN20" i="31"/>
  <c r="AL20" i="31"/>
  <c r="AK20" i="31"/>
  <c r="AH20" i="31"/>
  <c r="AW19" i="31"/>
  <c r="AN19" i="31"/>
  <c r="AL19" i="31"/>
  <c r="AK19" i="31"/>
  <c r="AH19" i="31"/>
  <c r="AW18" i="31"/>
  <c r="AN18" i="31"/>
  <c r="AL18" i="31"/>
  <c r="AK18" i="31"/>
  <c r="AH18" i="31"/>
  <c r="AN17" i="31"/>
  <c r="AT17" i="31" s="1"/>
  <c r="AL17" i="31"/>
  <c r="AK17" i="31"/>
  <c r="AH17" i="31"/>
  <c r="AW16" i="31"/>
  <c r="AN16" i="31"/>
  <c r="AL16" i="31"/>
  <c r="AK16" i="31"/>
  <c r="AH16" i="31"/>
  <c r="AW15" i="31"/>
  <c r="AN15" i="31"/>
  <c r="AL15" i="31"/>
  <c r="AK15" i="31"/>
  <c r="AH15" i="31"/>
  <c r="AW14" i="31"/>
  <c r="AN14" i="31"/>
  <c r="AT14" i="31" s="1"/>
  <c r="AL14" i="31"/>
  <c r="AK14" i="31"/>
  <c r="AH14" i="31"/>
  <c r="AW13" i="31"/>
  <c r="AN13" i="31"/>
  <c r="AL13" i="31"/>
  <c r="AK13" i="31"/>
  <c r="AH13" i="31"/>
  <c r="BR15" i="32"/>
  <c r="BH24" i="32"/>
  <c r="AS16" i="31"/>
  <c r="BF15" i="31"/>
  <c r="BM18" i="34"/>
  <c r="AS24" i="31"/>
  <c r="BE22" i="32"/>
  <c r="BU17" i="32"/>
  <c r="BF20" i="31"/>
  <c r="AP20" i="31"/>
  <c r="BR13" i="32"/>
  <c r="AS23" i="31"/>
  <c r="BR18" i="32"/>
  <c r="AR16" i="31"/>
  <c r="AR23" i="31"/>
  <c r="AM16" i="31"/>
  <c r="AO20" i="31"/>
  <c r="BG17" i="31"/>
  <c r="BQ14" i="32"/>
  <c r="AO15" i="31"/>
  <c r="AP24" i="31"/>
  <c r="AS19" i="31"/>
  <c r="M68" i="33"/>
  <c r="BS17" i="32"/>
  <c r="AP22" i="31"/>
  <c r="BM21" i="34"/>
  <c r="BN23" i="32"/>
  <c r="AO19" i="31"/>
  <c r="BU16" i="31"/>
  <c r="BH23" i="32"/>
  <c r="AO23" i="31"/>
  <c r="BE21" i="32"/>
  <c r="BS21" i="32"/>
  <c r="BJ17" i="31"/>
  <c r="AM21" i="31"/>
  <c r="BN13" i="32"/>
  <c r="BE20" i="32"/>
  <c r="BU24" i="32"/>
  <c r="BH16" i="32"/>
  <c r="AP23" i="31"/>
  <c r="AR14" i="31"/>
  <c r="BK22" i="32"/>
  <c r="BF21" i="31"/>
  <c r="BN24" i="32"/>
  <c r="AM17" i="31"/>
  <c r="AS14" i="31"/>
  <c r="BJ19" i="31"/>
  <c r="BF14" i="31"/>
  <c r="BM23" i="34"/>
  <c r="BN14" i="32"/>
  <c r="M53" i="33"/>
  <c r="AM23" i="31"/>
  <c r="BM24" i="34"/>
  <c r="BJ24" i="31"/>
  <c r="BN16" i="32"/>
  <c r="M86" i="33"/>
  <c r="BS18" i="32"/>
  <c r="BH15" i="32"/>
  <c r="AS17" i="31"/>
  <c r="BS22" i="32"/>
  <c r="BN21" i="31"/>
  <c r="M51" i="33"/>
  <c r="BT17" i="32"/>
  <c r="AS18" i="31"/>
  <c r="BF19" i="31"/>
  <c r="BH19" i="32"/>
  <c r="AM15" i="31"/>
  <c r="BE15" i="31" s="1"/>
  <c r="BU18" i="32"/>
  <c r="BT19" i="32"/>
  <c r="M69" i="33"/>
  <c r="AP17" i="31"/>
  <c r="AM14" i="31"/>
  <c r="BS13" i="32"/>
  <c r="BR16" i="32"/>
  <c r="AQ22" i="31"/>
  <c r="M77" i="33"/>
  <c r="BM14" i="34"/>
  <c r="BR17" i="32"/>
  <c r="AR21" i="31"/>
  <c r="BK20" i="32"/>
  <c r="BK24" i="31"/>
  <c r="AQ21" i="31"/>
  <c r="BO16" i="34"/>
  <c r="AO24" i="31"/>
  <c r="BS22" i="31"/>
  <c r="BE23" i="32"/>
  <c r="BN17" i="32"/>
  <c r="AP16" i="31"/>
  <c r="AQ15" i="31"/>
  <c r="BO21" i="34"/>
  <c r="M50" i="33"/>
  <c r="AN24" i="13"/>
  <c r="BU21" i="32"/>
  <c r="BH14" i="32"/>
  <c r="M72" i="33"/>
  <c r="AM13" i="31"/>
  <c r="BO24" i="34"/>
  <c r="AP14" i="31"/>
  <c r="BS16" i="32"/>
  <c r="BJ22" i="31"/>
  <c r="AO22" i="31"/>
  <c r="BT13" i="32"/>
  <c r="BE13" i="32"/>
  <c r="BH17" i="32"/>
  <c r="AP18" i="31"/>
  <c r="BF17" i="31"/>
  <c r="BJ16" i="31"/>
  <c r="BT18" i="32"/>
  <c r="AN18" i="13"/>
  <c r="AQ23" i="31"/>
  <c r="BF24" i="31"/>
  <c r="BM17" i="34"/>
  <c r="BR24" i="32"/>
  <c r="BS23" i="32"/>
  <c r="BR14" i="32"/>
  <c r="AO21" i="31"/>
  <c r="M49" i="33"/>
  <c r="BM22" i="34"/>
  <c r="BR18" i="31"/>
  <c r="BR22" i="32"/>
  <c r="BU20" i="32"/>
  <c r="BE14" i="31"/>
  <c r="AR20" i="31"/>
  <c r="AN23" i="13"/>
  <c r="BF13" i="31"/>
  <c r="BQ19" i="32"/>
  <c r="AQ13" i="31"/>
  <c r="M87" i="33"/>
  <c r="AQ16" i="31"/>
  <c r="BU23" i="32"/>
  <c r="BR20" i="32"/>
  <c r="AN19" i="13"/>
  <c r="AR19" i="31"/>
  <c r="AM24" i="31"/>
  <c r="M63" i="33"/>
  <c r="BE15" i="32"/>
  <c r="BK17" i="32"/>
  <c r="BJ23" i="31"/>
  <c r="BR23" i="31"/>
  <c r="BN19" i="32"/>
  <c r="BN20" i="32"/>
  <c r="BS15" i="32"/>
  <c r="BQ13" i="32"/>
  <c r="BQ21" i="31"/>
  <c r="AO14" i="31"/>
  <c r="BS24" i="32"/>
  <c r="BM16" i="34"/>
  <c r="BJ21" i="31"/>
  <c r="BN21" i="32"/>
  <c r="BT22" i="32"/>
  <c r="AP13" i="31"/>
  <c r="BQ20" i="31"/>
  <c r="BK21" i="32"/>
  <c r="BQ24" i="31"/>
  <c r="AS20" i="31"/>
  <c r="AO18" i="31"/>
  <c r="BQ18" i="31" s="1"/>
  <c r="AN20" i="13"/>
  <c r="BM13" i="34"/>
  <c r="BT20" i="32"/>
  <c r="BQ22" i="32"/>
  <c r="BU13" i="32"/>
  <c r="BH21" i="32"/>
  <c r="AM19" i="31"/>
  <c r="BE19" i="31" s="1"/>
  <c r="AR24" i="31"/>
  <c r="AP15" i="31"/>
  <c r="BE16" i="32"/>
  <c r="BT14" i="32"/>
  <c r="BG24" i="31"/>
  <c r="BG21" i="31"/>
  <c r="BQ23" i="32"/>
  <c r="AP21" i="31"/>
  <c r="BR21" i="31" s="1"/>
  <c r="BE17" i="32"/>
  <c r="BR19" i="32"/>
  <c r="M78" i="33"/>
  <c r="AO13" i="31"/>
  <c r="BU15" i="32"/>
  <c r="BQ20" i="32"/>
  <c r="BM19" i="34"/>
  <c r="BT24" i="32"/>
  <c r="AQ20" i="31"/>
  <c r="AQ18" i="31"/>
  <c r="BE17" i="31"/>
  <c r="AR13" i="31"/>
  <c r="BM15" i="34"/>
  <c r="AP19" i="31"/>
  <c r="AS21" i="31"/>
  <c r="BG15" i="32"/>
  <c r="AR17" i="31"/>
  <c r="AS13" i="31"/>
  <c r="BF23" i="31"/>
  <c r="BF16" i="31"/>
  <c r="BO22" i="34"/>
  <c r="M67" i="33"/>
  <c r="BT15" i="32"/>
  <c r="AQ19" i="31"/>
  <c r="BH20" i="32"/>
  <c r="BG22" i="32"/>
  <c r="BE18" i="32"/>
  <c r="BU19" i="32"/>
  <c r="BR21" i="32"/>
  <c r="M61" i="33"/>
  <c r="AS22" i="31"/>
  <c r="BJ18" i="31"/>
  <c r="BE24" i="32"/>
  <c r="BQ18" i="32"/>
  <c r="AM18" i="31"/>
  <c r="AS15" i="31"/>
  <c r="BR23" i="32"/>
  <c r="BF22" i="31"/>
  <c r="BS20" i="32"/>
  <c r="BU22" i="32"/>
  <c r="AQ17" i="31"/>
  <c r="BS17" i="31" s="1"/>
  <c r="M73" i="33"/>
  <c r="BQ16" i="32"/>
  <c r="BT21" i="32"/>
  <c r="BJ20" i="31"/>
  <c r="AN22" i="13"/>
  <c r="BS23" i="31"/>
  <c r="AR15" i="31"/>
  <c r="BG14" i="31"/>
  <c r="BQ24" i="32"/>
  <c r="BJ13" i="31"/>
  <c r="BJ15" i="31"/>
  <c r="BH22" i="32"/>
  <c r="AR22" i="31"/>
  <c r="AQ24" i="31"/>
  <c r="BS24" i="31" s="1"/>
  <c r="BF18" i="31"/>
  <c r="AN21" i="13"/>
  <c r="M54" i="33"/>
  <c r="AR18" i="31"/>
  <c r="BM20" i="34"/>
  <c r="AO17" i="31"/>
  <c r="BT23" i="32"/>
  <c r="BU14" i="32"/>
  <c r="AO16" i="31"/>
  <c r="BE21" i="31"/>
  <c r="BN15" i="32"/>
  <c r="AM20" i="31"/>
  <c r="BE20" i="31" s="1"/>
  <c r="BH18" i="32"/>
  <c r="BH13" i="32"/>
  <c r="AM22" i="31"/>
  <c r="AQ14" i="31"/>
  <c r="M65" i="33"/>
  <c r="BQ21" i="32"/>
  <c r="BJ14" i="31"/>
  <c r="M52" i="33"/>
  <c r="BC13" i="34" l="1"/>
  <c r="BF13" i="34"/>
  <c r="BF15" i="34"/>
  <c r="BC15" i="34"/>
  <c r="BF16" i="34"/>
  <c r="BC16" i="34"/>
  <c r="BC18" i="34"/>
  <c r="BF18" i="34"/>
  <c r="BF22" i="34"/>
  <c r="BC22" i="34"/>
  <c r="BF21" i="34"/>
  <c r="BC21" i="34"/>
  <c r="BC20" i="34"/>
  <c r="BF20" i="34"/>
  <c r="BC19" i="34"/>
  <c r="BF19" i="34"/>
  <c r="BF23" i="34"/>
  <c r="BC23" i="34"/>
  <c r="BC14" i="34"/>
  <c r="BF14" i="34"/>
  <c r="BC17" i="34"/>
  <c r="BF17" i="34"/>
  <c r="BC24" i="34"/>
  <c r="BF24" i="34"/>
  <c r="AT16" i="31"/>
  <c r="BD20" i="31"/>
  <c r="AT13" i="31"/>
  <c r="AT18" i="31"/>
  <c r="BD15" i="31"/>
  <c r="BD17" i="31"/>
  <c r="AT22" i="31"/>
  <c r="BA22" i="31" s="1"/>
  <c r="BD22" i="31"/>
  <c r="BD14" i="31"/>
  <c r="AT19" i="31"/>
  <c r="BD19" i="31"/>
  <c r="BD21" i="31"/>
  <c r="BD24" i="31"/>
  <c r="BD16" i="31"/>
  <c r="BD13" i="31"/>
  <c r="BD18" i="31"/>
  <c r="H30" i="33"/>
  <c r="I30" i="33" s="1"/>
  <c r="H17" i="33"/>
  <c r="I17" i="33" s="1"/>
  <c r="H31" i="33"/>
  <c r="I31" i="33" s="1"/>
  <c r="H44" i="33"/>
  <c r="I44" i="33" s="1"/>
  <c r="H18" i="33"/>
  <c r="I18" i="33" s="1"/>
  <c r="H19" i="33"/>
  <c r="I19" i="33" s="1"/>
  <c r="H33" i="33"/>
  <c r="I33" i="33" s="1"/>
  <c r="H36" i="33"/>
  <c r="I36" i="33" s="1"/>
  <c r="H43" i="33"/>
  <c r="I43" i="33" s="1"/>
  <c r="H20" i="33"/>
  <c r="I20" i="33" s="1"/>
  <c r="H34" i="33"/>
  <c r="I34" i="33" s="1"/>
  <c r="H21" i="33"/>
  <c r="I21" i="33" s="1"/>
  <c r="H22" i="33"/>
  <c r="I22" i="33" s="1"/>
  <c r="H37" i="33"/>
  <c r="I37" i="33" s="1"/>
  <c r="H38" i="33"/>
  <c r="I38" i="33" s="1"/>
  <c r="H32" i="33"/>
  <c r="I32" i="33" s="1"/>
  <c r="H29" i="33"/>
  <c r="I29" i="33" s="1"/>
  <c r="BD23" i="31"/>
  <c r="H40" i="33"/>
  <c r="H39" i="33"/>
  <c r="H26" i="33"/>
  <c r="H27" i="33"/>
  <c r="I27" i="33" s="1"/>
  <c r="H28" i="33"/>
  <c r="H24" i="33"/>
  <c r="H25" i="33"/>
  <c r="H23" i="33"/>
  <c r="H41" i="33"/>
  <c r="H42" i="33"/>
  <c r="H35" i="33"/>
  <c r="AX14" i="31"/>
  <c r="L70" i="33"/>
  <c r="L75" i="33"/>
  <c r="L82" i="33"/>
  <c r="L64" i="33"/>
  <c r="L59" i="33"/>
  <c r="L76" i="33"/>
  <c r="L60" i="33"/>
  <c r="L80" i="33"/>
  <c r="L84" i="33"/>
  <c r="L71" i="33"/>
  <c r="L55" i="33"/>
  <c r="AX15" i="32"/>
  <c r="BA22" i="32"/>
  <c r="AV13" i="32"/>
  <c r="AV20" i="32"/>
  <c r="AV22" i="32"/>
  <c r="AV15" i="32"/>
  <c r="AV21" i="32"/>
  <c r="AV23" i="32"/>
  <c r="AV24" i="32"/>
  <c r="AV18" i="32"/>
  <c r="AV19" i="32"/>
  <c r="AV16" i="32"/>
  <c r="AV14" i="32"/>
  <c r="AV17" i="32"/>
  <c r="BA18" i="31"/>
  <c r="AT15" i="31"/>
  <c r="BA15" i="31" s="1"/>
  <c r="AT20" i="31"/>
  <c r="AT23" i="31"/>
  <c r="AU16" i="31"/>
  <c r="AU13" i="31"/>
  <c r="AU18" i="31"/>
  <c r="AU23" i="31"/>
  <c r="AU19" i="31"/>
  <c r="AU20" i="31"/>
  <c r="AU22" i="31"/>
  <c r="AU15" i="31"/>
  <c r="AU17" i="31"/>
  <c r="AU14" i="31"/>
  <c r="AU24" i="31"/>
  <c r="AU21" i="31"/>
  <c r="BA13" i="31"/>
  <c r="BA19" i="31"/>
  <c r="AX19" i="31"/>
  <c r="AX20" i="31"/>
  <c r="BA20" i="31"/>
  <c r="AX17" i="31"/>
  <c r="BA17" i="31"/>
  <c r="BA23" i="31"/>
  <c r="BA14" i="31"/>
  <c r="AX16" i="31"/>
  <c r="BA16" i="31"/>
  <c r="BA24" i="31"/>
  <c r="AX21" i="31"/>
  <c r="J19" i="21"/>
  <c r="L51" i="21" s="1"/>
  <c r="J20" i="21"/>
  <c r="L52" i="21" s="1"/>
  <c r="J21" i="21"/>
  <c r="L54" i="21" s="1"/>
  <c r="J22" i="21"/>
  <c r="L56" i="21" s="1"/>
  <c r="J27" i="21"/>
  <c r="L65" i="21" s="1"/>
  <c r="J28" i="21"/>
  <c r="L66" i="21" s="1"/>
  <c r="J29" i="21"/>
  <c r="L67" i="21" s="1"/>
  <c r="J30" i="21"/>
  <c r="L68" i="21" s="1"/>
  <c r="J35" i="21"/>
  <c r="L74" i="21" s="1"/>
  <c r="J36" i="21"/>
  <c r="L75" i="21" s="1"/>
  <c r="J37" i="21"/>
  <c r="L77" i="21" s="1"/>
  <c r="J38" i="21"/>
  <c r="L79" i="21" s="1"/>
  <c r="G15" i="21"/>
  <c r="J15" i="21" s="1"/>
  <c r="L47" i="21" s="1"/>
  <c r="G16" i="21"/>
  <c r="J16" i="21" s="1"/>
  <c r="L48" i="21" s="1"/>
  <c r="G17" i="21"/>
  <c r="J17" i="21" s="1"/>
  <c r="L49" i="21" s="1"/>
  <c r="G18" i="21"/>
  <c r="J18" i="21" s="1"/>
  <c r="L50" i="21" s="1"/>
  <c r="G19" i="21"/>
  <c r="G20" i="21"/>
  <c r="G21" i="21"/>
  <c r="G22" i="21"/>
  <c r="G23" i="21"/>
  <c r="J23" i="21" s="1"/>
  <c r="L58" i="21" s="1"/>
  <c r="G24" i="21"/>
  <c r="J24" i="21" s="1"/>
  <c r="L60" i="21" s="1"/>
  <c r="G25" i="21"/>
  <c r="J25" i="21" s="1"/>
  <c r="L62" i="21" s="1"/>
  <c r="G26" i="21"/>
  <c r="J26" i="21" s="1"/>
  <c r="L64" i="21" s="1"/>
  <c r="G27" i="21"/>
  <c r="G28" i="21"/>
  <c r="G29" i="21"/>
  <c r="G30" i="21"/>
  <c r="G31" i="21"/>
  <c r="J31" i="21" s="1"/>
  <c r="L69" i="21" s="1"/>
  <c r="G32" i="21"/>
  <c r="J32" i="21" s="1"/>
  <c r="L70" i="21" s="1"/>
  <c r="G33" i="21"/>
  <c r="J33" i="21" s="1"/>
  <c r="L72" i="21" s="1"/>
  <c r="G34" i="21"/>
  <c r="J34" i="21" s="1"/>
  <c r="L73" i="21" s="1"/>
  <c r="G35" i="21"/>
  <c r="G36" i="21"/>
  <c r="G37" i="21"/>
  <c r="G38" i="21"/>
  <c r="G39" i="21"/>
  <c r="J39" i="21" s="1"/>
  <c r="L81" i="21" s="1"/>
  <c r="G40" i="21"/>
  <c r="J40" i="21" s="1"/>
  <c r="L83" i="21" s="1"/>
  <c r="G41" i="21"/>
  <c r="J41" i="21" s="1"/>
  <c r="L84" i="21" s="1"/>
  <c r="G14" i="21"/>
  <c r="J14" i="21" s="1"/>
  <c r="L46" i="21" s="1"/>
  <c r="AK14" i="13"/>
  <c r="AK15" i="13"/>
  <c r="AK16" i="13"/>
  <c r="AK17" i="13"/>
  <c r="AK18" i="13"/>
  <c r="AK19" i="13"/>
  <c r="AK20" i="13"/>
  <c r="AK21" i="13"/>
  <c r="AK22" i="13"/>
  <c r="AK23" i="13"/>
  <c r="AK24" i="13"/>
  <c r="AK13" i="13"/>
  <c r="AH20" i="13"/>
  <c r="BE18" i="31"/>
  <c r="BU19" i="31"/>
  <c r="BK17" i="31"/>
  <c r="M79" i="21"/>
  <c r="BS18" i="34"/>
  <c r="BK19" i="31"/>
  <c r="BP20" i="34"/>
  <c r="BN13" i="31"/>
  <c r="BT15" i="31"/>
  <c r="M80" i="33"/>
  <c r="BU23" i="31"/>
  <c r="BR19" i="31"/>
  <c r="BS19" i="31"/>
  <c r="M46" i="21"/>
  <c r="BI23" i="32"/>
  <c r="BS20" i="31"/>
  <c r="BE23" i="31"/>
  <c r="BT22" i="31"/>
  <c r="BR22" i="31"/>
  <c r="BN18" i="31"/>
  <c r="BS20" i="34"/>
  <c r="BR13" i="31"/>
  <c r="BS21" i="31"/>
  <c r="BH17" i="31"/>
  <c r="BP22" i="34"/>
  <c r="BP14" i="34"/>
  <c r="BP16" i="34"/>
  <c r="BN16" i="31"/>
  <c r="BI16" i="32"/>
  <c r="M76" i="33"/>
  <c r="BH21" i="31"/>
  <c r="BG23" i="31"/>
  <c r="BE16" i="31"/>
  <c r="BG15" i="31"/>
  <c r="M50" i="21"/>
  <c r="BG16" i="31"/>
  <c r="BR14" i="31"/>
  <c r="BR15" i="31"/>
  <c r="BG20" i="31"/>
  <c r="BS13" i="34"/>
  <c r="BE13" i="31"/>
  <c r="BI15" i="32"/>
  <c r="BP19" i="34"/>
  <c r="BI19" i="32"/>
  <c r="BK14" i="31"/>
  <c r="BP24" i="34"/>
  <c r="BS15" i="34"/>
  <c r="BT23" i="31"/>
  <c r="BN14" i="31"/>
  <c r="M47" i="21"/>
  <c r="BQ13" i="31"/>
  <c r="BH18" i="31"/>
  <c r="BS15" i="31"/>
  <c r="BT19" i="31"/>
  <c r="BG18" i="31"/>
  <c r="BG19" i="31"/>
  <c r="M59" i="33"/>
  <c r="BS16" i="34"/>
  <c r="BN19" i="31"/>
  <c r="M84" i="21"/>
  <c r="BS21" i="34"/>
  <c r="BS14" i="34"/>
  <c r="M64" i="21"/>
  <c r="BQ23" i="31"/>
  <c r="BN22" i="32"/>
  <c r="M74" i="21"/>
  <c r="BS13" i="31"/>
  <c r="BU17" i="31"/>
  <c r="BT20" i="31"/>
  <c r="M83" i="21"/>
  <c r="M84" i="33"/>
  <c r="M82" i="33"/>
  <c r="M66" i="21"/>
  <c r="BR20" i="31"/>
  <c r="BH15" i="31"/>
  <c r="BK21" i="31"/>
  <c r="BQ19" i="31"/>
  <c r="M72" i="21"/>
  <c r="BT18" i="31"/>
  <c r="BS24" i="34"/>
  <c r="BQ22" i="31"/>
  <c r="BT24" i="31"/>
  <c r="BT17" i="31"/>
  <c r="M70" i="21"/>
  <c r="M70" i="33"/>
  <c r="BS16" i="31"/>
  <c r="BH24" i="31"/>
  <c r="BI14" i="32"/>
  <c r="BS19" i="34"/>
  <c r="BI13" i="32"/>
  <c r="BQ16" i="31"/>
  <c r="BG22" i="31"/>
  <c r="BQ14" i="31"/>
  <c r="BN23" i="31"/>
  <c r="BS23" i="34"/>
  <c r="BS22" i="34"/>
  <c r="M58" i="21"/>
  <c r="BP13" i="34"/>
  <c r="BK20" i="31"/>
  <c r="M49" i="21"/>
  <c r="BP17" i="34"/>
  <c r="M73" i="21"/>
  <c r="BN17" i="31"/>
  <c r="BU18" i="31"/>
  <c r="BI18" i="32"/>
  <c r="BI20" i="32"/>
  <c r="M60" i="21"/>
  <c r="BT13" i="31"/>
  <c r="BT16" i="31"/>
  <c r="BH20" i="31"/>
  <c r="M60" i="33"/>
  <c r="M62" i="21"/>
  <c r="BP21" i="34"/>
  <c r="BR24" i="31"/>
  <c r="BI17" i="32"/>
  <c r="BH19" i="31"/>
  <c r="BK15" i="32"/>
  <c r="BT14" i="31"/>
  <c r="BT21" i="31"/>
  <c r="BS18" i="31"/>
  <c r="BU22" i="31"/>
  <c r="BP23" i="34"/>
  <c r="BR16" i="31"/>
  <c r="BU15" i="31"/>
  <c r="M75" i="21"/>
  <c r="BU20" i="31"/>
  <c r="M51" i="21"/>
  <c r="M65" i="21"/>
  <c r="BU13" i="31"/>
  <c r="BQ17" i="31"/>
  <c r="M55" i="33"/>
  <c r="BS17" i="34"/>
  <c r="M54" i="21"/>
  <c r="BH22" i="31"/>
  <c r="BI24" i="32"/>
  <c r="M68" i="21"/>
  <c r="BR17" i="31"/>
  <c r="BN15" i="31"/>
  <c r="BI22" i="32"/>
  <c r="BU24" i="31"/>
  <c r="BH16" i="31"/>
  <c r="BH13" i="31"/>
  <c r="BU14" i="31"/>
  <c r="BS14" i="31"/>
  <c r="M77" i="21"/>
  <c r="M56" i="21"/>
  <c r="BG13" i="31"/>
  <c r="BH14" i="31"/>
  <c r="M48" i="21"/>
  <c r="BN20" i="31"/>
  <c r="M64" i="33"/>
  <c r="BQ15" i="31"/>
  <c r="M81" i="21"/>
  <c r="BN22" i="31"/>
  <c r="M69" i="21"/>
  <c r="BE24" i="31"/>
  <c r="M75" i="33"/>
  <c r="BE22" i="31"/>
  <c r="BN24" i="31"/>
  <c r="BP15" i="34"/>
  <c r="BU21" i="31"/>
  <c r="BP18" i="34"/>
  <c r="M67" i="21"/>
  <c r="BH23" i="31"/>
  <c r="M52" i="21"/>
  <c r="BK16" i="31"/>
  <c r="M71" i="33"/>
  <c r="BI21" i="32"/>
  <c r="H14" i="21" l="1"/>
  <c r="BD24" i="34"/>
  <c r="BD18" i="34"/>
  <c r="BG17" i="34"/>
  <c r="BG20" i="34"/>
  <c r="BD16" i="34"/>
  <c r="BD19" i="34"/>
  <c r="BD17" i="34"/>
  <c r="BD20" i="34"/>
  <c r="BG16" i="34"/>
  <c r="BG24" i="34"/>
  <c r="BG19" i="34"/>
  <c r="BG18" i="34"/>
  <c r="BG14" i="34"/>
  <c r="BD21" i="34"/>
  <c r="BD15" i="34"/>
  <c r="BD14" i="34"/>
  <c r="BG21" i="34"/>
  <c r="BG15" i="34"/>
  <c r="BD23" i="34"/>
  <c r="BD22" i="34"/>
  <c r="BG13" i="34"/>
  <c r="BG23" i="34"/>
  <c r="BG22" i="34"/>
  <c r="BD13" i="34"/>
  <c r="AX18" i="31"/>
  <c r="AX13" i="31"/>
  <c r="AX22" i="31"/>
  <c r="L57" i="33"/>
  <c r="I25" i="33"/>
  <c r="L58" i="33"/>
  <c r="I24" i="33"/>
  <c r="L66" i="33"/>
  <c r="I28" i="33"/>
  <c r="L56" i="33"/>
  <c r="I23" i="33"/>
  <c r="L74" i="33"/>
  <c r="I35" i="33"/>
  <c r="L62" i="33"/>
  <c r="I26" i="33"/>
  <c r="I42" i="33"/>
  <c r="L85" i="33" s="1"/>
  <c r="I39" i="33"/>
  <c r="L79" i="33" s="1"/>
  <c r="I41" i="33"/>
  <c r="L83" i="33" s="1"/>
  <c r="I40" i="33"/>
  <c r="L81" i="33" s="1"/>
  <c r="AY15" i="32"/>
  <c r="BB15" i="32"/>
  <c r="AY18" i="32"/>
  <c r="BB18" i="32"/>
  <c r="BB24" i="32"/>
  <c r="AY24" i="32"/>
  <c r="BB22" i="32"/>
  <c r="AY22" i="32"/>
  <c r="BB17" i="32"/>
  <c r="AY17" i="32"/>
  <c r="AY20" i="32"/>
  <c r="BB20" i="32"/>
  <c r="BB14" i="32"/>
  <c r="AY14" i="32"/>
  <c r="AY23" i="32"/>
  <c r="BB23" i="32"/>
  <c r="BB16" i="32"/>
  <c r="AY16" i="32"/>
  <c r="BB21" i="32"/>
  <c r="AY21" i="32"/>
  <c r="BB19" i="32"/>
  <c r="AY19" i="32"/>
  <c r="AY13" i="32"/>
  <c r="BB13" i="32"/>
  <c r="AX23" i="31"/>
  <c r="AX15" i="31"/>
  <c r="AV15" i="31"/>
  <c r="AV22" i="31"/>
  <c r="AV20" i="31"/>
  <c r="AV19" i="31"/>
  <c r="AV23" i="31"/>
  <c r="AV21" i="31"/>
  <c r="AV24" i="31"/>
  <c r="AV18" i="31"/>
  <c r="AV14" i="31"/>
  <c r="AV13" i="31"/>
  <c r="AV17" i="31"/>
  <c r="AV16" i="31"/>
  <c r="AU20" i="13"/>
  <c r="AO14" i="13"/>
  <c r="AO15" i="13"/>
  <c r="AO16" i="13"/>
  <c r="AO17" i="13"/>
  <c r="AO18" i="13"/>
  <c r="AO19" i="13"/>
  <c r="AO20" i="13"/>
  <c r="AO21" i="13"/>
  <c r="AO22" i="13"/>
  <c r="AO23" i="13"/>
  <c r="AO24" i="13"/>
  <c r="AO13" i="13"/>
  <c r="AX21" i="13"/>
  <c r="AX22" i="13"/>
  <c r="AX14" i="13"/>
  <c r="AH17" i="13"/>
  <c r="AH14" i="13"/>
  <c r="AU14" i="13" s="1"/>
  <c r="AH15" i="13"/>
  <c r="AU15" i="13" s="1"/>
  <c r="AH16" i="13"/>
  <c r="AU16" i="13" s="1"/>
  <c r="AH18" i="13"/>
  <c r="AU18" i="13" s="1"/>
  <c r="AH19" i="13"/>
  <c r="AU19" i="13" s="1"/>
  <c r="AH21" i="13"/>
  <c r="AU21" i="13" s="1"/>
  <c r="AH22" i="13"/>
  <c r="AU22" i="13" s="1"/>
  <c r="AH23" i="13"/>
  <c r="AU23" i="13" s="1"/>
  <c r="AH24" i="13"/>
  <c r="AU24" i="13" s="1"/>
  <c r="AH13" i="13"/>
  <c r="AU13" i="13" s="1"/>
  <c r="AX13" i="13"/>
  <c r="AL19" i="13"/>
  <c r="AL20" i="13"/>
  <c r="AL21" i="13"/>
  <c r="AL22" i="13"/>
  <c r="AL23" i="13"/>
  <c r="AL24" i="13"/>
  <c r="AL14" i="13"/>
  <c r="AL15" i="13"/>
  <c r="AL16" i="13"/>
  <c r="AL17" i="13"/>
  <c r="AL18" i="13"/>
  <c r="AX19" i="13"/>
  <c r="AX23" i="13"/>
  <c r="AX24" i="13"/>
  <c r="AX15" i="13"/>
  <c r="AX16" i="13"/>
  <c r="AX18" i="13"/>
  <c r="BI23" i="31"/>
  <c r="BO23" i="32"/>
  <c r="BT19" i="34"/>
  <c r="BL15" i="32"/>
  <c r="BO18" i="32"/>
  <c r="BQ13" i="34"/>
  <c r="M56" i="33"/>
  <c r="BH18" i="13"/>
  <c r="AN16" i="13"/>
  <c r="BI15" i="31"/>
  <c r="BL22" i="32"/>
  <c r="BT14" i="34"/>
  <c r="M66" i="33"/>
  <c r="BL20" i="32"/>
  <c r="BK15" i="31"/>
  <c r="BO20" i="32"/>
  <c r="BQ22" i="34"/>
  <c r="BH15" i="13"/>
  <c r="BT22" i="34"/>
  <c r="BK20" i="13"/>
  <c r="BK15" i="13"/>
  <c r="BK13" i="13"/>
  <c r="AN15" i="13"/>
  <c r="BL19" i="32"/>
  <c r="BL18" i="32"/>
  <c r="BI19" i="31"/>
  <c r="BL23" i="32"/>
  <c r="AM16" i="13"/>
  <c r="BI22" i="31"/>
  <c r="BG22" i="13"/>
  <c r="BK14" i="13"/>
  <c r="M74" i="33"/>
  <c r="BI21" i="31"/>
  <c r="BK17" i="13"/>
  <c r="BQ14" i="34"/>
  <c r="BL14" i="32"/>
  <c r="BQ24" i="34"/>
  <c r="BL13" i="32"/>
  <c r="AM15" i="13"/>
  <c r="BQ16" i="34"/>
  <c r="BT18" i="34"/>
  <c r="BG24" i="13"/>
  <c r="AN14" i="13"/>
  <c r="BI17" i="31"/>
  <c r="BG20" i="13"/>
  <c r="BO13" i="32"/>
  <c r="BK19" i="13"/>
  <c r="BL24" i="32"/>
  <c r="M62" i="33"/>
  <c r="BO24" i="32"/>
  <c r="BK13" i="31"/>
  <c r="BI14" i="31"/>
  <c r="BI16" i="31"/>
  <c r="BL17" i="32"/>
  <c r="BT15" i="34"/>
  <c r="M79" i="33"/>
  <c r="BO15" i="32"/>
  <c r="BQ21" i="34"/>
  <c r="BG15" i="13"/>
  <c r="BO21" i="32"/>
  <c r="AM14" i="13"/>
  <c r="M83" i="33"/>
  <c r="BH13" i="13"/>
  <c r="BG17" i="13"/>
  <c r="BG18" i="13"/>
  <c r="BK21" i="13"/>
  <c r="BQ17" i="34"/>
  <c r="BT24" i="34"/>
  <c r="BK24" i="13"/>
  <c r="M81" i="33"/>
  <c r="BI13" i="31"/>
  <c r="BH20" i="13"/>
  <c r="BQ23" i="34"/>
  <c r="BG21" i="13"/>
  <c r="BT17" i="34"/>
  <c r="AN17" i="13"/>
  <c r="BT21" i="34"/>
  <c r="BT13" i="34"/>
  <c r="AM17" i="13"/>
  <c r="M85" i="33"/>
  <c r="BK23" i="13"/>
  <c r="BH24" i="13"/>
  <c r="BK22" i="31"/>
  <c r="BH16" i="13"/>
  <c r="M57" i="33"/>
  <c r="BO19" i="32"/>
  <c r="BO16" i="32"/>
  <c r="BQ15" i="34"/>
  <c r="BT23" i="34"/>
  <c r="BO17" i="32"/>
  <c r="BT16" i="34"/>
  <c r="BQ19" i="34"/>
  <c r="BG13" i="13"/>
  <c r="BK18" i="13"/>
  <c r="BK18" i="31"/>
  <c r="BL16" i="32"/>
  <c r="BL21" i="32"/>
  <c r="BK23" i="31"/>
  <c r="BI20" i="31"/>
  <c r="BG19" i="13"/>
  <c r="M58" i="33"/>
  <c r="BO22" i="32"/>
  <c r="BT20" i="34"/>
  <c r="BK22" i="13"/>
  <c r="BO14" i="32"/>
  <c r="BQ18" i="34"/>
  <c r="BG14" i="13"/>
  <c r="BG16" i="13"/>
  <c r="BQ20" i="34"/>
  <c r="BK16" i="13"/>
  <c r="BI24" i="31"/>
  <c r="BG23" i="13"/>
  <c r="BI18" i="31"/>
  <c r="AZ13" i="32" l="1"/>
  <c r="AZ23" i="32"/>
  <c r="BC22" i="32"/>
  <c r="AZ19" i="32"/>
  <c r="AZ14" i="32"/>
  <c r="AZ24" i="32"/>
  <c r="BC23" i="32"/>
  <c r="BC24" i="32"/>
  <c r="AZ21" i="32"/>
  <c r="BC20" i="32"/>
  <c r="BC18" i="32"/>
  <c r="AZ22" i="32"/>
  <c r="BC14" i="32"/>
  <c r="BC21" i="32"/>
  <c r="AZ20" i="32"/>
  <c r="AZ18" i="32"/>
  <c r="AZ16" i="32"/>
  <c r="AZ17" i="32"/>
  <c r="BC15" i="32"/>
  <c r="BC13" i="32"/>
  <c r="BC19" i="32"/>
  <c r="BC16" i="32"/>
  <c r="BC17" i="32"/>
  <c r="AZ15" i="32"/>
  <c r="BB14" i="31"/>
  <c r="AY14" i="31"/>
  <c r="AY21" i="31"/>
  <c r="BB21" i="31"/>
  <c r="AY13" i="31"/>
  <c r="BB13" i="31"/>
  <c r="AY23" i="31"/>
  <c r="BB23" i="31"/>
  <c r="BB22" i="31"/>
  <c r="AY22" i="31"/>
  <c r="BB19" i="31"/>
  <c r="AY19" i="31"/>
  <c r="AY15" i="31"/>
  <c r="BB15" i="31"/>
  <c r="BB16" i="31"/>
  <c r="AY16" i="31"/>
  <c r="AY18" i="31"/>
  <c r="BB18" i="31"/>
  <c r="BB20" i="31"/>
  <c r="AY20" i="31"/>
  <c r="BB17" i="31"/>
  <c r="AY17" i="31"/>
  <c r="BB24" i="31"/>
  <c r="AY24" i="31"/>
  <c r="AV22" i="13"/>
  <c r="AW22" i="13" s="1"/>
  <c r="AV14" i="13"/>
  <c r="AW14" i="13" s="1"/>
  <c r="AV18" i="13"/>
  <c r="AV23" i="13"/>
  <c r="AV20" i="13"/>
  <c r="AW20" i="13" s="1"/>
  <c r="AV19" i="13"/>
  <c r="AW19" i="13" s="1"/>
  <c r="AV24" i="13"/>
  <c r="AW24" i="13" s="1"/>
  <c r="AV21" i="13"/>
  <c r="AW21" i="13" s="1"/>
  <c r="AV16" i="13"/>
  <c r="AW16" i="13" s="1"/>
  <c r="AV15" i="13"/>
  <c r="AW15" i="13" s="1"/>
  <c r="AV17" i="13"/>
  <c r="H22" i="21"/>
  <c r="I22" i="21" s="1"/>
  <c r="L57" i="21" s="1"/>
  <c r="H21" i="21"/>
  <c r="I21" i="21" s="1"/>
  <c r="L55" i="21" s="1"/>
  <c r="H20" i="21"/>
  <c r="I20" i="21" s="1"/>
  <c r="L53" i="21" s="1"/>
  <c r="I14" i="21"/>
  <c r="H16" i="21"/>
  <c r="I16" i="21" s="1"/>
  <c r="H15" i="21"/>
  <c r="I15" i="21" s="1"/>
  <c r="H33" i="21"/>
  <c r="I33" i="21" s="1"/>
  <c r="H19" i="21"/>
  <c r="I19" i="21" s="1"/>
  <c r="H17" i="21"/>
  <c r="I17" i="21" s="1"/>
  <c r="H18" i="21"/>
  <c r="I18" i="21" s="1"/>
  <c r="H29" i="21"/>
  <c r="I29" i="21" s="1"/>
  <c r="H30" i="21"/>
  <c r="I30" i="21" s="1"/>
  <c r="H31" i="21"/>
  <c r="I31" i="21" s="1"/>
  <c r="H41" i="21"/>
  <c r="I41" i="21" s="1"/>
  <c r="H40" i="21"/>
  <c r="I40" i="21" s="1"/>
  <c r="H27" i="21"/>
  <c r="I27" i="21" s="1"/>
  <c r="H26" i="21"/>
  <c r="I26" i="21" s="1"/>
  <c r="H28" i="21"/>
  <c r="I28" i="21" s="1"/>
  <c r="H32" i="21"/>
  <c r="I32" i="21" s="1"/>
  <c r="L71" i="21" s="1"/>
  <c r="H25" i="21"/>
  <c r="I25" i="21" s="1"/>
  <c r="L63" i="21" s="1"/>
  <c r="H24" i="21"/>
  <c r="I24" i="21" s="1"/>
  <c r="L61" i="21" s="1"/>
  <c r="H23" i="21"/>
  <c r="I23" i="21" s="1"/>
  <c r="L59" i="21" s="1"/>
  <c r="H38" i="21"/>
  <c r="I38" i="21" s="1"/>
  <c r="L80" i="21" s="1"/>
  <c r="H39" i="21"/>
  <c r="I39" i="21" s="1"/>
  <c r="L82" i="21" s="1"/>
  <c r="H35" i="21"/>
  <c r="I35" i="21" s="1"/>
  <c r="H34" i="21"/>
  <c r="I34" i="21" s="1"/>
  <c r="AU17" i="13"/>
  <c r="AY17" i="13" s="1"/>
  <c r="BB20" i="13"/>
  <c r="AW17" i="13"/>
  <c r="AW23" i="13"/>
  <c r="BB18" i="13"/>
  <c r="BB14" i="13"/>
  <c r="AY21" i="13"/>
  <c r="AW18" i="13"/>
  <c r="AY16" i="13"/>
  <c r="AY15" i="13"/>
  <c r="AY24" i="13"/>
  <c r="AY22" i="13"/>
  <c r="AY20" i="13"/>
  <c r="BB19" i="13"/>
  <c r="AY18" i="13"/>
  <c r="BB22" i="13"/>
  <c r="BB24" i="13"/>
  <c r="BB16" i="13"/>
  <c r="BB15" i="13"/>
  <c r="M10" i="27"/>
  <c r="M9" i="27"/>
  <c r="N9" i="27"/>
  <c r="N10" i="27"/>
  <c r="L10" i="27"/>
  <c r="L9" i="27"/>
  <c r="L8" i="27"/>
  <c r="M8" i="27" s="1"/>
  <c r="N8" i="27" s="1"/>
  <c r="M9" i="26"/>
  <c r="M10" i="26"/>
  <c r="M8" i="26"/>
  <c r="L9" i="26"/>
  <c r="L10" i="26"/>
  <c r="L8" i="26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M23" i="25"/>
  <c r="M24" i="25"/>
  <c r="N24" i="25" s="1"/>
  <c r="M25" i="25"/>
  <c r="M26" i="25"/>
  <c r="M9" i="25"/>
  <c r="L26" i="25"/>
  <c r="N26" i="25" s="1"/>
  <c r="L25" i="25"/>
  <c r="L24" i="25"/>
  <c r="N23" i="25"/>
  <c r="L23" i="25"/>
  <c r="N22" i="25"/>
  <c r="L22" i="25"/>
  <c r="N21" i="25"/>
  <c r="L21" i="25"/>
  <c r="L20" i="25"/>
  <c r="N20" i="25" s="1"/>
  <c r="L19" i="25"/>
  <c r="N19" i="25" s="1"/>
  <c r="L18" i="25"/>
  <c r="N18" i="25" s="1"/>
  <c r="L17" i="25"/>
  <c r="N16" i="25"/>
  <c r="L16" i="25"/>
  <c r="N15" i="25"/>
  <c r="L15" i="25"/>
  <c r="N14" i="25"/>
  <c r="L14" i="25"/>
  <c r="N13" i="25"/>
  <c r="L13" i="25"/>
  <c r="L12" i="25"/>
  <c r="N12" i="25" s="1"/>
  <c r="L11" i="25"/>
  <c r="N11" i="25" s="1"/>
  <c r="L10" i="25"/>
  <c r="N10" i="25" s="1"/>
  <c r="L9" i="25"/>
  <c r="L24" i="24"/>
  <c r="M24" i="24" s="1"/>
  <c r="L23" i="24"/>
  <c r="M23" i="24" s="1"/>
  <c r="N23" i="24" s="1"/>
  <c r="L22" i="24"/>
  <c r="M22" i="24"/>
  <c r="L21" i="24"/>
  <c r="M21" i="24" s="1"/>
  <c r="N21" i="24" s="1"/>
  <c r="M20" i="24"/>
  <c r="L20" i="24"/>
  <c r="M27" i="24"/>
  <c r="N27" i="24" s="1"/>
  <c r="L27" i="24"/>
  <c r="L26" i="24"/>
  <c r="M26" i="24" s="1"/>
  <c r="N26" i="24" s="1"/>
  <c r="L25" i="24"/>
  <c r="M25" i="24" s="1"/>
  <c r="N25" i="24" s="1"/>
  <c r="M19" i="24"/>
  <c r="N19" i="24" s="1"/>
  <c r="L19" i="24"/>
  <c r="L18" i="24"/>
  <c r="M18" i="24" s="1"/>
  <c r="N18" i="24" s="1"/>
  <c r="L17" i="24"/>
  <c r="M17" i="24" s="1"/>
  <c r="N17" i="24" s="1"/>
  <c r="L16" i="24"/>
  <c r="M16" i="24" s="1"/>
  <c r="N16" i="24" s="1"/>
  <c r="M15" i="24"/>
  <c r="N15" i="24" s="1"/>
  <c r="L15" i="24"/>
  <c r="L14" i="24"/>
  <c r="M14" i="24" s="1"/>
  <c r="N14" i="24" s="1"/>
  <c r="M13" i="24"/>
  <c r="N13" i="24" s="1"/>
  <c r="L13" i="24"/>
  <c r="L12" i="24"/>
  <c r="M12" i="24" s="1"/>
  <c r="N12" i="24" s="1"/>
  <c r="M11" i="24"/>
  <c r="N11" i="24" s="1"/>
  <c r="L11" i="24"/>
  <c r="L10" i="24"/>
  <c r="M10" i="24" s="1"/>
  <c r="N10" i="24" s="1"/>
  <c r="M24" i="19"/>
  <c r="M22" i="19"/>
  <c r="M20" i="19"/>
  <c r="O6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33" i="19"/>
  <c r="O33" i="19"/>
  <c r="N7" i="19"/>
  <c r="L24" i="19"/>
  <c r="N24" i="19" s="1"/>
  <c r="L22" i="19"/>
  <c r="L20" i="19"/>
  <c r="L30" i="19"/>
  <c r="M30" i="19" s="1"/>
  <c r="N30" i="19" s="1"/>
  <c r="L29" i="19"/>
  <c r="M29" i="19" s="1"/>
  <c r="N29" i="19" s="1"/>
  <c r="L27" i="19"/>
  <c r="M27" i="19" s="1"/>
  <c r="N27" i="19" s="1"/>
  <c r="L26" i="19"/>
  <c r="M26" i="19" s="1"/>
  <c r="N26" i="19" s="1"/>
  <c r="L28" i="19"/>
  <c r="L25" i="19"/>
  <c r="M25" i="19" s="1"/>
  <c r="N25" i="19" s="1"/>
  <c r="L21" i="19"/>
  <c r="M21" i="19" s="1"/>
  <c r="N21" i="19" s="1"/>
  <c r="N20" i="19"/>
  <c r="L19" i="19"/>
  <c r="L17" i="19"/>
  <c r="M17" i="19" s="1"/>
  <c r="N17" i="19" s="1"/>
  <c r="L16" i="19"/>
  <c r="M16" i="19" s="1"/>
  <c r="N16" i="19" s="1"/>
  <c r="L14" i="19"/>
  <c r="M14" i="19" s="1"/>
  <c r="N14" i="19" s="1"/>
  <c r="L13" i="19"/>
  <c r="M13" i="19" s="1"/>
  <c r="N13" i="19" s="1"/>
  <c r="L15" i="19"/>
  <c r="L18" i="19"/>
  <c r="L23" i="19"/>
  <c r="M28" i="19"/>
  <c r="N28" i="19" s="1"/>
  <c r="M11" i="19"/>
  <c r="N11" i="19" s="1"/>
  <c r="M12" i="19"/>
  <c r="N12" i="19" s="1"/>
  <c r="M15" i="19"/>
  <c r="N15" i="19" s="1"/>
  <c r="M18" i="19"/>
  <c r="N18" i="19" s="1"/>
  <c r="M19" i="19"/>
  <c r="N19" i="19" s="1"/>
  <c r="M23" i="19"/>
  <c r="N23" i="19" s="1"/>
  <c r="M10" i="19"/>
  <c r="N10" i="19" s="1"/>
  <c r="L12" i="19"/>
  <c r="L11" i="19"/>
  <c r="L10" i="19"/>
  <c r="BP21" i="32"/>
  <c r="AS15" i="13"/>
  <c r="BL22" i="31"/>
  <c r="AR17" i="13"/>
  <c r="BM21" i="32"/>
  <c r="BO16" i="31"/>
  <c r="BP16" i="32"/>
  <c r="BL24" i="13"/>
  <c r="BM14" i="32"/>
  <c r="AP22" i="13"/>
  <c r="BH19" i="13"/>
  <c r="AQ16" i="13"/>
  <c r="BO22" i="31"/>
  <c r="AS24" i="13"/>
  <c r="BH14" i="13"/>
  <c r="BL18" i="13"/>
  <c r="BP23" i="32"/>
  <c r="BL24" i="31"/>
  <c r="BO18" i="13"/>
  <c r="BL19" i="31"/>
  <c r="AP15" i="13"/>
  <c r="BM17" i="32"/>
  <c r="BH21" i="13"/>
  <c r="BP14" i="32"/>
  <c r="BO13" i="31"/>
  <c r="AT23" i="13"/>
  <c r="AR22" i="13"/>
  <c r="AR24" i="13"/>
  <c r="AS18" i="13"/>
  <c r="AT16" i="13"/>
  <c r="AQ18" i="13"/>
  <c r="BP18" i="32"/>
  <c r="BL20" i="13"/>
  <c r="BL18" i="31"/>
  <c r="BH23" i="13"/>
  <c r="BO14" i="31"/>
  <c r="AQ15" i="13"/>
  <c r="AP16" i="13"/>
  <c r="BM23" i="32"/>
  <c r="AS23" i="13"/>
  <c r="BM15" i="32"/>
  <c r="BM16" i="32"/>
  <c r="BL20" i="31"/>
  <c r="BM13" i="32"/>
  <c r="BH17" i="13"/>
  <c r="BO19" i="31"/>
  <c r="AS21" i="13"/>
  <c r="BL17" i="31"/>
  <c r="AT14" i="13"/>
  <c r="M57" i="21"/>
  <c r="AQ14" i="13"/>
  <c r="AS19" i="13"/>
  <c r="AT24" i="13"/>
  <c r="BO16" i="13"/>
  <c r="BM22" i="32"/>
  <c r="AS20" i="13"/>
  <c r="BP17" i="32"/>
  <c r="BM20" i="32"/>
  <c r="BL13" i="31"/>
  <c r="M61" i="21"/>
  <c r="AP21" i="13"/>
  <c r="AP17" i="13"/>
  <c r="AT15" i="13"/>
  <c r="AQ21" i="13"/>
  <c r="BP24" i="32"/>
  <c r="BL15" i="13"/>
  <c r="BO19" i="13"/>
  <c r="BO22" i="13"/>
  <c r="AP14" i="13"/>
  <c r="AQ24" i="13"/>
  <c r="BP20" i="32"/>
  <c r="BO14" i="13"/>
  <c r="BP19" i="32"/>
  <c r="BO17" i="31"/>
  <c r="BL22" i="13"/>
  <c r="AR21" i="13"/>
  <c r="BM19" i="32"/>
  <c r="AT20" i="13"/>
  <c r="M80" i="21"/>
  <c r="BO15" i="31"/>
  <c r="BL17" i="13"/>
  <c r="M63" i="21"/>
  <c r="AR14" i="13"/>
  <c r="BO20" i="13"/>
  <c r="BO18" i="31"/>
  <c r="AP24" i="13"/>
  <c r="AR19" i="13"/>
  <c r="BM18" i="32"/>
  <c r="AR18" i="13"/>
  <c r="AQ17" i="13"/>
  <c r="M82" i="21"/>
  <c r="BM24" i="32"/>
  <c r="AP18" i="13"/>
  <c r="BP22" i="32"/>
  <c r="BL16" i="13"/>
  <c r="BL21" i="13"/>
  <c r="AT21" i="13"/>
  <c r="AQ19" i="13"/>
  <c r="M55" i="21"/>
  <c r="BL15" i="31"/>
  <c r="BH22" i="13"/>
  <c r="M59" i="21"/>
  <c r="AT22" i="13"/>
  <c r="AS14" i="13"/>
  <c r="BL21" i="31"/>
  <c r="AT19" i="13"/>
  <c r="AT17" i="13"/>
  <c r="M71" i="21"/>
  <c r="AR16" i="13"/>
  <c r="AQ23" i="13"/>
  <c r="AP20" i="13"/>
  <c r="AQ22" i="13"/>
  <c r="BL23" i="31"/>
  <c r="BO24" i="13"/>
  <c r="AP19" i="13"/>
  <c r="BL16" i="31"/>
  <c r="AR15" i="13"/>
  <c r="AS22" i="13"/>
  <c r="AQ20" i="13"/>
  <c r="AP23" i="13"/>
  <c r="BP15" i="32"/>
  <c r="BL14" i="31"/>
  <c r="BO15" i="13"/>
  <c r="BP13" i="32"/>
  <c r="AS17" i="13"/>
  <c r="AT18" i="13"/>
  <c r="BO21" i="31"/>
  <c r="BO24" i="31"/>
  <c r="M53" i="21"/>
  <c r="BO20" i="31"/>
  <c r="BO23" i="31"/>
  <c r="AR20" i="13"/>
  <c r="AS16" i="13"/>
  <c r="AR23" i="13"/>
  <c r="BE18" i="13" l="1"/>
  <c r="BE17" i="13"/>
  <c r="BE21" i="13"/>
  <c r="BE24" i="13"/>
  <c r="BE19" i="13"/>
  <c r="BE22" i="13"/>
  <c r="BE20" i="13"/>
  <c r="BE15" i="13"/>
  <c r="BE14" i="13"/>
  <c r="BE16" i="13"/>
  <c r="BE23" i="13"/>
  <c r="AZ22" i="31"/>
  <c r="AZ24" i="31"/>
  <c r="AZ16" i="31"/>
  <c r="BC23" i="31"/>
  <c r="BC18" i="31"/>
  <c r="BC24" i="31"/>
  <c r="BC16" i="31"/>
  <c r="AZ23" i="31"/>
  <c r="AZ17" i="31"/>
  <c r="BC15" i="31"/>
  <c r="BC13" i="31"/>
  <c r="BC17" i="31"/>
  <c r="AZ15" i="31"/>
  <c r="AZ13" i="31"/>
  <c r="AZ20" i="31"/>
  <c r="AZ19" i="31"/>
  <c r="BC21" i="31"/>
  <c r="BC20" i="31"/>
  <c r="BC19" i="31"/>
  <c r="AZ21" i="31"/>
  <c r="AZ14" i="31"/>
  <c r="AZ18" i="31"/>
  <c r="BC22" i="31"/>
  <c r="BC14" i="31"/>
  <c r="BB17" i="13"/>
  <c r="BB21" i="13"/>
  <c r="AY14" i="13"/>
  <c r="BB23" i="13"/>
  <c r="AY23" i="13"/>
  <c r="AY19" i="13"/>
  <c r="N17" i="25"/>
  <c r="N25" i="25"/>
  <c r="N9" i="25"/>
  <c r="N24" i="24"/>
  <c r="N22" i="24"/>
  <c r="N20" i="24"/>
  <c r="N22" i="19"/>
  <c r="AL13" i="13"/>
  <c r="AN12" i="12"/>
  <c r="AX12" i="12" s="1"/>
  <c r="AN11" i="12"/>
  <c r="AX11" i="12" s="1"/>
  <c r="AU11" i="12"/>
  <c r="BE11" i="12" s="1"/>
  <c r="AU12" i="12"/>
  <c r="BE12" i="12" s="1"/>
  <c r="AU13" i="12"/>
  <c r="BE13" i="12" s="1"/>
  <c r="AU14" i="12"/>
  <c r="BE14" i="12" s="1"/>
  <c r="AU15" i="12"/>
  <c r="BE15" i="12" s="1"/>
  <c r="AU16" i="12"/>
  <c r="BE16" i="12" s="1"/>
  <c r="AT13" i="12"/>
  <c r="BD13" i="12" s="1"/>
  <c r="AQ15" i="12"/>
  <c r="BA15" i="12" s="1"/>
  <c r="AP13" i="12"/>
  <c r="AZ13" i="12" s="1"/>
  <c r="AP14" i="12"/>
  <c r="AZ14" i="12" s="1"/>
  <c r="AP15" i="12"/>
  <c r="AT15" i="12" s="1"/>
  <c r="AP16" i="12"/>
  <c r="AQ16" i="12" s="1"/>
  <c r="AS16" i="12" s="1"/>
  <c r="BC16" i="12" s="1"/>
  <c r="AP12" i="12"/>
  <c r="AZ12" i="12" s="1"/>
  <c r="AP11" i="12"/>
  <c r="AT11" i="12" s="1"/>
  <c r="BK14" i="12"/>
  <c r="BK15" i="12"/>
  <c r="BK16" i="12"/>
  <c r="BK13" i="12"/>
  <c r="BJ14" i="12"/>
  <c r="BJ15" i="12"/>
  <c r="BJ16" i="12"/>
  <c r="BJ13" i="12"/>
  <c r="BI14" i="12"/>
  <c r="BI15" i="12"/>
  <c r="BI16" i="12"/>
  <c r="BI13" i="12"/>
  <c r="BB12" i="12"/>
  <c r="BB13" i="12"/>
  <c r="BB14" i="12"/>
  <c r="BB15" i="12"/>
  <c r="BB16" i="12"/>
  <c r="BB11" i="12"/>
  <c r="AY12" i="12"/>
  <c r="AY13" i="12"/>
  <c r="AY14" i="12"/>
  <c r="AY15" i="12"/>
  <c r="AY16" i="12"/>
  <c r="AY11" i="12"/>
  <c r="AN13" i="12"/>
  <c r="AX13" i="12" s="1"/>
  <c r="AN14" i="12"/>
  <c r="AX14" i="12" s="1"/>
  <c r="AN15" i="12"/>
  <c r="AX15" i="12" s="1"/>
  <c r="AN16" i="12"/>
  <c r="AX16" i="12" s="1"/>
  <c r="AF16" i="12"/>
  <c r="AF15" i="12"/>
  <c r="AM15" i="12"/>
  <c r="AW15" i="12" s="1"/>
  <c r="AM16" i="12"/>
  <c r="AW16" i="12" s="1"/>
  <c r="AM12" i="12"/>
  <c r="AW12" i="12" s="1"/>
  <c r="AM13" i="12"/>
  <c r="AW13" i="12" s="1"/>
  <c r="AM14" i="12"/>
  <c r="AW14" i="12" s="1"/>
  <c r="AM11" i="12"/>
  <c r="AW11" i="12" s="1"/>
  <c r="AF14" i="17"/>
  <c r="AF13" i="17"/>
  <c r="AF12" i="17"/>
  <c r="AF11" i="17"/>
  <c r="AF14" i="16"/>
  <c r="AF13" i="16"/>
  <c r="AF12" i="16"/>
  <c r="AF11" i="16"/>
  <c r="AI14" i="17"/>
  <c r="AH11" i="16"/>
  <c r="BU21" i="13"/>
  <c r="AH12" i="16"/>
  <c r="BU20" i="13"/>
  <c r="BV16" i="13"/>
  <c r="AG13" i="17"/>
  <c r="BT20" i="13"/>
  <c r="BR22" i="13"/>
  <c r="BP24" i="31"/>
  <c r="AJ14" i="16"/>
  <c r="AI13" i="12"/>
  <c r="AI15" i="12"/>
  <c r="BP20" i="31"/>
  <c r="BL23" i="13"/>
  <c r="AI13" i="16"/>
  <c r="BV14" i="13"/>
  <c r="BS20" i="13"/>
  <c r="AL14" i="17"/>
  <c r="BM15" i="31"/>
  <c r="AG16" i="12"/>
  <c r="AH13" i="17"/>
  <c r="AJ12" i="16"/>
  <c r="BI15" i="13"/>
  <c r="BM23" i="31"/>
  <c r="AH11" i="17"/>
  <c r="BU16" i="13"/>
  <c r="AI12" i="17"/>
  <c r="BI17" i="13"/>
  <c r="BP13" i="31"/>
  <c r="BS24" i="13"/>
  <c r="BR15" i="13"/>
  <c r="BJ21" i="13"/>
  <c r="AG14" i="16"/>
  <c r="BV18" i="13"/>
  <c r="BF14" i="13"/>
  <c r="BP21" i="31"/>
  <c r="BF18" i="13"/>
  <c r="BU22" i="13"/>
  <c r="BM22" i="31"/>
  <c r="BT16" i="13"/>
  <c r="BU14" i="13"/>
  <c r="BV23" i="13"/>
  <c r="AL12" i="17"/>
  <c r="AS13" i="13"/>
  <c r="BJ18" i="13"/>
  <c r="BP23" i="31"/>
  <c r="BL14" i="13"/>
  <c r="BJ19" i="13"/>
  <c r="BJ24" i="13"/>
  <c r="BI19" i="13"/>
  <c r="BP17" i="31"/>
  <c r="AP13" i="13"/>
  <c r="AG15" i="12"/>
  <c r="BF24" i="13"/>
  <c r="BT17" i="13"/>
  <c r="AK12" i="16"/>
  <c r="BP22" i="31"/>
  <c r="BJ17" i="13"/>
  <c r="AG14" i="12"/>
  <c r="BU15" i="13"/>
  <c r="BM17" i="31"/>
  <c r="BJ15" i="13"/>
  <c r="AL13" i="16"/>
  <c r="BT22" i="13"/>
  <c r="BT14" i="13"/>
  <c r="AG13" i="12"/>
  <c r="BM20" i="31"/>
  <c r="AK14" i="17"/>
  <c r="BI23" i="13"/>
  <c r="AI16" i="12"/>
  <c r="AN13" i="13"/>
  <c r="AK11" i="17"/>
  <c r="AG11" i="17"/>
  <c r="AH16" i="12"/>
  <c r="BO23" i="13"/>
  <c r="BF15" i="13"/>
  <c r="AL11" i="16"/>
  <c r="BI16" i="13"/>
  <c r="BF19" i="13"/>
  <c r="BS22" i="13"/>
  <c r="AH13" i="12"/>
  <c r="BM13" i="31"/>
  <c r="BR20" i="13"/>
  <c r="AH14" i="16"/>
  <c r="AG14" i="17"/>
  <c r="AJ14" i="17"/>
  <c r="AH12" i="17"/>
  <c r="AG11" i="16"/>
  <c r="BS15" i="13"/>
  <c r="BT24" i="13"/>
  <c r="BJ22" i="13"/>
  <c r="BM24" i="31"/>
  <c r="BU18" i="13"/>
  <c r="AJ11" i="16"/>
  <c r="AK13" i="17"/>
  <c r="AI11" i="17"/>
  <c r="AG13" i="16"/>
  <c r="BO17" i="13"/>
  <c r="BS14" i="13"/>
  <c r="AI12" i="16"/>
  <c r="BS21" i="13"/>
  <c r="BM21" i="31"/>
  <c r="AH15" i="12"/>
  <c r="AJ13" i="16"/>
  <c r="AH13" i="16"/>
  <c r="BV20" i="13"/>
  <c r="BJ14" i="13"/>
  <c r="BT19" i="13"/>
  <c r="BF22" i="13"/>
  <c r="BR16" i="13"/>
  <c r="BJ16" i="13"/>
  <c r="BP16" i="31"/>
  <c r="AI13" i="17"/>
  <c r="BS19" i="13"/>
  <c r="BF21" i="13"/>
  <c r="AG12" i="17"/>
  <c r="AI14" i="16"/>
  <c r="BV15" i="13"/>
  <c r="AL14" i="16"/>
  <c r="BS17" i="13"/>
  <c r="AK14" i="16"/>
  <c r="BF20" i="13"/>
  <c r="BT21" i="13"/>
  <c r="BI20" i="13"/>
  <c r="BR18" i="13"/>
  <c r="AI14" i="12"/>
  <c r="AL12" i="16"/>
  <c r="BF13" i="13"/>
  <c r="BP15" i="31"/>
  <c r="AQ13" i="13"/>
  <c r="BI18" i="13"/>
  <c r="AH14" i="12"/>
  <c r="BP14" i="31"/>
  <c r="BP19" i="31"/>
  <c r="BR17" i="13"/>
  <c r="AK12" i="17"/>
  <c r="BV22" i="13"/>
  <c r="AL11" i="17"/>
  <c r="BT15" i="13"/>
  <c r="BT23" i="13"/>
  <c r="BP18" i="31"/>
  <c r="BJ20" i="13"/>
  <c r="AT13" i="13"/>
  <c r="AJ11" i="17"/>
  <c r="BU19" i="13"/>
  <c r="AH14" i="17"/>
  <c r="BL19" i="13"/>
  <c r="BI24" i="13"/>
  <c r="BF16" i="13"/>
  <c r="AH11" i="12"/>
  <c r="BM14" i="31"/>
  <c r="BU23" i="13"/>
  <c r="BR19" i="13"/>
  <c r="BV17" i="13"/>
  <c r="AM13" i="13"/>
  <c r="BS18" i="13"/>
  <c r="BV19" i="13"/>
  <c r="BV21" i="13"/>
  <c r="BM18" i="31"/>
  <c r="BS23" i="13"/>
  <c r="AG12" i="16"/>
  <c r="BJ23" i="13"/>
  <c r="AL13" i="17"/>
  <c r="AK11" i="16"/>
  <c r="BV24" i="13"/>
  <c r="BM19" i="31"/>
  <c r="BU17" i="13"/>
  <c r="BS16" i="13"/>
  <c r="BR21" i="13"/>
  <c r="BR23" i="13"/>
  <c r="BI22" i="13"/>
  <c r="BI21" i="13"/>
  <c r="BF17" i="13"/>
  <c r="AK13" i="16"/>
  <c r="BR14" i="13"/>
  <c r="BM16" i="31"/>
  <c r="AI11" i="16"/>
  <c r="AR13" i="13"/>
  <c r="BI14" i="13"/>
  <c r="BR24" i="13"/>
  <c r="BU24" i="13"/>
  <c r="BT18" i="13"/>
  <c r="BF23" i="13"/>
  <c r="BO21" i="13"/>
  <c r="AJ13" i="17"/>
  <c r="AJ12" i="17"/>
  <c r="BE13" i="13" l="1"/>
  <c r="AV13" i="13"/>
  <c r="AW13" i="13" s="1"/>
  <c r="H36" i="21"/>
  <c r="I36" i="21" s="1"/>
  <c r="L76" i="21" s="1"/>
  <c r="H37" i="21"/>
  <c r="I37" i="21" s="1"/>
  <c r="L78" i="21" s="1"/>
  <c r="BC22" i="13"/>
  <c r="AZ22" i="13"/>
  <c r="AZ24" i="13"/>
  <c r="BC24" i="13"/>
  <c r="BC21" i="13"/>
  <c r="AZ21" i="13"/>
  <c r="AZ19" i="13"/>
  <c r="BC19" i="13"/>
  <c r="AZ23" i="13"/>
  <c r="BC23" i="13"/>
  <c r="BC20" i="13"/>
  <c r="AZ20" i="13"/>
  <c r="AZ18" i="13"/>
  <c r="BC18" i="13"/>
  <c r="AZ15" i="13"/>
  <c r="BC15" i="13"/>
  <c r="AZ14" i="13"/>
  <c r="BC14" i="13"/>
  <c r="AZ17" i="13"/>
  <c r="BC17" i="13"/>
  <c r="AZ16" i="13"/>
  <c r="BC16" i="13"/>
  <c r="BB13" i="13"/>
  <c r="AY13" i="13"/>
  <c r="BH13" i="12"/>
  <c r="BH14" i="12"/>
  <c r="BH16" i="12"/>
  <c r="BH15" i="12"/>
  <c r="BG14" i="12"/>
  <c r="BG13" i="12"/>
  <c r="BG16" i="12"/>
  <c r="BG15" i="12"/>
  <c r="BD11" i="12"/>
  <c r="AV11" i="12"/>
  <c r="BF11" i="12" s="1"/>
  <c r="AV15" i="12"/>
  <c r="BF15" i="12" s="1"/>
  <c r="BD15" i="12"/>
  <c r="AQ13" i="12"/>
  <c r="BA13" i="12" s="1"/>
  <c r="AZ11" i="12"/>
  <c r="AQ12" i="12"/>
  <c r="BA12" i="12" s="1"/>
  <c r="AQ14" i="12"/>
  <c r="AZ16" i="12"/>
  <c r="AS15" i="12"/>
  <c r="BC15" i="12" s="1"/>
  <c r="AT12" i="12"/>
  <c r="BD12" i="12" s="1"/>
  <c r="AZ15" i="12"/>
  <c r="AT16" i="12"/>
  <c r="AQ11" i="12"/>
  <c r="BA11" i="12" s="1"/>
  <c r="AT14" i="12"/>
  <c r="AV12" i="12"/>
  <c r="BF12" i="12" s="1"/>
  <c r="AV13" i="12"/>
  <c r="BF13" i="12" s="1"/>
  <c r="BA16" i="12"/>
  <c r="AM11" i="17"/>
  <c r="AN11" i="17"/>
  <c r="AM13" i="17"/>
  <c r="AN13" i="17"/>
  <c r="AM14" i="17"/>
  <c r="AN14" i="17"/>
  <c r="AM12" i="17"/>
  <c r="AN12" i="17"/>
  <c r="AM11" i="16"/>
  <c r="AN11" i="16"/>
  <c r="AM12" i="16"/>
  <c r="AM13" i="16"/>
  <c r="AN13" i="16"/>
  <c r="AM14" i="16"/>
  <c r="AN14" i="16"/>
  <c r="AN12" i="16"/>
  <c r="AF12" i="12"/>
  <c r="AF13" i="12"/>
  <c r="AF14" i="12"/>
  <c r="AF11" i="12"/>
  <c r="BM18" i="13"/>
  <c r="AJ11" i="12"/>
  <c r="BP15" i="13"/>
  <c r="AG11" i="12"/>
  <c r="BI13" i="13"/>
  <c r="AI12" i="12"/>
  <c r="AL11" i="12"/>
  <c r="AJ12" i="12"/>
  <c r="BM24" i="13"/>
  <c r="BL13" i="13"/>
  <c r="BO13" i="13"/>
  <c r="BP23" i="13"/>
  <c r="BM16" i="13"/>
  <c r="AL12" i="12"/>
  <c r="BT13" i="13"/>
  <c r="BM20" i="13"/>
  <c r="BM23" i="13"/>
  <c r="AI11" i="12"/>
  <c r="BM14" i="13"/>
  <c r="BM21" i="13"/>
  <c r="M78" i="21"/>
  <c r="BJ13" i="13"/>
  <c r="BP18" i="13"/>
  <c r="BR13" i="13"/>
  <c r="BP20" i="13"/>
  <c r="BP22" i="13"/>
  <c r="AG12" i="12"/>
  <c r="M76" i="21"/>
  <c r="BP14" i="13"/>
  <c r="AK11" i="12"/>
  <c r="BM17" i="13"/>
  <c r="BP16" i="13"/>
  <c r="BM15" i="13"/>
  <c r="BP24" i="13"/>
  <c r="AH12" i="12"/>
  <c r="BP17" i="13"/>
  <c r="BP21" i="13"/>
  <c r="BU13" i="13"/>
  <c r="BM19" i="13"/>
  <c r="BP19" i="13"/>
  <c r="BV13" i="13"/>
  <c r="BS13" i="13"/>
  <c r="AK12" i="12"/>
  <c r="BM22" i="13"/>
  <c r="BA19" i="13" l="1"/>
  <c r="BA21" i="13"/>
  <c r="BD21" i="13"/>
  <c r="BA20" i="13"/>
  <c r="BD24" i="13"/>
  <c r="BD20" i="13"/>
  <c r="BA24" i="13"/>
  <c r="BD14" i="13"/>
  <c r="BD23" i="13"/>
  <c r="BA22" i="13"/>
  <c r="BA14" i="13"/>
  <c r="BA23" i="13"/>
  <c r="BD22" i="13"/>
  <c r="BD19" i="13"/>
  <c r="BA17" i="13"/>
  <c r="BD17" i="13"/>
  <c r="BD15" i="13"/>
  <c r="BA15" i="13"/>
  <c r="BD16" i="13"/>
  <c r="BD18" i="13"/>
  <c r="BA16" i="13"/>
  <c r="BA18" i="13"/>
  <c r="BC13" i="13"/>
  <c r="AZ13" i="13"/>
  <c r="AV14" i="12"/>
  <c r="BF14" i="12" s="1"/>
  <c r="BD14" i="12"/>
  <c r="AS11" i="12"/>
  <c r="BC11" i="12" s="1"/>
  <c r="AS12" i="12"/>
  <c r="BC12" i="12" s="1"/>
  <c r="BA14" i="12"/>
  <c r="AS14" i="12"/>
  <c r="BC14" i="12" s="1"/>
  <c r="BD16" i="12"/>
  <c r="AV16" i="12"/>
  <c r="BF16" i="12" s="1"/>
  <c r="AS13" i="12"/>
  <c r="BC13" i="12" s="1"/>
  <c r="BK11" i="12"/>
  <c r="BH12" i="12"/>
  <c r="BI12" i="12"/>
  <c r="BK12" i="12"/>
  <c r="BJ11" i="12"/>
  <c r="BG11" i="12"/>
  <c r="BH11" i="12"/>
  <c r="BG12" i="12"/>
  <c r="BJ12" i="12"/>
  <c r="BI11" i="12"/>
  <c r="BN17" i="13"/>
  <c r="BN14" i="13"/>
  <c r="BN21" i="13"/>
  <c r="BQ21" i="13"/>
  <c r="BQ19" i="13"/>
  <c r="BN16" i="13"/>
  <c r="BQ15" i="13"/>
  <c r="BM13" i="13"/>
  <c r="BN23" i="13"/>
  <c r="BQ18" i="13"/>
  <c r="BN20" i="13"/>
  <c r="BN18" i="13"/>
  <c r="BQ24" i="13"/>
  <c r="BN19" i="13"/>
  <c r="BN15" i="13"/>
  <c r="BQ20" i="13"/>
  <c r="BP13" i="13"/>
  <c r="BN24" i="13"/>
  <c r="BN22" i="13"/>
  <c r="BQ16" i="13"/>
  <c r="BQ22" i="13"/>
  <c r="BQ23" i="13"/>
  <c r="BD13" i="13" l="1"/>
  <c r="BA13" i="13"/>
  <c r="BQ14" i="13"/>
  <c r="BQ17" i="13"/>
  <c r="BN13" i="13"/>
  <c r="BQ13" i="13"/>
</calcChain>
</file>

<file path=xl/sharedStrings.xml><?xml version="1.0" encoding="utf-8"?>
<sst xmlns="http://schemas.openxmlformats.org/spreadsheetml/2006/main" count="2009" uniqueCount="231">
  <si>
    <t>Hours</t>
  </si>
  <si>
    <t>Expiry</t>
  </si>
  <si>
    <t>Strike</t>
  </si>
  <si>
    <t>Active</t>
  </si>
  <si>
    <t>Volat</t>
  </si>
  <si>
    <t>ExpriyRate</t>
  </si>
  <si>
    <t>Theta</t>
  </si>
  <si>
    <t>Rho</t>
  </si>
  <si>
    <t>Expired</t>
  </si>
  <si>
    <t>PriceBasis</t>
  </si>
  <si>
    <t>Instrument</t>
  </si>
  <si>
    <t>FromDate</t>
  </si>
  <si>
    <t>ToDate</t>
  </si>
  <si>
    <t>PosStatus</t>
  </si>
  <si>
    <t>QTY</t>
  </si>
  <si>
    <t>Bkprice</t>
  </si>
  <si>
    <t>Bkvalue</t>
  </si>
  <si>
    <t>Mktprice</t>
  </si>
  <si>
    <t>Prod</t>
  </si>
  <si>
    <t>ICE TTF</t>
  </si>
  <si>
    <t>ICE TTF-M06-12</t>
  </si>
  <si>
    <t>EURC Jun-12 27-MAY-12 45.00</t>
  </si>
  <si>
    <t>EURP Jun-12 27-MAY-12 45.00</t>
  </si>
  <si>
    <t>ICE TTF-M11-11</t>
  </si>
  <si>
    <t>EURC Nov-11 27-OCT-11 45.00</t>
  </si>
  <si>
    <t>EURP Nov-11 27-OCT-11 45.00</t>
  </si>
  <si>
    <t>delta</t>
  </si>
  <si>
    <t>Gamma</t>
  </si>
  <si>
    <t>Vega</t>
  </si>
  <si>
    <t>GrossValue</t>
  </si>
  <si>
    <t>MtmValue</t>
  </si>
  <si>
    <t>Trade_PL</t>
  </si>
  <si>
    <t>Real_PL</t>
  </si>
  <si>
    <t>Unreal_PL</t>
  </si>
  <si>
    <t>Net_PL</t>
  </si>
  <si>
    <t>CFstoDate</t>
  </si>
  <si>
    <t>FwdCFs</t>
  </si>
  <si>
    <t>NetCfs</t>
  </si>
  <si>
    <t>PriceCalc</t>
  </si>
  <si>
    <t>PutCall</t>
  </si>
  <si>
    <t>UndrelyingPrice</t>
  </si>
  <si>
    <t>CalcDelta</t>
  </si>
  <si>
    <t>CalcGamma</t>
  </si>
  <si>
    <t>CalcVega</t>
  </si>
  <si>
    <t>CalcTheta</t>
  </si>
  <si>
    <t>CalcRho</t>
  </si>
  <si>
    <t>CalcBookValue</t>
  </si>
  <si>
    <t>CalcGrossValue</t>
  </si>
  <si>
    <t>CalcMtM</t>
  </si>
  <si>
    <t>Calc TradePL</t>
  </si>
  <si>
    <t>CalcRealizedPL</t>
  </si>
  <si>
    <t>CalcUnrealizedPL</t>
  </si>
  <si>
    <t>CalcNetPL</t>
  </si>
  <si>
    <t>CalcCFToDate</t>
  </si>
  <si>
    <t>CalcFwdCF</t>
  </si>
  <si>
    <t>CalcNetCF</t>
  </si>
  <si>
    <t>ErrorBookValue</t>
  </si>
  <si>
    <t>ErrorGrossValue</t>
  </si>
  <si>
    <t>ErrorMtM</t>
  </si>
  <si>
    <t>ErrorRealizedPL</t>
  </si>
  <si>
    <t>ErrorUnrealizedPL</t>
  </si>
  <si>
    <t>ErrorNetPL</t>
  </si>
  <si>
    <t>ErrorCFToDate</t>
  </si>
  <si>
    <t>ErrorFwdCF</t>
  </si>
  <si>
    <t>ErrorNetCF</t>
  </si>
  <si>
    <t>ErrorBookPrice</t>
  </si>
  <si>
    <t>ErrorTradePL</t>
  </si>
  <si>
    <t>ErrorVolat</t>
  </si>
  <si>
    <t>ErrorDelta1</t>
  </si>
  <si>
    <t>ErrorGamma1</t>
  </si>
  <si>
    <t>ErrorVega1</t>
  </si>
  <si>
    <t>ErrorRho</t>
  </si>
  <si>
    <t>ErrorTheta</t>
  </si>
  <si>
    <t>ErrorExposure</t>
  </si>
  <si>
    <t>Query</t>
  </si>
  <si>
    <t xml:space="preserve">   
   DECLARE @workspace varchar(255)
   DECLARE @reportDate Date
   set @workspace='Gas-EU-ICE-TTF-EUR-Posmon-EUR-MtM'
   set @reportDate='2011-11-01'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</si>
  <si>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>Elviz other input</t>
  </si>
  <si>
    <t>Effective Rd</t>
  </si>
  <si>
    <t>Calculated</t>
  </si>
  <si>
    <t>Errors</t>
  </si>
  <si>
    <t>Elviz output</t>
  </si>
  <si>
    <t xml:space="preserve">   DECLARE @workspace varchar(255)
   DECLARE @reportDate Date
   set @workspace='Gas-EU-ICE-TTF-EUR-Posmon-EUR-Delta'
   set @reportDate='2011-10-27'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</si>
  <si>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>ICE TTF-M03-11</t>
  </si>
  <si>
    <t>EURC Mar-11 24-FEB-11 45.00</t>
  </si>
  <si>
    <t>EURP Mar-11 24-FEB-11 45.00</t>
  </si>
  <si>
    <t xml:space="preserve">   DECLARE @workspace varchar(255)
   DECLARE @reportDate Date
   set @workspace='Gas-EU-ICE-TTF-EUR-Posmon-EUR-Mtm'
   set @reportDate='2011-10-27'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</si>
  <si>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 xml:space="preserve">   DECLARE @workspace varchar(255)
   DECLARE @reportDate Date
   set @workspace='Gas-EU-ICE-TTF-EUR-Posmon-EUR-Mtm-Volsurf'
   set @reportDate='2011-10-27'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</si>
  <si>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>C</t>
  </si>
  <si>
    <t>CashFlowDate</t>
  </si>
  <si>
    <t>ContractType</t>
  </si>
  <si>
    <t>ValueType</t>
  </si>
  <si>
    <t>PortfolioId</t>
  </si>
  <si>
    <t>Currency</t>
  </si>
  <si>
    <t>CashFlowValue</t>
  </si>
  <si>
    <t>Resolution</t>
  </si>
  <si>
    <t>InstrumentType</t>
  </si>
  <si>
    <t>InstrumentName</t>
  </si>
  <si>
    <t>ExternalId</t>
  </si>
  <si>
    <t>PR</t>
  </si>
  <si>
    <t>NOK</t>
  </si>
  <si>
    <t>monthly</t>
  </si>
  <si>
    <t>European</t>
  </si>
  <si>
    <t>EURC Nov-11 27-OCT-11 45.00 - Premium</t>
  </si>
  <si>
    <t>Gas-European-EUR-0001</t>
  </si>
  <si>
    <t>Gas-European-EUR-0002</t>
  </si>
  <si>
    <t>Gas-European-EUR-0003</t>
  </si>
  <si>
    <t>EURP Nov-11 27-OCT-11 45.00 - Premium</t>
  </si>
  <si>
    <t>Gas-European-EUR-0004</t>
  </si>
  <si>
    <t>Gas-European-EUR-0005</t>
  </si>
  <si>
    <t>Gas-European-EUR-0006</t>
  </si>
  <si>
    <t>EURC Jun-12 27-MAY-12 45.00 - Premium</t>
  </si>
  <si>
    <t>Gas-European-EUR-0007</t>
  </si>
  <si>
    <t>Gas-European-EUR-0008</t>
  </si>
  <si>
    <t>Gas-European-EUR-0009</t>
  </si>
  <si>
    <t>EURP Jun-12 27-MAY-12 45.00 - Premium</t>
  </si>
  <si>
    <t>Gas-European-EUR-0010</t>
  </si>
  <si>
    <t>TR</t>
  </si>
  <si>
    <t>EURP Jun-12 27-MAY-12 45.00 - Settlement</t>
  </si>
  <si>
    <t>Gas-European-EUR-0011</t>
  </si>
  <si>
    <t>Gas-European-EUR-0012</t>
  </si>
  <si>
    <t>EURC Mar-11 24-FEB-11 45.00 - Premium</t>
  </si>
  <si>
    <t>Gas-European-EUR-0013</t>
  </si>
  <si>
    <t>Gas-European-EUR-0014</t>
  </si>
  <si>
    <t>Gas-European-EUR-0015</t>
  </si>
  <si>
    <t>EURP Mar-11 24-FEB-11 45.00 - Premium</t>
  </si>
  <si>
    <t>Gas-European-EUR-0016</t>
  </si>
  <si>
    <t>Gas-European-EUR-0017</t>
  </si>
  <si>
    <t>Gas-European-EUR-0018</t>
  </si>
  <si>
    <t>CashFlow Eur</t>
  </si>
  <si>
    <t>CashFlow NOK</t>
  </si>
  <si>
    <t>Xrate Eur-Nok 1/1/2010</t>
  </si>
  <si>
    <t>Forward price Jun-12</t>
  </si>
  <si>
    <t>Exchange rate</t>
  </si>
  <si>
    <t>Date</t>
  </si>
  <si>
    <t>Rate value</t>
  </si>
  <si>
    <t>Average Xrate Eur-Nok Jun-12</t>
  </si>
  <si>
    <t>Help calculation - Day EUR</t>
  </si>
  <si>
    <t>Help calculation - Day NOK</t>
  </si>
  <si>
    <t>NOK TOTAL</t>
  </si>
  <si>
    <t xml:space="preserve">   
  DECLARE @sqlCashFlowTable NVARCHAR(2048)
    DECLARE @cashFlowTableName NVARCHAR(50)
    DECLARE @monitorName NVARCHAR(255)
    DECLARE @workspaceName NVARCHAR(255)
    DECLARE @reportDate NVARCHAR(255)
    SET @workspaceName= 'Gas-EU-ICE-TTF-EUR-ActualCF-NOK-Bin'
    SET @monitorName= 'transmon-fixture'
    SET @reportDate='2011-10-27'
    SET @cashFlowTableName= (SELECT [TableName] FROM [VizCFMonSettings]
    WHERE [FormName]=@workspaceName
    AND [WorkspaceName]=@workspaceName
    AND [ReportDate]=@reportDate)
    DECLARE @cashFlowTable TABLE(
    [CF_TransId] INT
    ,[CF_Date] DATETIME
    ,[CF_ContractType]  INT
    ,[CF_ValueType] VARCHAR(2)
    ,[CF_PortfolioId] INT
    ,[CF_Currency] VARCHAR(3)
    ,[CF_Value] FLOAT
    ,[CF_Resolution] VARCHAR(30)
    ,[CF_Instrumenttype] VARCHAR(60)
    ,[CF_Instrumentname]VARCHAR(255)
    )
    SET @sqlCashFlowTable=N'(SELECT [CF_TransId]
    ,[CF_Date]
    ,[CF_ContractType]
    ,[CF_ValueType]
    ,[CF_PortfolioId]
    ,[CF_Currency]
    ,[CF_Value]
    ,[CF_Resolution]
    ,[CF_Instrumenttype]
    ,[CF_Instrumentname] FROM ['+@cashFlowTableName+'])'
    INSERT INTO @cashFlowTable ([CF_TransId]
    ,[CF_Date]
    ,[CF_ContractType]
    ,[CF_ValueType]
    ,[CF_PortfolioId]
    ,[CF_Currency]
    ,[CF_Value]
    ,[CF_Resolution]
    ,[CF_Instrumenttype]
    ,[CF_Instrumentname]) EXEC sp_executesql @sqlCashFlowTable
    DECLARE @finalCashFlowTable TABLE(
    [CF_Date] DATETIME
    ,[CF_ContractType]  INT
    ,[CF_ValueType] VARCHAR(2)
    ,[CF_PortfolioId] INT
    ,[CF_Currency] VARCHAR(3)
    ,[CF_Value] FLOAT
    ,[CF_Resolution] VARCHAR(30)
    ,[CF_Instrumenttype] VARCHAR(60)
    ,[CF_Instrumentname]VARCHAR(255)
    ,[ExternalId] VARCHAR(255) NOT NULL
    )
    INSERT INTO @finalCashFlowTable
    SELECT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,(
    SELECT ExternalId FROM [VizTransMonData] AS TransactionMonitor
    WHERE TransactionMonitor.ReportID=
    (
    SELECT [ReportID] FROM [VizTransMonReports]
    WHERE
    [Workspace]=@workspaceName
    AND
    [MonitorTitle]=@monitorName
    AND
    [ReportDate]=@reportDate
    )
    AND TransactionMonitor.Transid=c.CF_TransId
    ) as ExternalId
    FROM @cashFlowTable AS c
    SELECT
   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,ExternalId
    ------------------------------------------
    FROM @finalCashFlowTable f
    ORDER BY f.ExternalId, f.CF_Date,f.CF_ContractType,f.CF_ValueType,f.CF_PortfolioId,f.CF_Currency,f.CF_Resolution,f.CF_Instrumentname
</t>
  </si>
  <si>
    <t>HI</t>
  </si>
  <si>
    <t>Xrate Eur-Nok 27/10/2010</t>
  </si>
  <si>
    <t xml:space="preserve">   
  DECLARE @sqlCashFlowTable NVARCHAR(2048)
    DECLARE @cashFlowTableName NVARCHAR(50)
    DECLARE @monitorName NVARCHAR(255)
    DECLARE @workspaceName NVARCHAR(255)
    DECLARE @reportDate NVARCHAR(255)
    SET @workspaceName= 'Gas-EU-ICE-TTF-EUR-ActualPl-NOK-Bin'
    SET @monitorName= 'transmon-fixture'
    SET @reportDate='2011-10-27'
    SET @cashFlowTableName= (SELECT [TableName] FROM [VizCFMonSettings]
    WHERE [FormName]=@workspaceName
    AND [WorkspaceName]=@workspaceName
    AND [ReportDate]=@reportDate)
    DECLARE @cashFlowTable TABLE(
    [CF_TransId] INT
    ,[CF_Date] DATETIME
    ,[CF_ContractType]  INT
    ,[CF_ValueType] VARCHAR(2)
    ,[CF_PortfolioId] INT
    ,[CF_Currency] VARCHAR(3)
    ,[CF_Value] FLOAT
    ,[CF_Resolution] VARCHAR(30)
    ,[CF_Instrumenttype] VARCHAR(60)
    ,[CF_Instrumentname]VARCHAR(255)
    )
    SET @sqlCashFlowTable=N'(SELECT [CF_TransId]
    ,[CF_Date]
    ,[CF_ContractType]
    ,[CF_ValueType]
    ,[CF_PortfolioId]
    ,[CF_Currency]
    ,[CF_Value]
    ,[CF_Resolution]
    ,[CF_Instrumenttype]
    ,[CF_Instrumentname] FROM ['+@cashFlowTableName+'])'
    INSERT INTO @cashFlowTable ([CF_TransId]
    ,[CF_Date]
    ,[CF_ContractType]
    ,[CF_ValueType]
    ,[CF_PortfolioId]
    ,[CF_Currency]
    ,[CF_Value]
    ,[CF_Resolution]
    ,[CF_Instrumenttype]
    ,[CF_Instrumentname]) EXEC sp_executesql @sqlCashFlowTable
    DECLARE @finalCashFlowTable TABLE(
    [CF_Date] DATETIME
    ,[CF_ContractType]  INT
    ,[CF_ValueType] VARCHAR(2)
    ,[CF_PortfolioId] INT
    ,[CF_Currency] VARCHAR(3)
    ,[CF_Value] FLOAT
    ,[CF_Resolution] VARCHAR(30)
    ,[CF_Instrumenttype] VARCHAR(60)
    ,[CF_Instrumentname]VARCHAR(255)
    ,[ExternalId] VARCHAR(255) NOT NULL
    )
    INSERT INTO @finalCashFlowTable
    SELECT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,(
    SELECT ExternalId FROM [VizTransMonData] AS TransactionMonitor
    WHERE TransactionMonitor.ReportID=
    (
    SELECT [ReportID] FROM [VizTransMonReports]
    WHERE
    [Workspace]=@workspaceName
    AND
    [MonitorTitle]=@monitorName
    AND
    [ReportDate]=@reportDate
    )
    AND TransactionMonitor.Transid=c.CF_TransId
    ) as ExternalId
    FROM @cashFlowTable AS c
    SELECT
   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,ExternalId
    ------------------------------------------
    FROM @finalCashFlowTable f
    ORDER BY f.ExternalId, f.CF_Date,f.CF_ContractType,f.CF_ValueType,f.CF_PortfolioId,f.CF_Currency,f.CF_Resolution,f.CF_Instrumentname
</t>
  </si>
  <si>
    <t xml:space="preserve">   
  DECLARE @sqlCashFlowTable NVARCHAR(2048)
    DECLARE @cashFlowTableName NVARCHAR(50)
    DECLARE @monitorName NVARCHAR(255)
    DECLARE @workspaceName NVARCHAR(255)
    DECLARE @reportDate NVARCHAR(255)
    SET @workspaceName= 'Gas-EU-ICE-TTF-EUR-ActualPl-NOK-DeltaBin'
    SET @monitorName= 'transmon-fixture'
    SET @reportDate='2011-10-27'
    SET @cashFlowTableName= (SELECT [TableName] FROM [VizCFMonSettings]
    WHERE [FormName]=@workspaceName
    AND [WorkspaceName]=@workspaceName
    AND [ReportDate]=@reportDate)
    DECLARE @cashFlowTable TABLE(
    [CF_TransId] INT
    ,[CF_Date] DATETIME
    ,[CF_ContractType]  INT
    ,[CF_ValueType] VARCHAR(2)
    ,[CF_PortfolioId] INT
    ,[CF_Currency] VARCHAR(3)
    ,[CF_Value] FLOAT
    ,[CF_Resolution] VARCHAR(30)
    ,[CF_Instrumenttype] VARCHAR(60)
    ,[CF_Instrumentname]VARCHAR(255)
    )
    SET @sqlCashFlowTable=N'(SELECT [CF_TransId]
    ,[CF_Date]
    ,[CF_ContractType]
    ,[CF_ValueType]
    ,[CF_PortfolioId]
    ,[CF_Currency]
    ,[CF_Value]
    ,[CF_Resolution]
    ,[CF_Instrumenttype]
    ,[CF_Instrumentname] FROM ['+@cashFlowTableName+'])'
    INSERT INTO @cashFlowTable ([CF_TransId]
    ,[CF_Date]
    ,[CF_ContractType]
    ,[CF_ValueType]
    ,[CF_PortfolioId]
    ,[CF_Currency]
    ,[CF_Value]
    ,[CF_Resolution]
    ,[CF_Instrumenttype]
    ,[CF_Instrumentname]) EXEC sp_executesql @sqlCashFlowTable
    DECLARE @finalCashFlowTable TABLE(
    [CF_Date] DATETIME
    ,[CF_ContractType]  INT
    ,[CF_ValueType] VARCHAR(2)
    ,[CF_PortfolioId] INT
    ,[CF_Currency] VARCHAR(3)
    ,[CF_Value] FLOAT
    ,[CF_Resolution] VARCHAR(30)
    ,[CF_Instrumenttype] VARCHAR(60)
    ,[CF_Instrumentname]VARCHAR(255)
    ,[ExternalId] VARCHAR(255) NOT NULL
    )
    INSERT INTO @finalCashFlowTable
    SELECT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,(
    SELECT ExternalId FROM [VizTransMonData] AS TransactionMonitor
    WHERE TransactionMonitor.ReportID=
    (
    SELECT [ReportID] FROM [VizTransMonReports]
    WHERE
    [Workspace]=@workspaceName
    AND
    [MonitorTitle]=@monitorName
    AND
    [ReportDate]=@reportDate
    )
    AND TransactionMonitor.Transid=c.CF_TransId
    ) as ExternalId
    FROM @cashFlowTable AS c
    SELECT
   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,ExternalId
    ------------------------------------------
    FROM @finalCashFlowTable f
    ORDER BY f.ExternalId, f.CF_Date,f.CF_ContractType,f.CF_ValueType,f.CF_PortfolioId,f.CF_Currency,f.CF_Resolution,f.CF_Instrumentname
</t>
  </si>
  <si>
    <t xml:space="preserve">   
  DECLARE @sqlCashFlowTable NVARCHAR(2048)
    DECLARE @cashFlowTableName NVARCHAR(50)
    DECLARE @monitorName NVARCHAR(255)
    DECLARE @workspaceName NVARCHAR(255)
    DECLARE @reportDate NVARCHAR(255)
    SET @workspaceName= 'Gas-EU-ICE-TTF-EUR-VolMwh-EUR-Bin'
    SET @monitorName= 'transmon-fixture'
    SET @reportDate='2011-10-27'
    SET @cashFlowTableName= (SELECT [TableName] FROM [VizCFMonSettings]
    WHERE [FormName]=@workspaceName
    AND [WorkspaceName]=@workspaceName
    AND [ReportDate]=@reportDate)
    DECLARE @cashFlowTable TABLE(
    [CF_TransId] INT
    ,[CF_Date] DATETIME
    ,[CF_ContractType]  INT
    ,[CF_ValueType] VARCHAR(2)
    ,[CF_PortfolioId] INT
    ,[CF_Currency] VARCHAR(3)
    ,[CF_Value] FLOAT
    ,[CF_Resolution] VARCHAR(30)
    ,[CF_Instrumenttype] VARCHAR(60)
    ,[CF_Instrumentname]VARCHAR(255)
    )
    SET @sqlCashFlowTable=N'(SELECT [CF_TransId]
    ,[CF_Date]
    ,[CF_ContractType]
    ,[CF_ValueType]
    ,[CF_PortfolioId]
    ,[CF_Currency]
    ,[CF_Value]
    ,[CF_Resolution]
    ,[CF_Instrumenttype]
    ,[CF_Instrumentname] FROM ['+@cashFlowTableName+'])'
    INSERT INTO @cashFlowTable ([CF_TransId]
    ,[CF_Date]
    ,[CF_ContractType]
    ,[CF_ValueType]
    ,[CF_PortfolioId]
    ,[CF_Currency]
    ,[CF_Value]
    ,[CF_Resolution]
    ,[CF_Instrumenttype]
    ,[CF_Instrumentname]) EXEC sp_executesql @sqlCashFlowTable
    DECLARE @finalCashFlowTable TABLE(
    [CF_Date] DATETIME
    ,[CF_ContractType]  INT
    ,[CF_ValueType] VARCHAR(2)
    ,[CF_PortfolioId] INT
    ,[CF_Currency] VARCHAR(3)
    ,[CF_Value] FLOAT
    ,[CF_Resolution] VARCHAR(30)
    ,[CF_Instrumenttype] VARCHAR(60)
    ,[CF_Instrumentname]VARCHAR(255)
    ,[ExternalId] VARCHAR(255) NOT NULL
    )
    INSERT INTO @finalCashFlowTable
    SELECT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,(
    SELECT ExternalId FROM [VizTransMonData] AS TransactionMonitor
    WHERE TransactionMonitor.ReportID=
    (
    SELECT [ReportID] FROM [VizTransMonReports]
    WHERE
    [Workspace]=@workspaceName
    AND
    [MonitorTitle]=@monitorName
    AND
    [ReportDate]=@reportDate
    )
    AND TransactionMonitor.Transid=c.CF_TransId
    ) as ExternalId
    FROM @cashFlowTable AS c
    SELECT
   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,ExternalId
    ------------------------------------------
    FROM @finalCashFlowTable f
    ORDER BY f.ExternalId, f.CF_Date,f.CF_ContractType,f.CF_ValueType,f.CF_PortfolioId,f.CF_Currency,f.CF_Resolution,f.CF_Instrumentname
</t>
  </si>
  <si>
    <t>EUR</t>
  </si>
  <si>
    <t xml:space="preserve">   
  DECLARE @sqlCashFlowTable NVARCHAR(2048)
    DECLARE @cashFlowTableName NVARCHAR(50)
    DECLARE @monitorName NVARCHAR(255)
    DECLARE @workspaceName NVARCHAR(255)
    DECLARE @reportDate NVARCHAR(255)
    SET @workspaceName= 'Gas-EU-ICE-TTF-EUR-VolMwh-EUR-DeltaBin'
    SET @monitorName= 'transmon-fixture'
    SET @reportDate='2011-10-27'
    SET @cashFlowTableName= (SELECT [TableName] FROM [VizCFMonSettings]
    WHERE [FormName]=@workspaceName
    AND [WorkspaceName]=@workspaceName
    AND [ReportDate]=@reportDate)
    DECLARE @cashFlowTable TABLE(
    [CF_TransId] INT
    ,[CF_Date] DATETIME
    ,[CF_ContractType]  INT
    ,[CF_ValueType] VARCHAR(2)
    ,[CF_PortfolioId] INT
    ,[CF_Currency] VARCHAR(3)
    ,[CF_Value] FLOAT
    ,[CF_Resolution] VARCHAR(30)
    ,[CF_Instrumenttype] VARCHAR(60)
    ,[CF_Instrumentname]VARCHAR(255)
    )
    SET @sqlCashFlowTable=N'(SELECT [CF_TransId]
    ,[CF_Date]
    ,[CF_ContractType]
    ,[CF_ValueType]
    ,[CF_PortfolioId]
    ,[CF_Currency]
    ,[CF_Value]
    ,[CF_Resolution]
    ,[CF_Instrumenttype]
    ,[CF_Instrumentname] FROM ['+@cashFlowTableName+'])'
    INSERT INTO @cashFlowTable ([CF_TransId]
    ,[CF_Date]
    ,[CF_ContractType]
    ,[CF_ValueType]
    ,[CF_PortfolioId]
    ,[CF_Currency]
    ,[CF_Value]
    ,[CF_Resolution]
    ,[CF_Instrumenttype]
    ,[CF_Instrumentname]) EXEC sp_executesql @sqlCashFlowTable
    DECLARE @finalCashFlowTable TABLE(
    [CF_Date] DATETIME
    ,[CF_ContractType]  INT
    ,[CF_ValueType] VARCHAR(2)
    ,[CF_PortfolioId] INT
    ,[CF_Currency] VARCHAR(3)
    ,[CF_Value] FLOAT
    ,[CF_Resolution] VARCHAR(30)
    ,[CF_Instrumenttype] VARCHAR(60)
    ,[CF_Instrumentname]VARCHAR(255)
    ,[ExternalId] VARCHAR(255) NOT NULL
    )
    INSERT INTO @finalCashFlowTable
    SELECT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,(
    SELECT ExternalId FROM [VizTransMonData] AS TransactionMonitor
    WHERE TransactionMonitor.ReportID=
    (
    SELECT [ReportID] FROM [VizTransMonReports]
    WHERE
    [Workspace]=@workspaceName
    AND
    [MonitorTitle]=@monitorName
    AND
    [ReportDate]=@reportDate
    )
    AND TransactionMonitor.Transid=c.CF_TransId
    ) as ExternalId
    FROM @cashFlowTable AS c
    SELECT
   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,ExternalId
    ------------------------------------------
    FROM @finalCashFlowTable f
    ORDER BY f.ExternalId, f.CF_Date,f.CF_ContractType,f.CF_ValueType,f.CF_PortfolioId,f.CF_Currency,f.CF_Resolution,f.CF_Instrumentname
</t>
  </si>
  <si>
    <t>delta volume</t>
  </si>
  <si>
    <t>ICE TTF-M04-12</t>
  </si>
  <si>
    <t>EURC Apr-12 27-MAR-12 45.00</t>
  </si>
  <si>
    <t>ICE NBP</t>
  </si>
  <si>
    <t>ICE NBP-M04-12</t>
  </si>
  <si>
    <t>EURC Jun-12 25-MAY-12 45.00</t>
  </si>
  <si>
    <t>EURP Jun-12 25-MAY-12 45.00</t>
  </si>
  <si>
    <t>ICE NBP-M06-12</t>
  </si>
  <si>
    <t>ICE NBP-M03-11</t>
  </si>
  <si>
    <t>ICE TTF-M04-11</t>
  </si>
  <si>
    <t>EURP Apr-11 25-MAR-11 45.00</t>
  </si>
  <si>
    <t>ICE NBP-M04-11</t>
  </si>
  <si>
    <t>EURC Apr-11 25-MAR-11 45.00</t>
  </si>
  <si>
    <t>PriceError</t>
  </si>
  <si>
    <t>FX</t>
  </si>
  <si>
    <t>Total Q</t>
  </si>
  <si>
    <t>Scaling</t>
  </si>
  <si>
    <t>OrgBookPrice</t>
  </si>
  <si>
    <t>ErrorDelta</t>
  </si>
  <si>
    <t>ErrorVega</t>
  </si>
  <si>
    <t>CalcBookPrice</t>
  </si>
  <si>
    <t xml:space="preserve">  DECLARE @sqlCashFlowTable NVARCHAR(2048)
    DECLARE @cashFlowTableName NVARCHAR(50)
    DECLARE @monitorName NVARCHAR(255)
    DECLARE @workspaceName NVARCHAR(255)
    DECLARE @reportDate NVARCHAR(255)
    SET @workspaceName= 'Gas-EU-ICE-TTF-EUR-ActualCF-NOK-Mtm'
    SET @monitorName= 'transmon-fixture'
    SET @reportDate='2011-10-27'
    SET @cashFlowTableName= (SELECT [TableName] FROM [VizCFMonSettings]
    WHERE [FormName]=@workspaceName
    AND [WorkspaceName]=@workspaceName
    AND [ReportDate]=@reportDate)
    DECLARE @cashFlowTable TABLE(
    [CF_TransId] INT
    ,[CF_Date] DATETIME
    ,[CF_ContractType]  INT
    ,[CF_ValueType] VARCHAR(2)
    ,[CF_PortfolioId] INT
    ,[CF_Currency] VARCHAR(3)
    ,[CF_Value] FLOAT
    ,[CF_Resolution] VARCHAR(30)
    ,[CF_Instrumenttype] VARCHAR(60)
    ,[CF_Instrumentname]VARCHAR(255)
    )
    SET @sqlCashFlowTable=N'(SELECT [CF_TransId]
    ,[CF_Date]
    ,[CF_ContractType]
    ,[CF_ValueType]
    ,[CF_PortfolioId]
    ,[CF_Currency]
    ,[CF_Value]
    ,[CF_Resolution]
    ,[CF_Instrumenttype]
    ,[CF_Instrumentname] FROM ['+@cashFlowTableName+'])'
    INSERT INTO @cashFlowTable ([CF_TransId]
    ,[CF_Date]
    ,[CF_ContractType]
    ,[CF_ValueType]
    ,[CF_PortfolioId]
    ,[CF_Currency]
    ,[CF_Value]
    ,[CF_Resolution]
    ,[CF_Instrumenttype]
    ,[CF_Instrumentname]) EXEC sp_executesql @sqlCashFlowTable
    DECLARE @finalCashFlowTable TABLE(
    [CF_Date] DATETIME
    ,[CF_ContractType]  INT
    ,[CF_ValueType] VARCHAR(2)
    ,[CF_PortfolioId] INT
    ,[CF_Currency] VARCHAR(3)
    ,[CF_Value] FLOAT
    ,[CF_Resolution] VARCHAR(30)
    ,[CF_Instrumenttype] VARCHAR(60)
    ,[CF_Instrumentname]VARCHAR(255)
    ,[ExternalId] VARCHAR(255) NOT NULL
    )
    INSERT INTO @finalCashFlowTable
    SELECT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,(
    SELECT ExternalId FROM [VizTransMonData] AS TransactionMonitor
    WHERE TransactionMonitor.ReportID=
    (
    SELECT [ReportID] FROM [VizTransMonReports]
    WHERE
    [Workspace]=@workspaceName
    AND
    [MonitorTitle]=@monitorName
    AND
    [ReportDate]=@reportDate
    )
    AND TransactionMonitor.Transid=c.CF_TransId
    ) as ExternalId
    FROM @cashFlowTable AS c
    SELECT
   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,ExternalId
    ------------------------------------------
    FROM @finalCashFlowTable f
    ORDER BY f.ExternalId, f.CF_Date,f.CF_ContractType,f.CF_ValueType,f.CF_PortfolioId,f.CF_Currency,f.CF_Resolution,f.CF_Instrumentname
</t>
  </si>
  <si>
    <t>EURC Jun-12 25-MAY-12 45.00 - Premium</t>
  </si>
  <si>
    <t>EURC Jun-12 25-MAY-12 45.00 - Settlement</t>
  </si>
  <si>
    <t>EURP Jun-12 25-MAY-12 45.00 - Premium</t>
  </si>
  <si>
    <t>EURP Jun-12 25-MAY-12 45.00 - Settlement</t>
  </si>
  <si>
    <t>Gas-European-EUR-0019</t>
  </si>
  <si>
    <t>Gas-European-EUR-0020</t>
  </si>
  <si>
    <t>EURP Apr-11 25-MAR-11 45.00 - Premium</t>
  </si>
  <si>
    <t>Gas-European-EUR-0021</t>
  </si>
  <si>
    <t>Gas-European-EUR-0022</t>
  </si>
  <si>
    <t>EURC Apr-12 27-MAR-12 45.00 - Premium</t>
  </si>
  <si>
    <t>Gas-European-EUR-0023</t>
  </si>
  <si>
    <t>EURC Apr-12 27-MAR-12 45.00 - Settlement</t>
  </si>
  <si>
    <t>Gas-European-EUR-0024</t>
  </si>
  <si>
    <t>Gas-European-EUR-0025</t>
  </si>
  <si>
    <t>Gas-European-EUR-0026</t>
  </si>
  <si>
    <t>EURC Apr-11 25-MAR-11 45.00 - Premium</t>
  </si>
  <si>
    <t>Gas-European-EUR-0027</t>
  </si>
  <si>
    <t>Gas-European-EUR-0028</t>
  </si>
  <si>
    <t>InstrumentId</t>
  </si>
  <si>
    <t>GBP</t>
  </si>
  <si>
    <t>Volume</t>
  </si>
  <si>
    <t>Price</t>
  </si>
  <si>
    <t>CalcPrice</t>
  </si>
  <si>
    <t>ICE TTF-EURC Nov-11 27-OCT-11 45.00</t>
  </si>
  <si>
    <t>ICE TTF-EURP Nov-11 27-OCT-11 45.00</t>
  </si>
  <si>
    <t>ICE TTF-EURC Jun-12 25-MAY-12 45.00</t>
  </si>
  <si>
    <t>ICE TTF-EURP Jun-12 25-MAY-12 45.00</t>
  </si>
  <si>
    <t>ICE TTF-EURC Mar-11 24-FEB-11 45.00</t>
  </si>
  <si>
    <t>ICE TTF-EURP Mar-11 24-FEB-11 45.00</t>
  </si>
  <si>
    <t>ICE NBP-EURP Jun-12 25-MAY-12 45.00</t>
  </si>
  <si>
    <t>ICE NBP-EURP Mar-11 24-FEB-11 45.00</t>
  </si>
  <si>
    <t>ICE TTF-EURP Apr-11 25-MAR-11 45.00</t>
  </si>
  <si>
    <t>ICE TTF-EURC Apr-12 27-MAR-12 45.00</t>
  </si>
  <si>
    <t>ICE NBP-EURC Apr-12 27-MAR-12 45.00</t>
  </si>
  <si>
    <t>ICE NBP-EURC Apr-11 25-MAR-11 45.00</t>
  </si>
  <si>
    <t>CalcPremium</t>
  </si>
  <si>
    <t>Scalar</t>
  </si>
  <si>
    <t>PremiumFX</t>
  </si>
  <si>
    <t>SettlementFX</t>
  </si>
  <si>
    <t>CF Calc</t>
  </si>
  <si>
    <t>Error</t>
  </si>
  <si>
    <t>TrandQuery</t>
  </si>
  <si>
    <t xml:space="preserve">  DECLARE @workspace VARCHAR(255)
  DECLARE @monitor VARCHAR(255)
  DECLARE @reportDate DATE
    SET @workspace= 'Gas-EU-ICE-TTF-EUR-ActualCF-NOK-Mtm'
    SET @monitor= 'transmon-fixture'
    SET @reportDate='2011-10-27'
  SELECT 
  t.ExternalId,
  t.PriceBasis+'-'+t.Instrument as InstrumentId,
  t.MWh as Volume
  ,t.Price
  ,t.Currency
  --,t.Date
  FROM [VizTransMonData] t
  WHERE ReportID=
     (
      SELECT [ReportID] FROM [VizTransMonReports]
      WHERE
      [Workspace]=@workspace
      AND
      [MonitorTitle]=@monitor
      AND
      [ReportDate]=@reportDate
     )
  ORDER BY t.[ExternalId]</t>
  </si>
  <si>
    <t>FX Forw</t>
  </si>
  <si>
    <t xml:space="preserve">   DECLARE @workspace varchar(255)
   DECLARE @reportDate Date
   set @workspace='Gas-EU-ICE-TTF-EUR-Posmon-EUR-Mtm-volsurf-intraday'
   set @reportDate='2011-10-27'
   SELECT 
      [PriceBasis]
    ,pricebasis+'-'+Period as Prod
      ,[Instrument]
      ,[FromDate]
      ,[ToDate]
   ,Expiry
      ,Strike
      ,[PosStatus]
      ,[QTY]
      ,[Hours]
       ,[Bkprice]
      ,[Bkvalue]
      ,[Mktprice]
      ,delta
      ,Gamma
      ,Vega
      ,Theta
      ,Rho
      ,Volat
      ,GrossValue
      ,[MtmValue]
      ,[Trade_PL]
      ,[Real_PL]
      ,[Unreal_PL]
      ,[Net_PL]
      ,[CFstoDate]
      ,[FwdCFs]
      ,[NetCfs]
      --,[Expiry]
      --,[Strike]
      --,[Gamma]
      --,[Theta]
      --,[Vega]
      --,[Rho]
      --,[Delta]
      --,[Uprice]
      --,[Volat]
     FROM [VizPosMonData]
     WHERE ReportID=(
        SELECT [ReportID]
        FROM [VizPosMonReports]
        WHERE [ReportDate]=@reportDate
        AND [Workspace]=@workspace
        AND [MonitorTitle]=@workspace
         )
</t>
  </si>
  <si>
    <t>PriceOrgCurrency</t>
  </si>
  <si>
    <t xml:space="preserve">  DECLARE @sqlCashFlowTable NVARCHAR(2048)
    DECLARE @cashFlowTableName NVARCHAR(50)
    DECLARE @monitorName NVARCHAR(255)
    DECLARE @workspaceName NVARCHAR(255)
    DECLARE @reportDate NVARCHAR(255)
    SET @workspaceName= 'Gas-EU-ICE-TTF-EUR-actualpl-eur-delta-volsurf'
    SET @monitorName= 'transmon-fixture'
    SET @reportDate='2011-10-27'
    SET @cashFlowTableName= (SELECT [TableName] FROM [VizCFMonSettings]
    WHERE [FormName]=@workspaceName
    AND [WorkspaceName]=@workspaceName
    AND [ReportDate]=@reportDate)
    DECLARE @cashFlowTable TABLE(
    [CF_TransId] INT
    ,[CF_Date] DATETIME
    ,[CF_ContractType]  INT
    ,[CF_ValueType] VARCHAR(2)
    ,[CF_PortfolioId] INT
    ,[CF_Currency] VARCHAR(3)
    ,[CF_Value] FLOAT
    ,[CF_Resolution] VARCHAR(30)
    ,[CF_Instrumenttype] VARCHAR(60)
    ,[CF_Instrumentname]VARCHAR(255)
    )
    SET @sqlCashFlowTable=N'(SELECT [CF_TransId]
    ,[CF_Date]
    ,[CF_ContractType]
    ,[CF_ValueType]
    ,[CF_PortfolioId]
    ,[CF_Currency]
    ,[CF_Value]
    ,[CF_Resolution]
    ,[CF_Instrumenttype]
    ,[CF_Instrumentname] FROM ['+@cashFlowTableName+'])'
    INSERT INTO @cashFlowTable ([CF_TransId]
    ,[CF_Date]
    ,[CF_ContractType]
    ,[CF_ValueType]
    ,[CF_PortfolioId]
    ,[CF_Currency]
    ,[CF_Value]
    ,[CF_Resolution]
    ,[CF_Instrumenttype]
    ,[CF_Instrumentname]) EXEC sp_executesql @sqlCashFlowTable
    DECLARE @finalCashFlowTable TABLE(
    [CF_Date] DATETIME
    ,[CF_ContractType]  INT
    ,[CF_ValueType] VARCHAR(2)
    ,[CF_PortfolioId] INT
    ,[CF_Currency] VARCHAR(3)
    ,[CF_Value] FLOAT
    ,[CF_Resolution] VARCHAR(30)
    ,[CF_Instrumenttype] VARCHAR(60)
    ,[CF_Instrumentname]VARCHAR(255)
    ,[ExternalId] VARCHAR(255) NOT NULL
    )
    INSERT INTO @finalCashFlowTable
    SELECT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,(
    SELECT ExternalId FROM [VizTransMonData] AS TransactionMonitor
    WHERE TransactionMonitor.ReportID=
    (
    SELECT [ReportID] FROM [VizTransMonReports]
    WHERE
    [Workspace]=@workspaceName
    AND
    [MonitorTitle]=@monitorName
    AND
    [ReportDate]=@reportDate
    )
    AND TransactionMonitor.Transid=c.CF_TransId
    ) as ExternalId
    FROM @cashFlowTable AS c
    SELECT
    [CF_Date] as CashFlowDate
    ,[CF_ContractType] AS ContractType
    ,[CF_ValueType] AS ValueType
    ,[CF_PortfolioId] As PortfolioId
    ,[CF_Currency] as Currency
    ,[CF_Value] as CashFlowValue
    ,[CF_Resolution] AS Resolution
    ,[CF_Instrumenttype] as InstrumentType
    ,[CF_Instrumentname] as InstrumentName
    ,ExternalId
    ------------------------------------------
    FROM @finalCashFlowTable f
    ORDER BY f.ExternalId, f.CF_Date,f.CF_ContractType,f.CF_ValueType,f.CF_PortfolioId,f.CF_Currency,f.CF_Resolution,f.CF_Instrumentname
</t>
  </si>
  <si>
    <t>Uprice</t>
  </si>
  <si>
    <t>Underlying price</t>
  </si>
  <si>
    <t>CalcExposure</t>
  </si>
  <si>
    <t>ImpVol</t>
  </si>
  <si>
    <t>VolatilityError</t>
  </si>
  <si>
    <t>PriceCalImpVol</t>
  </si>
  <si>
    <t>PriceCalcElvizVOl</t>
  </si>
  <si>
    <t>Greeks on a timeline</t>
  </si>
  <si>
    <t>Delta</t>
  </si>
  <si>
    <t>TTF</t>
  </si>
  <si>
    <t>28.10.11-01.11.11</t>
  </si>
  <si>
    <t>NBP</t>
  </si>
  <si>
    <t>th to MWh</t>
  </si>
  <si>
    <t>GBP to Eur</t>
  </si>
  <si>
    <t>Greeks on a timeline verification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</si>
</sst>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-* #,##0.00_-;\-* #,##0.00_-;_-* &quot;-&quot;??_-;_-@_-"/>
    <numFmt numFmtId="164" formatCode="_-* #,##0_-;\-* #,##0_-;_-* &quot;-&quot;??_-;_-@_-"/>
    <numFmt numFmtId="165" formatCode="#,##0_ ;\-#,##0\ "/>
    <numFmt numFmtId="166" formatCode="0.000000000"/>
    <numFmt numFmtId="167" formatCode="0.0000000"/>
    <numFmt numFmtId="168" formatCode="0.0%"/>
    <numFmt numFmtId="169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7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6" borderId="0" applyNumberFormat="0" applyBorder="0" applyAlignment="0" applyProtection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8" borderId="0" applyNumberFormat="0" applyBorder="0" applyAlignment="0" applyProtection="0"/>
    <xf numFmtId="0" fontId="10" fillId="9" borderId="0" applyNumberFormat="0" applyBorder="0" applyAlignment="0" applyProtection="0"/>
    <xf numFmtId="0" fontId="11" fillId="10" borderId="4" applyNumberFormat="0" applyAlignment="0" applyProtection="0"/>
    <xf numFmtId="0" fontId="12" fillId="11" borderId="5" applyNumberFormat="0" applyAlignment="0" applyProtection="0"/>
    <xf numFmtId="0" fontId="13" fillId="11" borderId="4" applyNumberFormat="0" applyAlignment="0" applyProtection="0"/>
    <xf numFmtId="0" fontId="14" fillId="0" borderId="6" applyNumberFormat="0" applyFill="0" applyAlignment="0" applyProtection="0"/>
    <xf numFmtId="0" fontId="15" fillId="12" borderId="7" applyNumberFormat="0" applyAlignment="0" applyProtection="0"/>
    <xf numFmtId="0" fontId="16" fillId="0" borderId="0" applyNumberFormat="0" applyFill="0" applyBorder="0" applyAlignment="0" applyProtection="0"/>
    <xf numFmtId="0" fontId="2" fillId="13" borderId="8" applyNumberFormat="0" applyFont="0" applyAlignment="0" applyProtection="0"/>
    <xf numFmtId="0" fontId="17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18" fillId="37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99">
    <xf numFmtId="0" fontId="0" fillId="0" borderId="0" xfId="0"/>
    <xf numFmtId="11" fontId="0" fillId="0" borderId="0" xfId="0" applyNumberFormat="1"/>
    <xf numFmtId="9" fontId="0" fillId="0" borderId="0" xfId="0" applyNumberFormat="1"/>
    <xf numFmtId="0" fontId="0" fillId="3" borderId="0" xfId="0" applyNumberFormat="1" applyFill="1"/>
    <xf numFmtId="0" fontId="0" fillId="3" borderId="0" xfId="0" applyFill="1"/>
    <xf numFmtId="0" fontId="0" fillId="4" borderId="0" xfId="0" applyNumberFormat="1" applyFill="1"/>
    <xf numFmtId="0" fontId="0" fillId="4" borderId="0" xfId="0" applyFill="1"/>
    <xf numFmtId="0" fontId="0" fillId="0" borderId="0" xfId="0"/>
    <xf numFmtId="14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/>
    <xf numFmtId="164" fontId="0" fillId="0" borderId="0" xfId="1" applyNumberFormat="1" applyFont="1"/>
    <xf numFmtId="0" fontId="0" fillId="0" borderId="0" xfId="1" applyNumberFormat="1" applyFont="1"/>
    <xf numFmtId="164" fontId="0" fillId="0" borderId="0" xfId="0" applyNumberFormat="1"/>
    <xf numFmtId="0" fontId="0" fillId="0" borderId="0" xfId="0"/>
    <xf numFmtId="0" fontId="0" fillId="0" borderId="0" xfId="0"/>
    <xf numFmtId="165" fontId="0" fillId="0" borderId="0" xfId="1" applyNumberFormat="1" applyFont="1"/>
    <xf numFmtId="9" fontId="0" fillId="0" borderId="0" xfId="1" applyNumberFormat="1" applyFont="1"/>
    <xf numFmtId="0" fontId="0" fillId="0" borderId="0" xfId="0"/>
    <xf numFmtId="165" fontId="0" fillId="0" borderId="0" xfId="0" applyNumberFormat="1"/>
    <xf numFmtId="0" fontId="0" fillId="2" borderId="0" xfId="0" applyNumberFormat="1" applyFill="1"/>
    <xf numFmtId="0" fontId="0" fillId="0" borderId="0" xfId="0"/>
    <xf numFmtId="4" fontId="0" fillId="0" borderId="0" xfId="0" applyNumberFormat="1"/>
    <xf numFmtId="0" fontId="0" fillId="0" borderId="0" xfId="0"/>
    <xf numFmtId="0" fontId="0" fillId="0" borderId="0" xfId="0"/>
    <xf numFmtId="14" fontId="0" fillId="0" borderId="0" xfId="0" applyNumberFormat="1"/>
    <xf numFmtId="0" fontId="0" fillId="0" borderId="0" xfId="0"/>
    <xf numFmtId="0" fontId="0" fillId="2" borderId="0" xfId="0" applyFill="1"/>
    <xf numFmtId="0" fontId="0" fillId="0" borderId="0" xfId="0"/>
    <xf numFmtId="0" fontId="0" fillId="2" borderId="0" xfId="0" applyNumberFormat="1" applyFont="1" applyFill="1"/>
    <xf numFmtId="47" fontId="0" fillId="2" borderId="0" xfId="0" applyNumberFormat="1" applyFont="1" applyFill="1"/>
    <xf numFmtId="0" fontId="2" fillId="2" borderId="0" xfId="1" applyNumberFormat="1" applyFont="1" applyFill="1"/>
    <xf numFmtId="11" fontId="0" fillId="2" borderId="0" xfId="0" applyNumberFormat="1" applyFont="1" applyFill="1"/>
    <xf numFmtId="49" fontId="1" fillId="5" borderId="0" xfId="0" applyNumberFormat="1" applyFont="1" applyFill="1"/>
    <xf numFmtId="0" fontId="0" fillId="5" borderId="0" xfId="0" applyFill="1"/>
    <xf numFmtId="0" fontId="0" fillId="3" borderId="0" xfId="0" applyNumberFormat="1" applyFont="1" applyFill="1"/>
    <xf numFmtId="0" fontId="0" fillId="5" borderId="0" xfId="0" applyNumberFormat="1" applyFont="1" applyFill="1"/>
    <xf numFmtId="0" fontId="0" fillId="5" borderId="0" xfId="0" applyNumberFormat="1" applyFill="1"/>
    <xf numFmtId="47" fontId="2" fillId="2" borderId="0" xfId="1" applyNumberFormat="1" applyFont="1" applyFill="1"/>
    <xf numFmtId="0" fontId="1" fillId="3" borderId="0" xfId="0" applyFont="1" applyFill="1"/>
    <xf numFmtId="0" fontId="1" fillId="4" borderId="0" xfId="0" applyFont="1" applyFill="1"/>
    <xf numFmtId="0" fontId="0" fillId="0" borderId="0" xfId="0" applyAlignment="1">
      <alignment wrapText="1"/>
    </xf>
    <xf numFmtId="11" fontId="0" fillId="3" borderId="0" xfId="0" applyNumberFormat="1" applyFill="1"/>
    <xf numFmtId="166" fontId="0" fillId="3" borderId="0" xfId="0" applyNumberFormat="1" applyFill="1"/>
    <xf numFmtId="0" fontId="3" fillId="6" borderId="0" xfId="4" applyNumberFormat="1"/>
    <xf numFmtId="11" fontId="3" fillId="6" borderId="0" xfId="4" applyNumberFormat="1"/>
    <xf numFmtId="0" fontId="3" fillId="6" borderId="0" xfId="4"/>
    <xf numFmtId="164" fontId="3" fillId="6" borderId="0" xfId="4" applyNumberFormat="1"/>
    <xf numFmtId="9" fontId="3" fillId="6" borderId="0" xfId="4" applyNumberFormat="1"/>
    <xf numFmtId="165" fontId="3" fillId="6" borderId="0" xfId="4" applyNumberFormat="1"/>
    <xf numFmtId="4" fontId="3" fillId="6" borderId="0" xfId="4" applyNumberFormat="1"/>
    <xf numFmtId="11" fontId="0" fillId="4" borderId="0" xfId="0" applyNumberFormat="1" applyFill="1"/>
    <xf numFmtId="17" fontId="0" fillId="0" borderId="0" xfId="0" applyNumberFormat="1"/>
    <xf numFmtId="14" fontId="3" fillId="6" borderId="0" xfId="4" applyNumberFormat="1"/>
    <xf numFmtId="47" fontId="0" fillId="2" borderId="0" xfId="0" applyNumberFormat="1" applyFill="1"/>
    <xf numFmtId="14" fontId="0" fillId="2" borderId="0" xfId="0" applyNumberFormat="1" applyFill="1"/>
    <xf numFmtId="0" fontId="0" fillId="7" borderId="0" xfId="0" applyFill="1"/>
    <xf numFmtId="14" fontId="0" fillId="7" borderId="0" xfId="0" applyNumberFormat="1" applyFill="1"/>
    <xf numFmtId="0" fontId="4" fillId="2" borderId="0" xfId="4" applyNumberFormat="1" applyFont="1" applyFill="1"/>
    <xf numFmtId="47" fontId="4" fillId="2" borderId="0" xfId="4" applyNumberFormat="1" applyFont="1" applyFill="1"/>
    <xf numFmtId="11" fontId="4" fillId="2" borderId="0" xfId="4" applyNumberFormat="1" applyFont="1" applyFill="1"/>
    <xf numFmtId="0" fontId="4" fillId="2" borderId="0" xfId="4" applyFont="1" applyFill="1"/>
    <xf numFmtId="164" fontId="4" fillId="2" borderId="0" xfId="4" applyNumberFormat="1" applyFont="1" applyFill="1"/>
    <xf numFmtId="0" fontId="4" fillId="2" borderId="0" xfId="0" applyFont="1" applyFill="1"/>
    <xf numFmtId="47" fontId="4" fillId="2" borderId="0" xfId="0" applyNumberFormat="1" applyFont="1" applyFill="1"/>
    <xf numFmtId="0" fontId="0" fillId="0" borderId="0" xfId="0" applyFill="1"/>
    <xf numFmtId="2" fontId="0" fillId="3" borderId="0" xfId="0" applyNumberFormat="1" applyFill="1"/>
    <xf numFmtId="0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4" fontId="0" fillId="3" borderId="0" xfId="1" applyNumberFormat="1" applyFont="1" applyFill="1"/>
    <xf numFmtId="4" fontId="0" fillId="5" borderId="0" xfId="0" applyNumberFormat="1" applyFill="1"/>
    <xf numFmtId="0" fontId="0" fillId="0" borderId="0" xfId="0" applyNumberFormat="1"/>
    <xf numFmtId="0" fontId="0" fillId="0" borderId="0" xfId="0"/>
    <xf numFmtId="0" fontId="0" fillId="0" borderId="0" xfId="0"/>
    <xf numFmtId="0" fontId="0" fillId="0" borderId="0" xfId="0" applyNumberFormat="1"/>
    <xf numFmtId="0" fontId="0" fillId="0" borderId="0" xfId="0" applyNumberFormat="1"/>
    <xf numFmtId="0" fontId="0" fillId="0" borderId="0" xfId="0" applyNumberFormat="1"/>
    <xf numFmtId="0" fontId="0" fillId="0" borderId="0" xfId="0"/>
    <xf numFmtId="0" fontId="0" fillId="0" borderId="0" xfId="0"/>
    <xf numFmtId="14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4" fontId="0" fillId="0" borderId="0" xfId="0" applyNumberFormat="1"/>
    <xf numFmtId="43" fontId="0" fillId="3" borderId="0" xfId="1" applyFont="1" applyFill="1"/>
    <xf numFmtId="0" fontId="0" fillId="0" borderId="0" xfId="0"/>
    <xf numFmtId="167" fontId="0" fillId="3" borderId="0" xfId="0" applyNumberFormat="1" applyFill="1"/>
    <xf numFmtId="10" fontId="1" fillId="4" borderId="0" xfId="46" applyNumberFormat="1" applyFont="1" applyFill="1"/>
    <xf numFmtId="168" fontId="0" fillId="3" borderId="0" xfId="46" applyNumberFormat="1" applyFont="1" applyFill="1"/>
    <xf numFmtId="169" fontId="0" fillId="3" borderId="0" xfId="0" applyNumberFormat="1" applyFill="1"/>
    <xf numFmtId="0" fontId="9" fillId="8" borderId="0" xfId="10"/>
    <xf numFmtId="0" fontId="9" fillId="8" borderId="0" xfId="10" applyNumberFormat="1"/>
    <xf numFmtId="17" fontId="9" fillId="8" borderId="0" xfId="10" applyNumberFormat="1"/>
    <xf numFmtId="2" fontId="9" fillId="8" borderId="0" xfId="10" applyNumberFormat="1"/>
  </cellXfs>
  <cellStyles count="47">
    <cellStyle name="20 % - uthevingsfarge 1" xfId="22" builtinId="30" customBuiltin="1"/>
    <cellStyle name="20 % - uthevingsfarge 2" xfId="26" builtinId="34" customBuiltin="1"/>
    <cellStyle name="20 % - uthevingsfarge 3" xfId="30" builtinId="38" customBuiltin="1"/>
    <cellStyle name="20 % - uthevingsfarge 4" xfId="34" builtinId="42" customBuiltin="1"/>
    <cellStyle name="20 % - uthevingsfarge 5" xfId="38" builtinId="46" customBuiltin="1"/>
    <cellStyle name="20 % - uthevingsfarge 6" xfId="42" builtinId="50" customBuiltin="1"/>
    <cellStyle name="40 % - uthevingsfarge 1" xfId="23" builtinId="31" customBuiltin="1"/>
    <cellStyle name="40 % - uthevingsfarge 2" xfId="27" builtinId="35" customBuiltin="1"/>
    <cellStyle name="40 % - uthevingsfarge 3" xfId="31" builtinId="39" customBuiltin="1"/>
    <cellStyle name="40 % - uthevingsfarge 4" xfId="35" builtinId="43" customBuiltin="1"/>
    <cellStyle name="40 % - uthevingsfarge 5" xfId="39" builtinId="47" customBuiltin="1"/>
    <cellStyle name="40 % - uthevingsfarge 6" xfId="43" builtinId="51" customBuiltin="1"/>
    <cellStyle name="60 % - uthevingsfarge 1" xfId="24" builtinId="32" customBuiltin="1"/>
    <cellStyle name="60 % - uthevingsfarge 2" xfId="28" builtinId="36" customBuiltin="1"/>
    <cellStyle name="60 % - uthevingsfarge 3" xfId="32" builtinId="40" customBuiltin="1"/>
    <cellStyle name="60 % - uthevingsfarge 4" xfId="36" builtinId="44" customBuiltin="1"/>
    <cellStyle name="60 % - uthevingsfarge 5" xfId="40" builtinId="48" customBuiltin="1"/>
    <cellStyle name="60 % - uthevingsfarge 6" xfId="44" builtinId="52" customBuiltin="1"/>
    <cellStyle name="Beregning" xfId="14" builtinId="22" customBuiltin="1"/>
    <cellStyle name="Comma 2" xfId="2"/>
    <cellStyle name="Comma 3" xfId="3"/>
    <cellStyle name="Comma 4" xfId="45"/>
    <cellStyle name="Dårlig" xfId="11" builtinId="27" customBuiltin="1"/>
    <cellStyle name="Forklarende tekst" xfId="19" builtinId="53" customBuiltin="1"/>
    <cellStyle name="God" xfId="10" builtinId="26" customBuiltin="1"/>
    <cellStyle name="Inndata" xfId="12" builtinId="20" customBuiltin="1"/>
    <cellStyle name="Koblet celle" xfId="15" builtinId="24" customBuiltin="1"/>
    <cellStyle name="Komma" xfId="1" builtinId="3"/>
    <cellStyle name="Kontrollcelle" xfId="16" builtinId="23" customBuiltin="1"/>
    <cellStyle name="Merknad" xfId="18" builtinId="10" customBuiltin="1"/>
    <cellStyle name="Normal" xfId="0" builtinId="0"/>
    <cellStyle name="Nøytral" xfId="4" builtinId="28" customBuiltin="1"/>
    <cellStyle name="Overskrift 1" xfId="6" builtinId="16" customBuiltin="1"/>
    <cellStyle name="Overskrift 2" xfId="7" builtinId="17" customBuiltin="1"/>
    <cellStyle name="Overskrift 3" xfId="8" builtinId="18" customBuiltin="1"/>
    <cellStyle name="Overskrift 4" xfId="9" builtinId="19" customBuiltin="1"/>
    <cellStyle name="Prosent" xfId="46" builtinId="5"/>
    <cellStyle name="Tittel" xfId="5" builtinId="15" customBuiltin="1"/>
    <cellStyle name="Totalt" xfId="20" builtinId="25" customBuiltin="1"/>
    <cellStyle name="Utdata" xfId="13" builtinId="21" customBuiltin="1"/>
    <cellStyle name="Uthevingsfarge1" xfId="21" builtinId="29" customBuiltin="1"/>
    <cellStyle name="Uthevingsfarge2" xfId="25" builtinId="33" customBuiltin="1"/>
    <cellStyle name="Uthevingsfarge3" xfId="29" builtinId="37" customBuiltin="1"/>
    <cellStyle name="Uthevingsfarge4" xfId="33" builtinId="41" customBuiltin="1"/>
    <cellStyle name="Uthevingsfarge5" xfId="37" builtinId="45" customBuiltin="1"/>
    <cellStyle name="Uthevingsfarge6" xfId="41" builtinId="49" customBuiltin="1"/>
    <cellStyle name="Varseltekst" xfId="17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B2:BU30"/>
  <sheetViews>
    <sheetView topLeftCell="A5" workbookViewId="0">
      <selection activeCell="B13" sqref="B13"/>
    </sheetView>
  </sheetViews>
  <sheetFormatPr baseColWidth="10" defaultColWidth="11.42578125" defaultRowHeight="15" x14ac:dyDescent="0.25"/>
  <cols>
    <col min="1" max="1" width="11.42578125" style="72"/>
    <col min="2" max="3" width="15.140625" style="72" bestFit="1" customWidth="1"/>
    <col min="4" max="4" width="27.42578125" style="72" bestFit="1" customWidth="1"/>
    <col min="5" max="5" width="11.42578125" style="72"/>
    <col min="6" max="6" width="22.85546875" style="72" customWidth="1"/>
    <col min="7" max="7" width="10.7109375" style="72" bestFit="1" customWidth="1"/>
    <col min="8" max="28" width="11.42578125" style="72"/>
    <col min="29" max="29" width="12" style="72" bestFit="1" customWidth="1"/>
    <col min="30" max="30" width="12.7109375" style="72" bestFit="1" customWidth="1"/>
    <col min="31" max="32" width="11.42578125" style="72"/>
    <col min="33" max="33" width="11.42578125" style="82"/>
    <col min="34" max="36" width="11.42578125" style="72"/>
    <col min="37" max="37" width="35.28515625" style="72" bestFit="1" customWidth="1"/>
    <col min="38" max="39" width="11.42578125" style="72"/>
    <col min="40" max="40" width="13.5703125" style="72" bestFit="1" customWidth="1"/>
    <col min="41" max="43" width="11.42578125" style="72"/>
    <col min="44" max="44" width="12.7109375" style="72" bestFit="1" customWidth="1"/>
    <col min="45" max="45" width="11.42578125" style="72"/>
    <col min="46" max="46" width="16.42578125" style="72" bestFit="1" customWidth="1"/>
    <col min="47" max="55" width="11.42578125" style="72"/>
    <col min="56" max="56" width="11.42578125" style="90"/>
    <col min="57" max="57" width="11.42578125" style="72"/>
    <col min="58" max="58" width="14.28515625" style="72" bestFit="1" customWidth="1"/>
    <col min="59" max="59" width="15" style="72" bestFit="1" customWidth="1"/>
    <col min="60" max="60" width="12.7109375" style="72" bestFit="1" customWidth="1"/>
    <col min="61" max="63" width="11.42578125" style="72"/>
    <col min="64" max="64" width="14.85546875" style="72" bestFit="1" customWidth="1"/>
    <col min="65" max="65" width="17.140625" style="72" bestFit="1" customWidth="1"/>
    <col min="66" max="16384" width="11.42578125" style="72"/>
  </cols>
  <sheetData>
    <row r="2" spans="2:73" ht="13.5" customHeight="1" x14ac:dyDescent="0.25">
      <c r="F2" s="26"/>
    </row>
    <row r="3" spans="2:73" x14ac:dyDescent="0.25">
      <c r="D3" s="28" t="s">
        <v>80</v>
      </c>
      <c r="F3" s="26"/>
      <c r="AD3" s="53"/>
    </row>
    <row r="4" spans="2:73" x14ac:dyDescent="0.25">
      <c r="D4" s="35" t="s">
        <v>76</v>
      </c>
      <c r="F4" s="26"/>
    </row>
    <row r="5" spans="2:73" x14ac:dyDescent="0.25">
      <c r="D5" s="4" t="s">
        <v>78</v>
      </c>
      <c r="F5" s="26"/>
    </row>
    <row r="6" spans="2:73" x14ac:dyDescent="0.25">
      <c r="D6" s="6" t="s">
        <v>79</v>
      </c>
      <c r="F6" s="26"/>
    </row>
    <row r="7" spans="2:73" x14ac:dyDescent="0.25">
      <c r="D7" s="66"/>
      <c r="F7" s="26"/>
    </row>
    <row r="8" spans="2:73" ht="93" customHeight="1" x14ac:dyDescent="0.25">
      <c r="D8" s="72" t="s">
        <v>74</v>
      </c>
      <c r="E8" s="42" t="s">
        <v>86</v>
      </c>
      <c r="F8" s="26"/>
      <c r="AD8" s="68"/>
    </row>
    <row r="9" spans="2:73" x14ac:dyDescent="0.25">
      <c r="D9" s="72" t="s">
        <v>77</v>
      </c>
      <c r="E9" s="26">
        <v>40844</v>
      </c>
      <c r="F9" s="26"/>
    </row>
    <row r="10" spans="2:73" x14ac:dyDescent="0.25">
      <c r="D10" s="66"/>
      <c r="F10" s="26"/>
    </row>
    <row r="12" spans="2:73" x14ac:dyDescent="0.25">
      <c r="B12" s="59" t="s">
        <v>9</v>
      </c>
      <c r="C12" s="59" t="s">
        <v>18</v>
      </c>
      <c r="D12" s="59" t="s">
        <v>10</v>
      </c>
      <c r="E12" s="59" t="s">
        <v>11</v>
      </c>
      <c r="F12" s="59" t="s">
        <v>12</v>
      </c>
      <c r="G12" s="59" t="s">
        <v>1</v>
      </c>
      <c r="H12" s="59" t="s">
        <v>2</v>
      </c>
      <c r="I12" s="59" t="s">
        <v>13</v>
      </c>
      <c r="J12" s="59" t="s">
        <v>14</v>
      </c>
      <c r="K12" s="59" t="s">
        <v>0</v>
      </c>
      <c r="L12" s="59" t="s">
        <v>15</v>
      </c>
      <c r="M12" s="59" t="s">
        <v>16</v>
      </c>
      <c r="N12" s="59" t="s">
        <v>17</v>
      </c>
      <c r="O12" s="59" t="s">
        <v>26</v>
      </c>
      <c r="P12" s="59" t="s">
        <v>27</v>
      </c>
      <c r="Q12" s="59" t="s">
        <v>28</v>
      </c>
      <c r="R12" s="59" t="s">
        <v>6</v>
      </c>
      <c r="S12" s="59" t="s">
        <v>7</v>
      </c>
      <c r="T12" s="59" t="s">
        <v>4</v>
      </c>
      <c r="U12" s="59" t="s">
        <v>29</v>
      </c>
      <c r="V12" s="59" t="s">
        <v>30</v>
      </c>
      <c r="W12" s="59" t="s">
        <v>31</v>
      </c>
      <c r="X12" s="59" t="s">
        <v>32</v>
      </c>
      <c r="Y12" s="59" t="s">
        <v>33</v>
      </c>
      <c r="Z12" s="59" t="s">
        <v>34</v>
      </c>
      <c r="AA12" s="59" t="s">
        <v>35</v>
      </c>
      <c r="AB12" s="59" t="s">
        <v>36</v>
      </c>
      <c r="AC12" s="59" t="s">
        <v>37</v>
      </c>
      <c r="AD12" s="34" t="s">
        <v>5</v>
      </c>
      <c r="AE12" s="37" t="s">
        <v>40</v>
      </c>
      <c r="AF12" s="37" t="s">
        <v>161</v>
      </c>
      <c r="AG12" s="37" t="s">
        <v>212</v>
      </c>
      <c r="AH12" s="37" t="s">
        <v>162</v>
      </c>
      <c r="AI12" s="37" t="s">
        <v>163</v>
      </c>
      <c r="AJ12" s="37" t="s">
        <v>164</v>
      </c>
      <c r="AK12" s="37" t="s">
        <v>10</v>
      </c>
      <c r="AL12" s="36" t="s">
        <v>39</v>
      </c>
      <c r="AM12" s="3" t="s">
        <v>38</v>
      </c>
      <c r="AN12" s="3" t="s">
        <v>167</v>
      </c>
      <c r="AO12" s="3" t="s">
        <v>41</v>
      </c>
      <c r="AP12" s="3" t="s">
        <v>42</v>
      </c>
      <c r="AQ12" s="3" t="s">
        <v>43</v>
      </c>
      <c r="AR12" s="3" t="s">
        <v>44</v>
      </c>
      <c r="AS12" s="3" t="s">
        <v>45</v>
      </c>
      <c r="AT12" s="40" t="s">
        <v>46</v>
      </c>
      <c r="AU12" s="40" t="s">
        <v>47</v>
      </c>
      <c r="AV12" s="40" t="s">
        <v>48</v>
      </c>
      <c r="AW12" s="40" t="s">
        <v>49</v>
      </c>
      <c r="AX12" s="40" t="s">
        <v>50</v>
      </c>
      <c r="AY12" s="40" t="s">
        <v>51</v>
      </c>
      <c r="AZ12" s="40" t="s">
        <v>52</v>
      </c>
      <c r="BA12" s="40" t="s">
        <v>53</v>
      </c>
      <c r="BB12" s="40" t="s">
        <v>54</v>
      </c>
      <c r="BC12" s="40" t="s">
        <v>55</v>
      </c>
      <c r="BD12" s="40" t="s">
        <v>218</v>
      </c>
      <c r="BE12" s="41" t="s">
        <v>160</v>
      </c>
      <c r="BF12" s="41" t="s">
        <v>65</v>
      </c>
      <c r="BG12" s="41" t="s">
        <v>56</v>
      </c>
      <c r="BH12" s="41" t="s">
        <v>57</v>
      </c>
      <c r="BI12" s="41" t="s">
        <v>58</v>
      </c>
      <c r="BJ12" s="41" t="s">
        <v>66</v>
      </c>
      <c r="BK12" s="41" t="s">
        <v>59</v>
      </c>
      <c r="BL12" s="41" t="s">
        <v>60</v>
      </c>
      <c r="BM12" s="41" t="s">
        <v>61</v>
      </c>
      <c r="BN12" s="41" t="s">
        <v>62</v>
      </c>
      <c r="BO12" s="41" t="s">
        <v>63</v>
      </c>
      <c r="BP12" s="41" t="s">
        <v>64</v>
      </c>
      <c r="BQ12" s="41" t="s">
        <v>165</v>
      </c>
      <c r="BR12" s="41" t="s">
        <v>69</v>
      </c>
      <c r="BS12" s="41" t="s">
        <v>166</v>
      </c>
      <c r="BT12" s="41" t="s">
        <v>71</v>
      </c>
      <c r="BU12" s="41" t="s">
        <v>72</v>
      </c>
    </row>
    <row r="13" spans="2:73" x14ac:dyDescent="0.25">
      <c r="B13" s="59" t="s">
        <v>19</v>
      </c>
      <c r="C13" s="59" t="s">
        <v>148</v>
      </c>
      <c r="D13" s="59" t="s">
        <v>149</v>
      </c>
      <c r="E13" s="60">
        <v>41000</v>
      </c>
      <c r="F13" s="60">
        <v>41029</v>
      </c>
      <c r="G13" s="60">
        <v>40995</v>
      </c>
      <c r="H13" s="59">
        <v>45</v>
      </c>
      <c r="I13" s="59" t="s">
        <v>3</v>
      </c>
      <c r="J13" s="59">
        <v>0</v>
      </c>
      <c r="K13" s="59">
        <v>720</v>
      </c>
      <c r="L13" s="59">
        <v>0</v>
      </c>
      <c r="M13" s="59">
        <v>0</v>
      </c>
      <c r="N13" s="59">
        <v>5.9999477869958797</v>
      </c>
      <c r="O13" s="59">
        <v>0.486392022708865</v>
      </c>
      <c r="P13" s="59">
        <v>1.4922548301247099E-2</v>
      </c>
      <c r="Q13" s="59">
        <v>6.5030892769221804</v>
      </c>
      <c r="R13" s="61">
        <v>-3.4278776057004197E-2</v>
      </c>
      <c r="S13" s="59">
        <v>-2.49860839329844</v>
      </c>
      <c r="T13" s="59">
        <v>1.6156616857547901</v>
      </c>
      <c r="U13" s="59">
        <v>0</v>
      </c>
      <c r="V13" s="59">
        <v>0</v>
      </c>
      <c r="W13" s="59">
        <v>7200</v>
      </c>
      <c r="X13" s="59">
        <v>7200</v>
      </c>
      <c r="Y13" s="59">
        <v>0</v>
      </c>
      <c r="Z13" s="59">
        <v>7200</v>
      </c>
      <c r="AA13" s="59">
        <v>7200</v>
      </c>
      <c r="AB13" s="59">
        <v>0</v>
      </c>
      <c r="AC13" s="59">
        <v>7200</v>
      </c>
      <c r="AD13" s="38">
        <v>1.7218437163059052E-2</v>
      </c>
      <c r="AE13" s="38">
        <v>25.45</v>
      </c>
      <c r="AF13" s="35">
        <v>1</v>
      </c>
      <c r="AG13" s="35">
        <v>1</v>
      </c>
      <c r="AH13" s="35">
        <f>J13*K13</f>
        <v>0</v>
      </c>
      <c r="AI13" s="35">
        <v>1</v>
      </c>
      <c r="AJ13" s="35">
        <v>0</v>
      </c>
      <c r="AK13" s="35" t="str">
        <f>B13&amp;"-"&amp;D13</f>
        <v>ICE TTF-EURC Apr-12 27-MAR-12 45.00</v>
      </c>
      <c r="AL13" s="3" t="str">
        <f t="shared" ref="AL13:AL24" si="0">MID(D13,4,1)</f>
        <v>C</v>
      </c>
      <c r="AM13" s="3">
        <f>B76Future($E$9,AL13,AE13,H13,G13,T13,AD13)*AG13</f>
        <v>5.9999477904589975</v>
      </c>
      <c r="AN13" s="3">
        <f>AJ13*AF13</f>
        <v>0</v>
      </c>
      <c r="AO13" s="3">
        <f t="shared" ref="AO13:AO24" si="1">B76Delta($E$9,AL13,AE13,H13,G13,T13,AD13)</f>
        <v>0.48639202272470727</v>
      </c>
      <c r="AP13" s="3">
        <f t="shared" ref="AP13:AP24" si="2">B76Gamma($E$9,AL13,AE13,H13,G13,T13,AD13)</f>
        <v>1.4922548300685909E-2</v>
      </c>
      <c r="AQ13" s="3">
        <f t="shared" ref="AQ13:AQ24" si="3">B76Vega($E$9,AL13,AE13,H13,G13,T13,AD13)</f>
        <v>6.5030892771730509</v>
      </c>
      <c r="AR13" s="3">
        <f t="shared" ref="AR13:AR24" si="4">B76Theta($E$9,AL13,AE13,H13,G13,T13,AD13)</f>
        <v>-3.4278776055542415E-2</v>
      </c>
      <c r="AS13" s="3">
        <f t="shared" ref="AS13:AS24" si="5">B76Rho($E$9,AL13,AE13,H13,G13,T13,AD13)</f>
        <v>-2.4986083949308702</v>
      </c>
      <c r="AT13" s="67">
        <f>-AN13*AH13*AI13</f>
        <v>0</v>
      </c>
      <c r="AU13" s="3">
        <f>AM13*AH13*AI13</f>
        <v>0</v>
      </c>
      <c r="AV13" s="3">
        <f>AU13</f>
        <v>0</v>
      </c>
      <c r="AW13" s="3">
        <f>1*10*720</f>
        <v>7200</v>
      </c>
      <c r="AX13" s="3">
        <f>AT13+AW13</f>
        <v>7200</v>
      </c>
      <c r="AY13" s="3">
        <f>AV13</f>
        <v>0</v>
      </c>
      <c r="AZ13" s="3">
        <f>AX13+AY13</f>
        <v>7200</v>
      </c>
      <c r="BA13" s="3">
        <f>AW13+AT13</f>
        <v>7200</v>
      </c>
      <c r="BB13" s="3">
        <f>AV13</f>
        <v>0</v>
      </c>
      <c r="BC13" s="3">
        <f>BA13+BB13</f>
        <v>7200</v>
      </c>
      <c r="BD13" s="3">
        <f>AH13*AO13</f>
        <v>0</v>
      </c>
      <c r="BE13" s="41">
        <f t="shared" ref="BE13:BE24" si="6">QaAssert(N13,AM13)</f>
        <v>0</v>
      </c>
      <c r="BF13" s="41">
        <f>QaAssert(L13,AN13)</f>
        <v>0</v>
      </c>
      <c r="BG13" s="5">
        <f t="shared" ref="BG13:BG24" si="7">QaAssert(AT13,M13)</f>
        <v>0</v>
      </c>
      <c r="BH13" s="5">
        <f t="shared" ref="BH13:BH24" si="8">QaAssert(AU13,U13)</f>
        <v>0</v>
      </c>
      <c r="BI13" s="5">
        <f t="shared" ref="BI13:BI24" si="9">QaAssert(AV13, V13)</f>
        <v>0</v>
      </c>
      <c r="BJ13" s="5">
        <f t="shared" ref="BJ13:BJ24" si="10">QaAssert(W13,AW13)</f>
        <v>0</v>
      </c>
      <c r="BK13" s="5">
        <f t="shared" ref="BK13:BK24" si="11">QaAssert(X13,AX13)</f>
        <v>0</v>
      </c>
      <c r="BL13" s="5">
        <f t="shared" ref="BL13:BL24" si="12">QaAssert(Y13,AY13)</f>
        <v>0</v>
      </c>
      <c r="BM13" s="5">
        <f t="shared" ref="BM13:BM24" si="13">QaAssert(Z13,AZ13)</f>
        <v>0</v>
      </c>
      <c r="BN13" s="5">
        <f t="shared" ref="BN13:BN24" si="14">QaAssert(AA13,BA13)</f>
        <v>0</v>
      </c>
      <c r="BO13" s="5">
        <f t="shared" ref="BO13:BO24" si="15">QaAssert(AB13,BB13)</f>
        <v>0</v>
      </c>
      <c r="BP13" s="5">
        <f t="shared" ref="BP13:BP24" si="16">QaAssert(AC13,BC13)</f>
        <v>0</v>
      </c>
      <c r="BQ13" s="5">
        <f t="shared" ref="BQ13:BQ24" si="17">QaAssert(O13,AO13)</f>
        <v>0</v>
      </c>
      <c r="BR13" s="5">
        <f t="shared" ref="BR13:BR24" si="18">QaAssert(P13,AP13)</f>
        <v>0</v>
      </c>
      <c r="BS13" s="5">
        <f t="shared" ref="BS13:BS24" si="19">QaAssert(Q13,AQ13)</f>
        <v>0</v>
      </c>
      <c r="BT13" s="5">
        <f t="shared" ref="BT13:BT24" si="20">QaAssert(S13,AS13)</f>
        <v>0</v>
      </c>
      <c r="BU13" s="5">
        <f t="shared" ref="BU13:BU24" si="21">QaAssert(R13,AR13)</f>
        <v>0</v>
      </c>
    </row>
    <row r="14" spans="2:73" x14ac:dyDescent="0.25">
      <c r="B14" s="59" t="s">
        <v>150</v>
      </c>
      <c r="C14" s="59" t="s">
        <v>151</v>
      </c>
      <c r="D14" s="59" t="s">
        <v>149</v>
      </c>
      <c r="E14" s="60">
        <v>41000</v>
      </c>
      <c r="F14" s="60">
        <v>41029</v>
      </c>
      <c r="G14" s="60">
        <v>40995</v>
      </c>
      <c r="H14" s="59">
        <v>45</v>
      </c>
      <c r="I14" s="59" t="s">
        <v>3</v>
      </c>
      <c r="J14" s="59">
        <v>0</v>
      </c>
      <c r="K14" s="59">
        <v>720</v>
      </c>
      <c r="L14" s="59">
        <v>0</v>
      </c>
      <c r="M14" s="59">
        <v>0</v>
      </c>
      <c r="N14" s="59">
        <v>30.074985143609101</v>
      </c>
      <c r="O14" s="59">
        <v>0.81052116245785399</v>
      </c>
      <c r="P14" s="59">
        <v>6.1523527940654799E-3</v>
      </c>
      <c r="Q14" s="59">
        <v>11.2194277761389</v>
      </c>
      <c r="R14" s="59">
        <v>-3.6985519865640602E-2</v>
      </c>
      <c r="S14" s="59">
        <v>-11.016178537348001</v>
      </c>
      <c r="T14" s="59">
        <v>1.0253864381678399</v>
      </c>
      <c r="U14" s="59">
        <v>0</v>
      </c>
      <c r="V14" s="59">
        <v>0</v>
      </c>
      <c r="W14" s="59">
        <v>341086.52313481999</v>
      </c>
      <c r="X14" s="59">
        <v>341086.52313481999</v>
      </c>
      <c r="Y14" s="59">
        <v>0</v>
      </c>
      <c r="Z14" s="59">
        <v>341086.52313481999</v>
      </c>
      <c r="AA14" s="59">
        <v>341086.52313481999</v>
      </c>
      <c r="AB14" s="59">
        <v>0</v>
      </c>
      <c r="AC14" s="59">
        <v>341086.52313481999</v>
      </c>
      <c r="AD14" s="38">
        <v>1.1830375046759814E-2</v>
      </c>
      <c r="AE14" s="38">
        <v>65.349999999999994</v>
      </c>
      <c r="AF14" s="35">
        <v>1.1369550771160699</v>
      </c>
      <c r="AG14" s="82">
        <v>1.1369076246774601</v>
      </c>
      <c r="AH14" s="35">
        <f t="shared" ref="AH14:AH24" si="22">J14*K14</f>
        <v>0</v>
      </c>
      <c r="AI14" s="35">
        <v>0.01</v>
      </c>
      <c r="AJ14" s="35">
        <v>0</v>
      </c>
      <c r="AK14" s="35" t="str">
        <f t="shared" ref="AK14:AK24" si="23">B14&amp;"-"&amp;D14</f>
        <v>ICE NBP-EURC Apr-12 27-MAR-12 45.00</v>
      </c>
      <c r="AL14" s="3" t="str">
        <f t="shared" si="0"/>
        <v>C</v>
      </c>
      <c r="AM14" s="3">
        <f t="shared" ref="AM14:AM24" si="24">B76Future($E$9,AL14,AE14,H14,G14,T14,AD14)*AG14</f>
        <v>30.074985180409424</v>
      </c>
      <c r="AN14" s="3">
        <f t="shared" ref="AN14:AN24" si="25">AJ14*AF14</f>
        <v>0</v>
      </c>
      <c r="AO14" s="3">
        <f t="shared" si="1"/>
        <v>0.81052116272333374</v>
      </c>
      <c r="AP14" s="3">
        <f t="shared" si="2"/>
        <v>6.1523527860613851E-3</v>
      </c>
      <c r="AQ14" s="3">
        <f t="shared" si="3"/>
        <v>11.219427774517106</v>
      </c>
      <c r="AR14" s="3">
        <f t="shared" si="4"/>
        <v>-3.6985519856239671E-2</v>
      </c>
      <c r="AS14" s="3">
        <f t="shared" si="5"/>
        <v>-11.01617855166646</v>
      </c>
      <c r="AT14" s="67">
        <f t="shared" ref="AT14:AT24" si="26">-AN14*AH14*AI14</f>
        <v>0</v>
      </c>
      <c r="AU14" s="3">
        <f t="shared" ref="AU14:AU24" si="27">AM14*AH14*AI14</f>
        <v>0</v>
      </c>
      <c r="AV14" s="3">
        <f t="shared" ref="AV14:AV24" si="28">AU14</f>
        <v>0</v>
      </c>
      <c r="AW14" s="3">
        <f>1*1000000*30*AF14/100</f>
        <v>341086.52313482098</v>
      </c>
      <c r="AX14" s="3">
        <f t="shared" ref="AX14:AX18" si="29">AT14+AW14</f>
        <v>341086.52313482098</v>
      </c>
      <c r="AY14" s="3">
        <f t="shared" ref="AY14:AY18" si="30">AV14</f>
        <v>0</v>
      </c>
      <c r="AZ14" s="3">
        <f t="shared" ref="AZ14:AZ18" si="31">AX14+AY14</f>
        <v>341086.52313482098</v>
      </c>
      <c r="BA14" s="3">
        <f t="shared" ref="BA14:BA18" si="32">AW14+AT14</f>
        <v>341086.52313482098</v>
      </c>
      <c r="BB14" s="3">
        <f t="shared" ref="BB14:BB18" si="33">AV14</f>
        <v>0</v>
      </c>
      <c r="BC14" s="3">
        <f t="shared" ref="BC14:BC18" si="34">BA14+BB14</f>
        <v>341086.52313482098</v>
      </c>
      <c r="BD14" s="3">
        <f t="shared" ref="BD14:BD24" si="35">AH14*AO14</f>
        <v>0</v>
      </c>
      <c r="BE14" s="41">
        <f t="shared" si="6"/>
        <v>0</v>
      </c>
      <c r="BF14" s="41">
        <f t="shared" ref="BF14:BF24" si="36">QaAssert(L14,AN14)</f>
        <v>0</v>
      </c>
      <c r="BG14" s="5">
        <f t="shared" si="7"/>
        <v>0</v>
      </c>
      <c r="BH14" s="5">
        <f t="shared" si="8"/>
        <v>0</v>
      </c>
      <c r="BI14" s="5">
        <f t="shared" si="9"/>
        <v>0</v>
      </c>
      <c r="BJ14" s="5">
        <f t="shared" si="10"/>
        <v>0</v>
      </c>
      <c r="BK14" s="5">
        <f t="shared" si="11"/>
        <v>0</v>
      </c>
      <c r="BL14" s="5">
        <f t="shared" si="12"/>
        <v>0</v>
      </c>
      <c r="BM14" s="5">
        <f t="shared" si="13"/>
        <v>0</v>
      </c>
      <c r="BN14" s="5">
        <f t="shared" si="14"/>
        <v>0</v>
      </c>
      <c r="BO14" s="5">
        <f t="shared" si="15"/>
        <v>0</v>
      </c>
      <c r="BP14" s="5">
        <f t="shared" si="16"/>
        <v>0</v>
      </c>
      <c r="BQ14" s="5">
        <f t="shared" si="17"/>
        <v>0</v>
      </c>
      <c r="BR14" s="5">
        <f t="shared" si="18"/>
        <v>0</v>
      </c>
      <c r="BS14" s="5">
        <f t="shared" si="19"/>
        <v>0</v>
      </c>
      <c r="BT14" s="5">
        <f t="shared" si="20"/>
        <v>0</v>
      </c>
      <c r="BU14" s="5">
        <f t="shared" si="21"/>
        <v>0</v>
      </c>
    </row>
    <row r="15" spans="2:73" x14ac:dyDescent="0.25">
      <c r="B15" s="59" t="s">
        <v>19</v>
      </c>
      <c r="C15" s="59" t="s">
        <v>20</v>
      </c>
      <c r="D15" s="59" t="s">
        <v>152</v>
      </c>
      <c r="E15" s="60">
        <v>41061</v>
      </c>
      <c r="F15" s="60">
        <v>41090</v>
      </c>
      <c r="G15" s="60">
        <v>41054</v>
      </c>
      <c r="H15" s="59">
        <v>45</v>
      </c>
      <c r="I15" s="59" t="s">
        <v>3</v>
      </c>
      <c r="J15" s="59">
        <v>10</v>
      </c>
      <c r="K15" s="59">
        <v>720</v>
      </c>
      <c r="L15" s="59">
        <v>3.57</v>
      </c>
      <c r="M15" s="59">
        <v>-25704</v>
      </c>
      <c r="N15" s="59">
        <v>1.2327893008705899</v>
      </c>
      <c r="O15" s="59">
        <v>0.204794197275182</v>
      </c>
      <c r="P15" s="59">
        <v>2.0923273712522499E-2</v>
      </c>
      <c r="Q15" s="59">
        <v>5.37822536104414</v>
      </c>
      <c r="R15" s="61">
        <v>-8.9899231735089697E-3</v>
      </c>
      <c r="S15" s="59">
        <v>-0.71265354101212297</v>
      </c>
      <c r="T15" s="59">
        <v>0.71030546868642896</v>
      </c>
      <c r="U15" s="59">
        <v>8876.0829662682208</v>
      </c>
      <c r="V15" s="59">
        <v>8876.0829662682208</v>
      </c>
      <c r="W15" s="59">
        <v>1980</v>
      </c>
      <c r="X15" s="59">
        <v>-23724</v>
      </c>
      <c r="Y15" s="59">
        <v>8876.0829662682208</v>
      </c>
      <c r="Z15" s="59">
        <v>-14847.917033731799</v>
      </c>
      <c r="AA15" s="59">
        <v>-23724</v>
      </c>
      <c r="AB15" s="59">
        <v>8876.0829662682208</v>
      </c>
      <c r="AC15" s="59">
        <v>-14847.917033731799</v>
      </c>
      <c r="AD15" s="38">
        <v>1.8547095638830498E-2</v>
      </c>
      <c r="AE15" s="38">
        <v>25.02</v>
      </c>
      <c r="AF15" s="38">
        <v>1</v>
      </c>
      <c r="AG15" s="35">
        <v>1</v>
      </c>
      <c r="AH15" s="35">
        <f t="shared" si="22"/>
        <v>7200</v>
      </c>
      <c r="AI15" s="35">
        <v>1</v>
      </c>
      <c r="AJ15" s="35">
        <v>3.57</v>
      </c>
      <c r="AK15" s="35" t="str">
        <f t="shared" si="23"/>
        <v>ICE TTF-EURC Jun-12 25-MAY-12 45.00</v>
      </c>
      <c r="AL15" s="3" t="str">
        <f t="shared" si="0"/>
        <v>C</v>
      </c>
      <c r="AM15" s="3">
        <f t="shared" si="24"/>
        <v>1.2327893027123813</v>
      </c>
      <c r="AN15" s="3">
        <f t="shared" si="25"/>
        <v>3.57</v>
      </c>
      <c r="AO15" s="3">
        <f t="shared" si="1"/>
        <v>0.20479419727602677</v>
      </c>
      <c r="AP15" s="3">
        <f t="shared" si="2"/>
        <v>2.0923273712572091E-2</v>
      </c>
      <c r="AQ15" s="3">
        <f t="shared" si="3"/>
        <v>5.3782253613515421</v>
      </c>
      <c r="AR15" s="3">
        <f t="shared" si="4"/>
        <v>-8.9899231734362449E-3</v>
      </c>
      <c r="AS15" s="3">
        <f t="shared" si="5"/>
        <v>-0.71265354211592447</v>
      </c>
      <c r="AT15" s="67">
        <f t="shared" si="26"/>
        <v>-25704</v>
      </c>
      <c r="AU15" s="3">
        <f t="shared" si="27"/>
        <v>8876.0829795291447</v>
      </c>
      <c r="AV15" s="3">
        <f t="shared" si="28"/>
        <v>8876.0829795291447</v>
      </c>
      <c r="AW15" s="3">
        <f>(4.21-3.66)*5*K15</f>
        <v>1979.9999999999993</v>
      </c>
      <c r="AX15" s="3">
        <f t="shared" si="29"/>
        <v>-23724</v>
      </c>
      <c r="AY15" s="3">
        <f t="shared" si="30"/>
        <v>8876.0829795291447</v>
      </c>
      <c r="AZ15" s="3">
        <f t="shared" si="31"/>
        <v>-14847.917020470855</v>
      </c>
      <c r="BA15" s="3">
        <f t="shared" si="32"/>
        <v>-23724</v>
      </c>
      <c r="BB15" s="3">
        <f t="shared" si="33"/>
        <v>8876.0829795291447</v>
      </c>
      <c r="BC15" s="3">
        <f t="shared" si="34"/>
        <v>-14847.917020470855</v>
      </c>
      <c r="BD15" s="3">
        <f t="shared" si="35"/>
        <v>1474.5182203873928</v>
      </c>
      <c r="BE15" s="41">
        <f t="shared" si="6"/>
        <v>0</v>
      </c>
      <c r="BF15" s="41">
        <f t="shared" si="36"/>
        <v>0</v>
      </c>
      <c r="BG15" s="5">
        <f t="shared" si="7"/>
        <v>0</v>
      </c>
      <c r="BH15" s="5">
        <f t="shared" si="8"/>
        <v>0</v>
      </c>
      <c r="BI15" s="5">
        <f t="shared" si="9"/>
        <v>0</v>
      </c>
      <c r="BJ15" s="5">
        <f t="shared" si="10"/>
        <v>0</v>
      </c>
      <c r="BK15" s="5">
        <f t="shared" si="11"/>
        <v>0</v>
      </c>
      <c r="BL15" s="5">
        <f t="shared" si="12"/>
        <v>0</v>
      </c>
      <c r="BM15" s="5">
        <f t="shared" si="13"/>
        <v>0</v>
      </c>
      <c r="BN15" s="5">
        <f t="shared" si="14"/>
        <v>0</v>
      </c>
      <c r="BO15" s="5">
        <f t="shared" si="15"/>
        <v>0</v>
      </c>
      <c r="BP15" s="5">
        <f t="shared" si="16"/>
        <v>0</v>
      </c>
      <c r="BQ15" s="5">
        <f t="shared" si="17"/>
        <v>0</v>
      </c>
      <c r="BR15" s="5">
        <f t="shared" si="18"/>
        <v>0</v>
      </c>
      <c r="BS15" s="5">
        <f t="shared" si="19"/>
        <v>0</v>
      </c>
      <c r="BT15" s="5">
        <f t="shared" si="20"/>
        <v>0</v>
      </c>
      <c r="BU15" s="5">
        <f t="shared" si="21"/>
        <v>0</v>
      </c>
    </row>
    <row r="16" spans="2:73" x14ac:dyDescent="0.25">
      <c r="B16" s="59" t="s">
        <v>19</v>
      </c>
      <c r="C16" s="59" t="s">
        <v>20</v>
      </c>
      <c r="D16" s="59" t="s">
        <v>153</v>
      </c>
      <c r="E16" s="60">
        <v>41061</v>
      </c>
      <c r="F16" s="60">
        <v>41090</v>
      </c>
      <c r="G16" s="60">
        <v>41054</v>
      </c>
      <c r="H16" s="59">
        <v>45</v>
      </c>
      <c r="I16" s="59" t="s">
        <v>3</v>
      </c>
      <c r="J16" s="59">
        <v>10</v>
      </c>
      <c r="K16" s="59">
        <v>720</v>
      </c>
      <c r="L16" s="59">
        <v>3.57</v>
      </c>
      <c r="M16" s="59">
        <v>-25704</v>
      </c>
      <c r="N16" s="59">
        <v>20.9997131372462</v>
      </c>
      <c r="O16" s="59">
        <v>-0.78454133007098603</v>
      </c>
      <c r="P16" s="59">
        <v>2.0923273712522499E-2</v>
      </c>
      <c r="Q16" s="59">
        <v>5.37822536104414</v>
      </c>
      <c r="R16" s="59">
        <v>-7.9854874834302501E-3</v>
      </c>
      <c r="S16" s="59">
        <v>-12.1395601964819</v>
      </c>
      <c r="T16" s="59">
        <v>0.71030546868642896</v>
      </c>
      <c r="U16" s="59">
        <v>151197.934588173</v>
      </c>
      <c r="V16" s="59">
        <v>151197.934588173</v>
      </c>
      <c r="W16" s="59">
        <v>1980</v>
      </c>
      <c r="X16" s="59">
        <v>-23724</v>
      </c>
      <c r="Y16" s="59">
        <v>151197.934588173</v>
      </c>
      <c r="Z16" s="59">
        <v>127473.934588173</v>
      </c>
      <c r="AA16" s="59">
        <v>-23724</v>
      </c>
      <c r="AB16" s="59">
        <v>151197.934588173</v>
      </c>
      <c r="AC16" s="59">
        <v>127473.934588173</v>
      </c>
      <c r="AD16" s="38">
        <v>1.8547095638830498E-2</v>
      </c>
      <c r="AE16" s="38">
        <v>25.02</v>
      </c>
      <c r="AF16" s="38">
        <v>1</v>
      </c>
      <c r="AG16" s="35">
        <v>1</v>
      </c>
      <c r="AH16" s="35">
        <f t="shared" si="22"/>
        <v>7200</v>
      </c>
      <c r="AI16" s="35">
        <v>1</v>
      </c>
      <c r="AJ16" s="35">
        <v>3.57</v>
      </c>
      <c r="AK16" s="35" t="str">
        <f t="shared" si="23"/>
        <v>ICE TTF-EURP Jun-12 25-MAY-12 45.00</v>
      </c>
      <c r="AL16" s="3" t="str">
        <f t="shared" si="0"/>
        <v>P</v>
      </c>
      <c r="AM16" s="3">
        <f t="shared" si="24"/>
        <v>20.999713139077183</v>
      </c>
      <c r="AN16" s="3">
        <f t="shared" si="25"/>
        <v>3.57</v>
      </c>
      <c r="AO16" s="3">
        <f t="shared" si="1"/>
        <v>-0.78454133006955895</v>
      </c>
      <c r="AP16" s="3">
        <f t="shared" si="2"/>
        <v>2.0923273712572091E-2</v>
      </c>
      <c r="AQ16" s="3">
        <f t="shared" si="3"/>
        <v>5.3782253613515421</v>
      </c>
      <c r="AR16" s="3">
        <f t="shared" si="4"/>
        <v>-7.9854874833580631E-3</v>
      </c>
      <c r="AS16" s="3">
        <f t="shared" si="5"/>
        <v>-12.139560198206262</v>
      </c>
      <c r="AT16" s="67">
        <f t="shared" si="26"/>
        <v>-25704</v>
      </c>
      <c r="AU16" s="3">
        <f t="shared" si="27"/>
        <v>151197.93460135572</v>
      </c>
      <c r="AV16" s="3">
        <f t="shared" si="28"/>
        <v>151197.93460135572</v>
      </c>
      <c r="AW16" s="3">
        <f>(4.21-3.66)*5*K16</f>
        <v>1979.9999999999993</v>
      </c>
      <c r="AX16" s="3">
        <f t="shared" si="29"/>
        <v>-23724</v>
      </c>
      <c r="AY16" s="3">
        <f t="shared" si="30"/>
        <v>151197.93460135572</v>
      </c>
      <c r="AZ16" s="3">
        <f t="shared" si="31"/>
        <v>127473.93460135572</v>
      </c>
      <c r="BA16" s="3">
        <f t="shared" si="32"/>
        <v>-23724</v>
      </c>
      <c r="BB16" s="3">
        <f t="shared" si="33"/>
        <v>151197.93460135572</v>
      </c>
      <c r="BC16" s="3">
        <f t="shared" si="34"/>
        <v>127473.93460135572</v>
      </c>
      <c r="BD16" s="3">
        <f t="shared" si="35"/>
        <v>-5648.6975765008247</v>
      </c>
      <c r="BE16" s="41">
        <f t="shared" si="6"/>
        <v>0</v>
      </c>
      <c r="BF16" s="41">
        <f t="shared" si="36"/>
        <v>0</v>
      </c>
      <c r="BG16" s="5">
        <f t="shared" si="7"/>
        <v>0</v>
      </c>
      <c r="BH16" s="5">
        <f t="shared" si="8"/>
        <v>0</v>
      </c>
      <c r="BI16" s="5">
        <f t="shared" si="9"/>
        <v>0</v>
      </c>
      <c r="BJ16" s="5">
        <f t="shared" si="10"/>
        <v>0</v>
      </c>
      <c r="BK16" s="5">
        <f t="shared" si="11"/>
        <v>0</v>
      </c>
      <c r="BL16" s="5">
        <f t="shared" si="12"/>
        <v>0</v>
      </c>
      <c r="BM16" s="5">
        <f t="shared" si="13"/>
        <v>0</v>
      </c>
      <c r="BN16" s="5">
        <f t="shared" si="14"/>
        <v>0</v>
      </c>
      <c r="BO16" s="5">
        <f t="shared" si="15"/>
        <v>0</v>
      </c>
      <c r="BP16" s="5">
        <f t="shared" si="16"/>
        <v>0</v>
      </c>
      <c r="BQ16" s="5">
        <f t="shared" si="17"/>
        <v>0</v>
      </c>
      <c r="BR16" s="5">
        <f t="shared" si="18"/>
        <v>0</v>
      </c>
      <c r="BS16" s="5">
        <f t="shared" si="19"/>
        <v>0</v>
      </c>
      <c r="BT16" s="5">
        <f t="shared" si="20"/>
        <v>0</v>
      </c>
      <c r="BU16" s="5">
        <f t="shared" si="21"/>
        <v>0</v>
      </c>
    </row>
    <row r="17" spans="2:73" x14ac:dyDescent="0.25">
      <c r="B17" s="59" t="s">
        <v>150</v>
      </c>
      <c r="C17" s="59" t="s">
        <v>154</v>
      </c>
      <c r="D17" s="59" t="s">
        <v>153</v>
      </c>
      <c r="E17" s="60">
        <v>41061</v>
      </c>
      <c r="F17" s="60">
        <v>41090</v>
      </c>
      <c r="G17" s="60">
        <v>41054</v>
      </c>
      <c r="H17" s="59">
        <v>45</v>
      </c>
      <c r="I17" s="59" t="s">
        <v>3</v>
      </c>
      <c r="J17" s="59">
        <v>1000000</v>
      </c>
      <c r="K17" s="59">
        <v>720</v>
      </c>
      <c r="L17" s="59">
        <v>4.0589296253043603</v>
      </c>
      <c r="M17" s="59">
        <v>-1217678.8882490301</v>
      </c>
      <c r="N17" s="59">
        <v>3.83532729587552</v>
      </c>
      <c r="O17" s="59">
        <v>-0.18304902511541299</v>
      </c>
      <c r="P17" s="59">
        <v>9.8113073488600693E-3</v>
      </c>
      <c r="Q17" s="59">
        <v>12.2117620017418</v>
      </c>
      <c r="R17" s="59">
        <v>-1.6756237422742098E-2</v>
      </c>
      <c r="S17" s="59">
        <v>-1.9501447269332099</v>
      </c>
      <c r="T17" s="59">
        <v>0.58340385714602006</v>
      </c>
      <c r="U17" s="59">
        <v>1150598.1887626499</v>
      </c>
      <c r="V17" s="59">
        <v>1150598.1893841401</v>
      </c>
      <c r="W17" s="59">
        <v>0</v>
      </c>
      <c r="X17" s="59">
        <v>-1217678.8882490301</v>
      </c>
      <c r="Y17" s="59">
        <v>1150598.1893841401</v>
      </c>
      <c r="Z17" s="59">
        <v>-67080.698864886101</v>
      </c>
      <c r="AA17" s="59">
        <v>-1217678.8882490301</v>
      </c>
      <c r="AB17" s="59">
        <v>1150598.1893841401</v>
      </c>
      <c r="AC17" s="62">
        <v>-67080.698864886101</v>
      </c>
      <c r="AD17" s="38">
        <v>1.3654592302963252E-2</v>
      </c>
      <c r="AE17" s="38">
        <v>60.75</v>
      </c>
      <c r="AF17" s="35">
        <v>1.1369550771160699</v>
      </c>
      <c r="AG17" s="82">
        <v>1.1369076246774601</v>
      </c>
      <c r="AH17" s="35">
        <f>J17*30</f>
        <v>30000000</v>
      </c>
      <c r="AI17" s="35">
        <v>0.01</v>
      </c>
      <c r="AJ17" s="35">
        <v>3.57</v>
      </c>
      <c r="AK17" s="35" t="str">
        <f t="shared" si="23"/>
        <v>ICE NBP-EURP Jun-12 25-MAY-12 45.00</v>
      </c>
      <c r="AL17" s="3" t="str">
        <f t="shared" si="0"/>
        <v>P</v>
      </c>
      <c r="AM17" s="3">
        <f t="shared" si="24"/>
        <v>3.8353272929824316</v>
      </c>
      <c r="AN17" s="3">
        <f t="shared" si="25"/>
        <v>4.0589296253043692</v>
      </c>
      <c r="AO17" s="3">
        <f t="shared" si="1"/>
        <v>-0.1830490247419157</v>
      </c>
      <c r="AP17" s="3">
        <f t="shared" si="2"/>
        <v>9.811307332663782E-3</v>
      </c>
      <c r="AQ17" s="3">
        <f t="shared" si="3"/>
        <v>12.211761995445324</v>
      </c>
      <c r="AR17" s="3">
        <f t="shared" si="4"/>
        <v>-1.6756237413206494E-2</v>
      </c>
      <c r="AS17" s="3">
        <f t="shared" si="5"/>
        <v>-1.950144725569142</v>
      </c>
      <c r="AT17" s="67">
        <f t="shared" si="26"/>
        <v>-1217678.8875913108</v>
      </c>
      <c r="AU17" s="3">
        <f t="shared" si="27"/>
        <v>1150598.1878947297</v>
      </c>
      <c r="AV17" s="3">
        <f t="shared" si="28"/>
        <v>1150598.1878947297</v>
      </c>
      <c r="AW17" s="3">
        <v>0</v>
      </c>
      <c r="AX17" s="3">
        <f t="shared" si="29"/>
        <v>-1217678.8875913108</v>
      </c>
      <c r="AY17" s="3">
        <f t="shared" si="30"/>
        <v>1150598.1878947297</v>
      </c>
      <c r="AZ17" s="3">
        <f t="shared" si="31"/>
        <v>-67080.699696581112</v>
      </c>
      <c r="BA17" s="3">
        <f t="shared" si="32"/>
        <v>-1217678.8875913108</v>
      </c>
      <c r="BB17" s="3">
        <f t="shared" si="33"/>
        <v>1150598.1878947297</v>
      </c>
      <c r="BC17" s="3">
        <f t="shared" si="34"/>
        <v>-67080.699696581112</v>
      </c>
      <c r="BD17" s="3">
        <f t="shared" si="35"/>
        <v>-5491470.7422574712</v>
      </c>
      <c r="BE17" s="41">
        <f t="shared" si="6"/>
        <v>0</v>
      </c>
      <c r="BF17" s="41">
        <f t="shared" si="36"/>
        <v>0</v>
      </c>
      <c r="BG17" s="5">
        <f t="shared" si="7"/>
        <v>0</v>
      </c>
      <c r="BH17" s="5">
        <f t="shared" si="8"/>
        <v>0</v>
      </c>
      <c r="BI17" s="5">
        <f t="shared" si="9"/>
        <v>0</v>
      </c>
      <c r="BJ17" s="5">
        <f t="shared" si="10"/>
        <v>0</v>
      </c>
      <c r="BK17" s="5">
        <f t="shared" si="11"/>
        <v>0</v>
      </c>
      <c r="BL17" s="5">
        <f t="shared" si="12"/>
        <v>0</v>
      </c>
      <c r="BM17" s="52">
        <f t="shared" si="13"/>
        <v>-1.239842484235254E-8</v>
      </c>
      <c r="BN17" s="5">
        <f t="shared" si="14"/>
        <v>0</v>
      </c>
      <c r="BO17" s="5">
        <f t="shared" si="15"/>
        <v>0</v>
      </c>
      <c r="BP17" s="52">
        <f t="shared" si="16"/>
        <v>-1.239842484235254E-8</v>
      </c>
      <c r="BQ17" s="5">
        <f t="shared" si="17"/>
        <v>0</v>
      </c>
      <c r="BR17" s="5">
        <f t="shared" si="18"/>
        <v>0</v>
      </c>
      <c r="BS17" s="5">
        <f t="shared" si="19"/>
        <v>0</v>
      </c>
      <c r="BT17" s="5">
        <f t="shared" si="20"/>
        <v>0</v>
      </c>
      <c r="BU17" s="5">
        <f t="shared" si="21"/>
        <v>0</v>
      </c>
    </row>
    <row r="18" spans="2:73" x14ac:dyDescent="0.25">
      <c r="B18" s="62" t="s">
        <v>19</v>
      </c>
      <c r="C18" s="62" t="s">
        <v>82</v>
      </c>
      <c r="D18" s="62" t="s">
        <v>83</v>
      </c>
      <c r="E18" s="60">
        <v>40603</v>
      </c>
      <c r="F18" s="60">
        <v>40633</v>
      </c>
      <c r="G18" s="60">
        <v>40598</v>
      </c>
      <c r="H18" s="59">
        <v>45</v>
      </c>
      <c r="I18" s="63" t="s">
        <v>8</v>
      </c>
      <c r="J18" s="59">
        <v>10</v>
      </c>
      <c r="K18" s="59">
        <v>743</v>
      </c>
      <c r="L18" s="59">
        <v>3.57</v>
      </c>
      <c r="M18" s="59">
        <v>-26525.1</v>
      </c>
      <c r="N18" s="59">
        <v>0</v>
      </c>
      <c r="O18" s="59">
        <v>0</v>
      </c>
      <c r="P18" s="59">
        <v>0</v>
      </c>
      <c r="Q18" s="59">
        <v>0</v>
      </c>
      <c r="R18" s="59">
        <v>0</v>
      </c>
      <c r="S18" s="59">
        <v>0</v>
      </c>
      <c r="T18" s="59">
        <v>0</v>
      </c>
      <c r="U18" s="59">
        <v>0</v>
      </c>
      <c r="V18" s="59">
        <v>0</v>
      </c>
      <c r="W18" s="59">
        <v>2043.25</v>
      </c>
      <c r="X18" s="59">
        <v>-24481.85</v>
      </c>
      <c r="Y18" s="59">
        <v>0</v>
      </c>
      <c r="Z18" s="59">
        <v>-24481.85</v>
      </c>
      <c r="AA18" s="59">
        <v>-24481.85</v>
      </c>
      <c r="AB18" s="59">
        <v>0</v>
      </c>
      <c r="AC18" s="59">
        <v>-24481.85</v>
      </c>
      <c r="AD18" s="35"/>
      <c r="AE18" s="35"/>
      <c r="AF18" s="38">
        <v>1</v>
      </c>
      <c r="AG18" s="35">
        <v>1</v>
      </c>
      <c r="AH18" s="35">
        <f t="shared" si="22"/>
        <v>7430</v>
      </c>
      <c r="AI18" s="35">
        <v>1</v>
      </c>
      <c r="AJ18" s="35">
        <v>3.57</v>
      </c>
      <c r="AK18" s="35" t="str">
        <f t="shared" si="23"/>
        <v>ICE TTF-EURC Mar-11 24-FEB-11 45.00</v>
      </c>
      <c r="AL18" s="3" t="str">
        <f t="shared" si="0"/>
        <v>C</v>
      </c>
      <c r="AM18" s="3">
        <f t="shared" si="24"/>
        <v>0</v>
      </c>
      <c r="AN18" s="3">
        <f t="shared" si="25"/>
        <v>3.57</v>
      </c>
      <c r="AO18" s="3">
        <f t="shared" si="1"/>
        <v>0</v>
      </c>
      <c r="AP18" s="3">
        <f t="shared" si="2"/>
        <v>0</v>
      </c>
      <c r="AQ18" s="3">
        <f t="shared" si="3"/>
        <v>0</v>
      </c>
      <c r="AR18" s="3">
        <f t="shared" si="4"/>
        <v>0</v>
      </c>
      <c r="AS18" s="3">
        <f t="shared" si="5"/>
        <v>0</v>
      </c>
      <c r="AT18" s="67">
        <f t="shared" si="26"/>
        <v>-26525.1</v>
      </c>
      <c r="AU18" s="3">
        <f t="shared" si="27"/>
        <v>0</v>
      </c>
      <c r="AV18" s="3">
        <f t="shared" si="28"/>
        <v>0</v>
      </c>
      <c r="AW18" s="3">
        <f>(4.21-3.66)*5*K18</f>
        <v>2043.2499999999993</v>
      </c>
      <c r="AX18" s="3">
        <f t="shared" si="29"/>
        <v>-24481.85</v>
      </c>
      <c r="AY18" s="3">
        <f t="shared" si="30"/>
        <v>0</v>
      </c>
      <c r="AZ18" s="3">
        <f t="shared" si="31"/>
        <v>-24481.85</v>
      </c>
      <c r="BA18" s="3">
        <f t="shared" si="32"/>
        <v>-24481.85</v>
      </c>
      <c r="BB18" s="3">
        <f t="shared" si="33"/>
        <v>0</v>
      </c>
      <c r="BC18" s="3">
        <f t="shared" si="34"/>
        <v>-24481.85</v>
      </c>
      <c r="BD18" s="3">
        <f t="shared" si="35"/>
        <v>0</v>
      </c>
      <c r="BE18" s="41">
        <f t="shared" si="6"/>
        <v>0</v>
      </c>
      <c r="BF18" s="41">
        <f t="shared" si="36"/>
        <v>0</v>
      </c>
      <c r="BG18" s="5">
        <f t="shared" si="7"/>
        <v>0</v>
      </c>
      <c r="BH18" s="5">
        <f t="shared" si="8"/>
        <v>0</v>
      </c>
      <c r="BI18" s="5">
        <f t="shared" si="9"/>
        <v>0</v>
      </c>
      <c r="BJ18" s="5">
        <f t="shared" si="10"/>
        <v>0</v>
      </c>
      <c r="BK18" s="5">
        <f t="shared" si="11"/>
        <v>0</v>
      </c>
      <c r="BL18" s="5">
        <f t="shared" si="12"/>
        <v>0</v>
      </c>
      <c r="BM18" s="5">
        <f t="shared" si="13"/>
        <v>0</v>
      </c>
      <c r="BN18" s="5">
        <f t="shared" si="14"/>
        <v>0</v>
      </c>
      <c r="BO18" s="5">
        <f t="shared" si="15"/>
        <v>0</v>
      </c>
      <c r="BP18" s="5">
        <f t="shared" si="16"/>
        <v>0</v>
      </c>
      <c r="BQ18" s="5">
        <f t="shared" si="17"/>
        <v>0</v>
      </c>
      <c r="BR18" s="5">
        <f t="shared" si="18"/>
        <v>0</v>
      </c>
      <c r="BS18" s="5">
        <f t="shared" si="19"/>
        <v>0</v>
      </c>
      <c r="BT18" s="5">
        <f t="shared" si="20"/>
        <v>0</v>
      </c>
      <c r="BU18" s="5">
        <f t="shared" si="21"/>
        <v>0</v>
      </c>
    </row>
    <row r="19" spans="2:73" x14ac:dyDescent="0.25">
      <c r="B19" s="64" t="s">
        <v>19</v>
      </c>
      <c r="C19" s="64" t="s">
        <v>82</v>
      </c>
      <c r="D19" s="64" t="s">
        <v>84</v>
      </c>
      <c r="E19" s="65">
        <v>40603</v>
      </c>
      <c r="F19" s="65">
        <v>40633</v>
      </c>
      <c r="G19" s="65">
        <v>40598</v>
      </c>
      <c r="H19" s="64">
        <v>45</v>
      </c>
      <c r="I19" s="64" t="s">
        <v>8</v>
      </c>
      <c r="J19" s="64">
        <v>10</v>
      </c>
      <c r="K19" s="64">
        <v>743</v>
      </c>
      <c r="L19" s="64">
        <v>3.57</v>
      </c>
      <c r="M19" s="64">
        <v>-26525.1</v>
      </c>
      <c r="N19" s="64">
        <v>0</v>
      </c>
      <c r="O19" s="64">
        <v>0</v>
      </c>
      <c r="P19" s="64">
        <v>0</v>
      </c>
      <c r="Q19" s="64">
        <v>0</v>
      </c>
      <c r="R19" s="64">
        <v>0</v>
      </c>
      <c r="S19" s="64">
        <v>0</v>
      </c>
      <c r="T19" s="64">
        <v>0</v>
      </c>
      <c r="U19" s="64">
        <v>0</v>
      </c>
      <c r="V19" s="64">
        <v>0</v>
      </c>
      <c r="W19" s="64">
        <v>2043.25</v>
      </c>
      <c r="X19" s="64">
        <v>-24481.85</v>
      </c>
      <c r="Y19" s="64">
        <v>0</v>
      </c>
      <c r="Z19" s="64">
        <v>-24481.85</v>
      </c>
      <c r="AA19" s="64">
        <v>-24481.85</v>
      </c>
      <c r="AB19" s="64">
        <v>0</v>
      </c>
      <c r="AC19" s="64">
        <v>-24481.85</v>
      </c>
      <c r="AD19" s="35"/>
      <c r="AE19" s="35"/>
      <c r="AF19" s="38">
        <v>1</v>
      </c>
      <c r="AG19" s="35">
        <v>1</v>
      </c>
      <c r="AH19" s="35">
        <f t="shared" si="22"/>
        <v>7430</v>
      </c>
      <c r="AI19" s="35">
        <v>1</v>
      </c>
      <c r="AJ19" s="35">
        <v>3.57</v>
      </c>
      <c r="AK19" s="35" t="str">
        <f t="shared" si="23"/>
        <v>ICE TTF-EURP Mar-11 24-FEB-11 45.00</v>
      </c>
      <c r="AL19" s="3" t="str">
        <f t="shared" si="0"/>
        <v>P</v>
      </c>
      <c r="AM19" s="3">
        <f t="shared" si="24"/>
        <v>0</v>
      </c>
      <c r="AN19" s="3">
        <f t="shared" si="25"/>
        <v>3.57</v>
      </c>
      <c r="AO19" s="3">
        <f t="shared" si="1"/>
        <v>0</v>
      </c>
      <c r="AP19" s="3">
        <f t="shared" si="2"/>
        <v>0</v>
      </c>
      <c r="AQ19" s="3">
        <f t="shared" si="3"/>
        <v>0</v>
      </c>
      <c r="AR19" s="3">
        <f t="shared" si="4"/>
        <v>0</v>
      </c>
      <c r="AS19" s="3">
        <f t="shared" si="5"/>
        <v>0</v>
      </c>
      <c r="AT19" s="67">
        <f t="shared" si="26"/>
        <v>-26525.1</v>
      </c>
      <c r="AU19" s="3">
        <f t="shared" si="27"/>
        <v>0</v>
      </c>
      <c r="AV19" s="3">
        <f t="shared" si="28"/>
        <v>0</v>
      </c>
      <c r="AW19" s="3">
        <f>(4.21-3.66)*5*K19</f>
        <v>2043.2499999999993</v>
      </c>
      <c r="AX19" s="3">
        <f>AT19+AW19</f>
        <v>-24481.85</v>
      </c>
      <c r="AY19" s="3">
        <f>AV19</f>
        <v>0</v>
      </c>
      <c r="AZ19" s="3">
        <f>AX19+AY19</f>
        <v>-24481.85</v>
      </c>
      <c r="BA19" s="3">
        <f>AW19+AT19</f>
        <v>-24481.85</v>
      </c>
      <c r="BB19" s="3">
        <f>AV19</f>
        <v>0</v>
      </c>
      <c r="BC19" s="3">
        <f>BA19+BB19</f>
        <v>-24481.85</v>
      </c>
      <c r="BD19" s="3">
        <f t="shared" si="35"/>
        <v>0</v>
      </c>
      <c r="BE19" s="41">
        <f t="shared" si="6"/>
        <v>0</v>
      </c>
      <c r="BF19" s="41">
        <f t="shared" si="36"/>
        <v>0</v>
      </c>
      <c r="BG19" s="5">
        <f t="shared" si="7"/>
        <v>0</v>
      </c>
      <c r="BH19" s="5">
        <f t="shared" si="8"/>
        <v>0</v>
      </c>
      <c r="BI19" s="5">
        <f t="shared" si="9"/>
        <v>0</v>
      </c>
      <c r="BJ19" s="5">
        <f t="shared" si="10"/>
        <v>0</v>
      </c>
      <c r="BK19" s="5">
        <f t="shared" si="11"/>
        <v>0</v>
      </c>
      <c r="BL19" s="5">
        <f t="shared" si="12"/>
        <v>0</v>
      </c>
      <c r="BM19" s="5">
        <f t="shared" si="13"/>
        <v>0</v>
      </c>
      <c r="BN19" s="5">
        <f t="shared" si="14"/>
        <v>0</v>
      </c>
      <c r="BO19" s="5">
        <f t="shared" si="15"/>
        <v>0</v>
      </c>
      <c r="BP19" s="5">
        <f t="shared" si="16"/>
        <v>0</v>
      </c>
      <c r="BQ19" s="5">
        <f t="shared" si="17"/>
        <v>0</v>
      </c>
      <c r="BR19" s="5">
        <f t="shared" si="18"/>
        <v>0</v>
      </c>
      <c r="BS19" s="5">
        <f t="shared" si="19"/>
        <v>0</v>
      </c>
      <c r="BT19" s="5">
        <f t="shared" si="20"/>
        <v>0</v>
      </c>
      <c r="BU19" s="5">
        <f t="shared" si="21"/>
        <v>0</v>
      </c>
    </row>
    <row r="20" spans="2:73" x14ac:dyDescent="0.25">
      <c r="B20" s="64" t="s">
        <v>150</v>
      </c>
      <c r="C20" s="64" t="s">
        <v>155</v>
      </c>
      <c r="D20" s="64" t="s">
        <v>84</v>
      </c>
      <c r="E20" s="65">
        <v>40603</v>
      </c>
      <c r="F20" s="65">
        <v>40633</v>
      </c>
      <c r="G20" s="65">
        <v>40598</v>
      </c>
      <c r="H20" s="64">
        <v>45</v>
      </c>
      <c r="I20" s="64" t="s">
        <v>8</v>
      </c>
      <c r="J20" s="64">
        <v>1000000</v>
      </c>
      <c r="K20" s="64">
        <v>743</v>
      </c>
      <c r="L20" s="64">
        <v>4.0589296253043603</v>
      </c>
      <c r="M20" s="64">
        <v>-1258268.1845239899</v>
      </c>
      <c r="N20" s="64">
        <v>0</v>
      </c>
      <c r="O20" s="64">
        <v>0</v>
      </c>
      <c r="P20" s="64">
        <v>0</v>
      </c>
      <c r="Q20" s="64">
        <v>0</v>
      </c>
      <c r="R20" s="64">
        <v>0</v>
      </c>
      <c r="S20" s="64">
        <v>0</v>
      </c>
      <c r="T20" s="64">
        <v>0</v>
      </c>
      <c r="U20" s="64">
        <v>0</v>
      </c>
      <c r="V20" s="64">
        <v>0</v>
      </c>
      <c r="W20" s="64">
        <v>0</v>
      </c>
      <c r="X20" s="64">
        <v>-1258268.1845239899</v>
      </c>
      <c r="Y20" s="64">
        <v>0</v>
      </c>
      <c r="Z20" s="64">
        <v>-1258268.1845239899</v>
      </c>
      <c r="AA20" s="64">
        <v>-1258268.1845239899</v>
      </c>
      <c r="AB20" s="64">
        <v>0</v>
      </c>
      <c r="AC20" s="64">
        <v>-1258268.1845239899</v>
      </c>
      <c r="AD20" s="35"/>
      <c r="AE20" s="35"/>
      <c r="AF20" s="35">
        <v>1.1369550771160699</v>
      </c>
      <c r="AG20" s="82">
        <v>1.1369076246774601</v>
      </c>
      <c r="AH20" s="35">
        <f>J20*31</f>
        <v>31000000</v>
      </c>
      <c r="AI20" s="35">
        <v>0.01</v>
      </c>
      <c r="AJ20" s="35">
        <v>3.57</v>
      </c>
      <c r="AK20" s="35" t="str">
        <f t="shared" si="23"/>
        <v>ICE NBP-EURP Mar-11 24-FEB-11 45.00</v>
      </c>
      <c r="AL20" s="3" t="str">
        <f t="shared" si="0"/>
        <v>P</v>
      </c>
      <c r="AM20" s="3">
        <f t="shared" si="24"/>
        <v>0</v>
      </c>
      <c r="AN20" s="3">
        <f t="shared" si="25"/>
        <v>4.0589296253043692</v>
      </c>
      <c r="AO20" s="3">
        <f t="shared" si="1"/>
        <v>0</v>
      </c>
      <c r="AP20" s="3">
        <f t="shared" si="2"/>
        <v>0</v>
      </c>
      <c r="AQ20" s="3">
        <f t="shared" si="3"/>
        <v>0</v>
      </c>
      <c r="AR20" s="3">
        <f t="shared" si="4"/>
        <v>0</v>
      </c>
      <c r="AS20" s="3">
        <f t="shared" si="5"/>
        <v>0</v>
      </c>
      <c r="AT20" s="67">
        <f t="shared" si="26"/>
        <v>-1258268.1838443545</v>
      </c>
      <c r="AU20" s="3">
        <f t="shared" si="27"/>
        <v>0</v>
      </c>
      <c r="AV20" s="3">
        <f t="shared" si="28"/>
        <v>0</v>
      </c>
      <c r="AW20" s="3"/>
      <c r="AX20" s="3">
        <f t="shared" ref="AX20:AX24" si="37">AT20+AW20</f>
        <v>-1258268.1838443545</v>
      </c>
      <c r="AY20" s="3">
        <f t="shared" ref="AY20:AY24" si="38">AV20</f>
        <v>0</v>
      </c>
      <c r="AZ20" s="3">
        <f t="shared" ref="AZ20:AZ24" si="39">AX20+AY20</f>
        <v>-1258268.1838443545</v>
      </c>
      <c r="BA20" s="3">
        <f t="shared" ref="BA20:BA24" si="40">AW20+AT20</f>
        <v>-1258268.1838443545</v>
      </c>
      <c r="BB20" s="3">
        <f t="shared" ref="BB20:BB24" si="41">AV20</f>
        <v>0</v>
      </c>
      <c r="BC20" s="3">
        <f t="shared" ref="BC20:BC24" si="42">BA20+BB20</f>
        <v>-1258268.1838443545</v>
      </c>
      <c r="BD20" s="3">
        <f t="shared" si="35"/>
        <v>0</v>
      </c>
      <c r="BE20" s="41">
        <f t="shared" si="6"/>
        <v>0</v>
      </c>
      <c r="BF20" s="41">
        <f t="shared" si="36"/>
        <v>0</v>
      </c>
      <c r="BG20" s="5">
        <f t="shared" si="7"/>
        <v>0</v>
      </c>
      <c r="BH20" s="5">
        <f t="shared" si="8"/>
        <v>0</v>
      </c>
      <c r="BI20" s="5">
        <f t="shared" si="9"/>
        <v>0</v>
      </c>
      <c r="BJ20" s="5">
        <f t="shared" si="10"/>
        <v>0</v>
      </c>
      <c r="BK20" s="5">
        <f t="shared" si="11"/>
        <v>0</v>
      </c>
      <c r="BL20" s="5">
        <f t="shared" si="12"/>
        <v>0</v>
      </c>
      <c r="BM20" s="5">
        <f t="shared" si="13"/>
        <v>0</v>
      </c>
      <c r="BN20" s="5">
        <f t="shared" si="14"/>
        <v>0</v>
      </c>
      <c r="BO20" s="5">
        <f t="shared" si="15"/>
        <v>0</v>
      </c>
      <c r="BP20" s="5">
        <f t="shared" si="16"/>
        <v>0</v>
      </c>
      <c r="BQ20" s="5">
        <f t="shared" si="17"/>
        <v>0</v>
      </c>
      <c r="BR20" s="5">
        <f t="shared" si="18"/>
        <v>0</v>
      </c>
      <c r="BS20" s="5">
        <f t="shared" si="19"/>
        <v>0</v>
      </c>
      <c r="BT20" s="5">
        <f t="shared" si="20"/>
        <v>0</v>
      </c>
      <c r="BU20" s="5">
        <f t="shared" si="21"/>
        <v>0</v>
      </c>
    </row>
    <row r="21" spans="2:73" x14ac:dyDescent="0.25">
      <c r="B21" s="64" t="s">
        <v>19</v>
      </c>
      <c r="C21" s="64" t="s">
        <v>156</v>
      </c>
      <c r="D21" s="64" t="s">
        <v>157</v>
      </c>
      <c r="E21" s="65">
        <v>40634</v>
      </c>
      <c r="F21" s="65">
        <v>40663</v>
      </c>
      <c r="G21" s="65">
        <v>40627</v>
      </c>
      <c r="H21" s="64">
        <v>45</v>
      </c>
      <c r="I21" s="64" t="s">
        <v>8</v>
      </c>
      <c r="J21" s="64">
        <v>0</v>
      </c>
      <c r="K21" s="64">
        <v>720</v>
      </c>
      <c r="L21" s="64">
        <v>0</v>
      </c>
      <c r="M21" s="64">
        <v>0</v>
      </c>
      <c r="N21" s="64">
        <v>0</v>
      </c>
      <c r="O21" s="64">
        <v>0</v>
      </c>
      <c r="P21" s="64">
        <v>0</v>
      </c>
      <c r="Q21" s="64">
        <v>0</v>
      </c>
      <c r="R21" s="64">
        <v>0</v>
      </c>
      <c r="S21" s="64">
        <v>0</v>
      </c>
      <c r="T21" s="64">
        <v>0</v>
      </c>
      <c r="U21" s="64">
        <v>0</v>
      </c>
      <c r="V21" s="64">
        <v>0</v>
      </c>
      <c r="W21" s="64">
        <v>7200</v>
      </c>
      <c r="X21" s="64">
        <v>7200</v>
      </c>
      <c r="Y21" s="64">
        <v>0</v>
      </c>
      <c r="Z21" s="64">
        <v>7200</v>
      </c>
      <c r="AA21" s="64">
        <v>7200</v>
      </c>
      <c r="AB21" s="64">
        <v>0</v>
      </c>
      <c r="AC21" s="64">
        <v>7200</v>
      </c>
      <c r="AD21" s="35"/>
      <c r="AE21" s="35"/>
      <c r="AF21" s="38">
        <v>1</v>
      </c>
      <c r="AG21" s="35">
        <v>1</v>
      </c>
      <c r="AH21" s="35">
        <f t="shared" si="22"/>
        <v>0</v>
      </c>
      <c r="AI21" s="35">
        <v>1</v>
      </c>
      <c r="AJ21" s="35">
        <v>0</v>
      </c>
      <c r="AK21" s="35" t="str">
        <f t="shared" si="23"/>
        <v>ICE TTF-EURP Apr-11 25-MAR-11 45.00</v>
      </c>
      <c r="AL21" s="3" t="str">
        <f t="shared" si="0"/>
        <v>P</v>
      </c>
      <c r="AM21" s="3">
        <f t="shared" si="24"/>
        <v>0</v>
      </c>
      <c r="AN21" s="3">
        <f t="shared" si="25"/>
        <v>0</v>
      </c>
      <c r="AO21" s="3">
        <f t="shared" si="1"/>
        <v>0</v>
      </c>
      <c r="AP21" s="3">
        <f t="shared" si="2"/>
        <v>0</v>
      </c>
      <c r="AQ21" s="3">
        <f t="shared" si="3"/>
        <v>0</v>
      </c>
      <c r="AR21" s="3">
        <f t="shared" si="4"/>
        <v>0</v>
      </c>
      <c r="AS21" s="3">
        <f t="shared" si="5"/>
        <v>0</v>
      </c>
      <c r="AT21" s="67">
        <f t="shared" si="26"/>
        <v>0</v>
      </c>
      <c r="AU21" s="3">
        <f t="shared" si="27"/>
        <v>0</v>
      </c>
      <c r="AV21" s="3">
        <f t="shared" si="28"/>
        <v>0</v>
      </c>
      <c r="AW21" s="3">
        <f>1*10*720</f>
        <v>7200</v>
      </c>
      <c r="AX21" s="3">
        <f t="shared" si="37"/>
        <v>7200</v>
      </c>
      <c r="AY21" s="3">
        <f t="shared" si="38"/>
        <v>0</v>
      </c>
      <c r="AZ21" s="3">
        <f t="shared" si="39"/>
        <v>7200</v>
      </c>
      <c r="BA21" s="3">
        <f t="shared" si="40"/>
        <v>7200</v>
      </c>
      <c r="BB21" s="3">
        <f t="shared" si="41"/>
        <v>0</v>
      </c>
      <c r="BC21" s="3">
        <f t="shared" si="42"/>
        <v>7200</v>
      </c>
      <c r="BD21" s="3">
        <f t="shared" si="35"/>
        <v>0</v>
      </c>
      <c r="BE21" s="41">
        <f t="shared" si="6"/>
        <v>0</v>
      </c>
      <c r="BF21" s="41">
        <f t="shared" si="36"/>
        <v>0</v>
      </c>
      <c r="BG21" s="5">
        <f t="shared" si="7"/>
        <v>0</v>
      </c>
      <c r="BH21" s="5">
        <f t="shared" si="8"/>
        <v>0</v>
      </c>
      <c r="BI21" s="5">
        <f t="shared" si="9"/>
        <v>0</v>
      </c>
      <c r="BJ21" s="5">
        <f t="shared" si="10"/>
        <v>0</v>
      </c>
      <c r="BK21" s="5">
        <f t="shared" si="11"/>
        <v>0</v>
      </c>
      <c r="BL21" s="5">
        <f t="shared" si="12"/>
        <v>0</v>
      </c>
      <c r="BM21" s="5">
        <f t="shared" si="13"/>
        <v>0</v>
      </c>
      <c r="BN21" s="5">
        <f t="shared" si="14"/>
        <v>0</v>
      </c>
      <c r="BO21" s="5">
        <f t="shared" si="15"/>
        <v>0</v>
      </c>
      <c r="BP21" s="5">
        <f t="shared" si="16"/>
        <v>0</v>
      </c>
      <c r="BQ21" s="5">
        <f t="shared" si="17"/>
        <v>0</v>
      </c>
      <c r="BR21" s="5">
        <f t="shared" si="18"/>
        <v>0</v>
      </c>
      <c r="BS21" s="5">
        <f t="shared" si="19"/>
        <v>0</v>
      </c>
      <c r="BT21" s="5">
        <f t="shared" si="20"/>
        <v>0</v>
      </c>
      <c r="BU21" s="5">
        <f t="shared" si="21"/>
        <v>0</v>
      </c>
    </row>
    <row r="22" spans="2:73" x14ac:dyDescent="0.25">
      <c r="B22" s="64" t="s">
        <v>150</v>
      </c>
      <c r="C22" s="64" t="s">
        <v>158</v>
      </c>
      <c r="D22" s="64" t="s">
        <v>159</v>
      </c>
      <c r="E22" s="65">
        <v>40634</v>
      </c>
      <c r="F22" s="65">
        <v>40663</v>
      </c>
      <c r="G22" s="65">
        <v>40627</v>
      </c>
      <c r="H22" s="64">
        <v>45</v>
      </c>
      <c r="I22" s="64" t="s">
        <v>8</v>
      </c>
      <c r="J22" s="64">
        <v>0</v>
      </c>
      <c r="K22" s="64">
        <v>720</v>
      </c>
      <c r="L22" s="64">
        <v>0</v>
      </c>
      <c r="M22" s="64">
        <v>0</v>
      </c>
      <c r="N22" s="64">
        <v>0</v>
      </c>
      <c r="O22" s="64">
        <v>0</v>
      </c>
      <c r="P22" s="64">
        <v>0</v>
      </c>
      <c r="Q22" s="64">
        <v>0</v>
      </c>
      <c r="R22" s="64">
        <v>0</v>
      </c>
      <c r="S22" s="64">
        <v>0</v>
      </c>
      <c r="T22" s="64">
        <v>0</v>
      </c>
      <c r="U22" s="64">
        <v>0</v>
      </c>
      <c r="V22" s="64">
        <v>0</v>
      </c>
      <c r="W22" s="64">
        <v>341086.52313481999</v>
      </c>
      <c r="X22" s="64">
        <v>341086.52313481999</v>
      </c>
      <c r="Y22" s="64">
        <v>0</v>
      </c>
      <c r="Z22" s="64">
        <v>341086.52313481999</v>
      </c>
      <c r="AA22" s="64">
        <v>341086.52313481999</v>
      </c>
      <c r="AB22" s="64">
        <v>0</v>
      </c>
      <c r="AC22" s="64">
        <v>341086.52313481999</v>
      </c>
      <c r="AD22" s="35"/>
      <c r="AE22" s="35"/>
      <c r="AF22" s="35">
        <v>1.1369550771160699</v>
      </c>
      <c r="AG22" s="82">
        <v>1.1369076246774601</v>
      </c>
      <c r="AH22" s="35">
        <f t="shared" si="22"/>
        <v>0</v>
      </c>
      <c r="AI22" s="35">
        <v>0.01</v>
      </c>
      <c r="AJ22" s="35">
        <v>0</v>
      </c>
      <c r="AK22" s="35" t="str">
        <f t="shared" si="23"/>
        <v>ICE NBP-EURC Apr-11 25-MAR-11 45.00</v>
      </c>
      <c r="AL22" s="3" t="str">
        <f t="shared" si="0"/>
        <v>C</v>
      </c>
      <c r="AM22" s="3">
        <f t="shared" si="24"/>
        <v>0</v>
      </c>
      <c r="AN22" s="3">
        <f t="shared" si="25"/>
        <v>0</v>
      </c>
      <c r="AO22" s="3">
        <f t="shared" si="1"/>
        <v>0</v>
      </c>
      <c r="AP22" s="3">
        <f t="shared" si="2"/>
        <v>0</v>
      </c>
      <c r="AQ22" s="3">
        <f t="shared" si="3"/>
        <v>0</v>
      </c>
      <c r="AR22" s="3">
        <f t="shared" si="4"/>
        <v>0</v>
      </c>
      <c r="AS22" s="3">
        <f t="shared" si="5"/>
        <v>0</v>
      </c>
      <c r="AT22" s="67">
        <f t="shared" si="26"/>
        <v>0</v>
      </c>
      <c r="AU22" s="3">
        <f t="shared" si="27"/>
        <v>0</v>
      </c>
      <c r="AV22" s="3">
        <f t="shared" si="28"/>
        <v>0</v>
      </c>
      <c r="AW22" s="3">
        <f>1*1000000*30*AF22/100</f>
        <v>341086.52313482098</v>
      </c>
      <c r="AX22" s="3">
        <f t="shared" si="37"/>
        <v>341086.52313482098</v>
      </c>
      <c r="AY22" s="3">
        <f t="shared" si="38"/>
        <v>0</v>
      </c>
      <c r="AZ22" s="3">
        <f t="shared" si="39"/>
        <v>341086.52313482098</v>
      </c>
      <c r="BA22" s="3">
        <f t="shared" si="40"/>
        <v>341086.52313482098</v>
      </c>
      <c r="BB22" s="3">
        <f t="shared" si="41"/>
        <v>0</v>
      </c>
      <c r="BC22" s="3">
        <f t="shared" si="42"/>
        <v>341086.52313482098</v>
      </c>
      <c r="BD22" s="3">
        <f t="shared" si="35"/>
        <v>0</v>
      </c>
      <c r="BE22" s="41">
        <f t="shared" si="6"/>
        <v>0</v>
      </c>
      <c r="BF22" s="41">
        <f t="shared" si="36"/>
        <v>0</v>
      </c>
      <c r="BG22" s="5">
        <f t="shared" si="7"/>
        <v>0</v>
      </c>
      <c r="BH22" s="5">
        <f t="shared" si="8"/>
        <v>0</v>
      </c>
      <c r="BI22" s="5">
        <f t="shared" si="9"/>
        <v>0</v>
      </c>
      <c r="BJ22" s="5">
        <f t="shared" si="10"/>
        <v>0</v>
      </c>
      <c r="BK22" s="5">
        <f t="shared" si="11"/>
        <v>0</v>
      </c>
      <c r="BL22" s="5">
        <f t="shared" si="12"/>
        <v>0</v>
      </c>
      <c r="BM22" s="5">
        <f t="shared" si="13"/>
        <v>0</v>
      </c>
      <c r="BN22" s="5">
        <f t="shared" si="14"/>
        <v>0</v>
      </c>
      <c r="BO22" s="5">
        <f t="shared" si="15"/>
        <v>0</v>
      </c>
      <c r="BP22" s="5">
        <f t="shared" si="16"/>
        <v>0</v>
      </c>
      <c r="BQ22" s="5">
        <f t="shared" si="17"/>
        <v>0</v>
      </c>
      <c r="BR22" s="5">
        <f t="shared" si="18"/>
        <v>0</v>
      </c>
      <c r="BS22" s="5">
        <f t="shared" si="19"/>
        <v>0</v>
      </c>
      <c r="BT22" s="5">
        <f t="shared" si="20"/>
        <v>0</v>
      </c>
      <c r="BU22" s="5">
        <f t="shared" si="21"/>
        <v>0</v>
      </c>
    </row>
    <row r="23" spans="2:73" x14ac:dyDescent="0.25">
      <c r="B23" s="64" t="s">
        <v>19</v>
      </c>
      <c r="C23" s="64" t="s">
        <v>23</v>
      </c>
      <c r="D23" s="64" t="s">
        <v>24</v>
      </c>
      <c r="E23" s="65">
        <v>40848</v>
      </c>
      <c r="F23" s="65">
        <v>40877</v>
      </c>
      <c r="G23" s="65">
        <v>40843</v>
      </c>
      <c r="H23" s="64">
        <v>45</v>
      </c>
      <c r="I23" s="64" t="s">
        <v>8</v>
      </c>
      <c r="J23" s="64">
        <v>10</v>
      </c>
      <c r="K23" s="64">
        <v>720</v>
      </c>
      <c r="L23" s="64">
        <v>3.57</v>
      </c>
      <c r="M23" s="64">
        <v>-25704</v>
      </c>
      <c r="N23" s="64">
        <v>0</v>
      </c>
      <c r="O23" s="64">
        <v>0</v>
      </c>
      <c r="P23" s="64">
        <v>0</v>
      </c>
      <c r="Q23" s="64">
        <v>0</v>
      </c>
      <c r="R23" s="64">
        <v>0</v>
      </c>
      <c r="S23" s="64">
        <v>0</v>
      </c>
      <c r="T23" s="64">
        <v>0</v>
      </c>
      <c r="U23" s="64">
        <v>0</v>
      </c>
      <c r="V23" s="64">
        <v>0</v>
      </c>
      <c r="W23" s="64">
        <v>1980</v>
      </c>
      <c r="X23" s="64">
        <v>-23724</v>
      </c>
      <c r="Y23" s="64">
        <v>0</v>
      </c>
      <c r="Z23" s="64">
        <v>-23724</v>
      </c>
      <c r="AA23" s="64">
        <v>-23724</v>
      </c>
      <c r="AB23" s="64">
        <v>0</v>
      </c>
      <c r="AC23" s="64">
        <v>-23724</v>
      </c>
      <c r="AD23" s="35"/>
      <c r="AE23" s="35"/>
      <c r="AF23" s="38">
        <v>1</v>
      </c>
      <c r="AG23" s="35">
        <v>1</v>
      </c>
      <c r="AH23" s="35">
        <f t="shared" si="22"/>
        <v>7200</v>
      </c>
      <c r="AI23" s="35">
        <v>1</v>
      </c>
      <c r="AJ23" s="35">
        <v>3.57</v>
      </c>
      <c r="AK23" s="35" t="str">
        <f t="shared" si="23"/>
        <v>ICE TTF-EURC Nov-11 27-OCT-11 45.00</v>
      </c>
      <c r="AL23" s="3" t="str">
        <f t="shared" si="0"/>
        <v>C</v>
      </c>
      <c r="AM23" s="3">
        <f t="shared" si="24"/>
        <v>0</v>
      </c>
      <c r="AN23" s="3">
        <f t="shared" si="25"/>
        <v>3.57</v>
      </c>
      <c r="AO23" s="3">
        <f t="shared" si="1"/>
        <v>0</v>
      </c>
      <c r="AP23" s="3">
        <f t="shared" si="2"/>
        <v>0</v>
      </c>
      <c r="AQ23" s="3">
        <f t="shared" si="3"/>
        <v>0</v>
      </c>
      <c r="AR23" s="3">
        <f t="shared" si="4"/>
        <v>0</v>
      </c>
      <c r="AS23" s="3">
        <f t="shared" si="5"/>
        <v>0</v>
      </c>
      <c r="AT23" s="67">
        <f t="shared" si="26"/>
        <v>-25704</v>
      </c>
      <c r="AU23" s="3">
        <f t="shared" si="27"/>
        <v>0</v>
      </c>
      <c r="AV23" s="3">
        <f t="shared" si="28"/>
        <v>0</v>
      </c>
      <c r="AW23" s="3">
        <f>(4.21-3.66)*5*K23</f>
        <v>1979.9999999999993</v>
      </c>
      <c r="AX23" s="3">
        <f t="shared" si="37"/>
        <v>-23724</v>
      </c>
      <c r="AY23" s="3">
        <f t="shared" si="38"/>
        <v>0</v>
      </c>
      <c r="AZ23" s="3">
        <f t="shared" si="39"/>
        <v>-23724</v>
      </c>
      <c r="BA23" s="3">
        <f t="shared" si="40"/>
        <v>-23724</v>
      </c>
      <c r="BB23" s="3">
        <f t="shared" si="41"/>
        <v>0</v>
      </c>
      <c r="BC23" s="3">
        <f t="shared" si="42"/>
        <v>-23724</v>
      </c>
      <c r="BD23" s="3">
        <f t="shared" si="35"/>
        <v>0</v>
      </c>
      <c r="BE23" s="41">
        <f t="shared" si="6"/>
        <v>0</v>
      </c>
      <c r="BF23" s="41">
        <f t="shared" si="36"/>
        <v>0</v>
      </c>
      <c r="BG23" s="5">
        <f t="shared" si="7"/>
        <v>0</v>
      </c>
      <c r="BH23" s="5">
        <f t="shared" si="8"/>
        <v>0</v>
      </c>
      <c r="BI23" s="5">
        <f t="shared" si="9"/>
        <v>0</v>
      </c>
      <c r="BJ23" s="5">
        <f t="shared" si="10"/>
        <v>0</v>
      </c>
      <c r="BK23" s="5">
        <f t="shared" si="11"/>
        <v>0</v>
      </c>
      <c r="BL23" s="5">
        <f t="shared" si="12"/>
        <v>0</v>
      </c>
      <c r="BM23" s="5">
        <f t="shared" si="13"/>
        <v>0</v>
      </c>
      <c r="BN23" s="5">
        <f t="shared" si="14"/>
        <v>0</v>
      </c>
      <c r="BO23" s="5">
        <f t="shared" si="15"/>
        <v>0</v>
      </c>
      <c r="BP23" s="5">
        <f t="shared" si="16"/>
        <v>0</v>
      </c>
      <c r="BQ23" s="5">
        <f t="shared" si="17"/>
        <v>0</v>
      </c>
      <c r="BR23" s="5">
        <f t="shared" si="18"/>
        <v>0</v>
      </c>
      <c r="BS23" s="5">
        <f t="shared" si="19"/>
        <v>0</v>
      </c>
      <c r="BT23" s="5">
        <f t="shared" si="20"/>
        <v>0</v>
      </c>
      <c r="BU23" s="5">
        <f t="shared" si="21"/>
        <v>0</v>
      </c>
    </row>
    <row r="24" spans="2:73" x14ac:dyDescent="0.25">
      <c r="B24" s="64" t="s">
        <v>19</v>
      </c>
      <c r="C24" s="64" t="s">
        <v>23</v>
      </c>
      <c r="D24" s="64" t="s">
        <v>25</v>
      </c>
      <c r="E24" s="65">
        <v>40848</v>
      </c>
      <c r="F24" s="65">
        <v>40877</v>
      </c>
      <c r="G24" s="65">
        <v>40843</v>
      </c>
      <c r="H24" s="64">
        <v>45</v>
      </c>
      <c r="I24" s="64" t="s">
        <v>8</v>
      </c>
      <c r="J24" s="64">
        <v>10</v>
      </c>
      <c r="K24" s="64">
        <v>720</v>
      </c>
      <c r="L24" s="64">
        <v>3.57</v>
      </c>
      <c r="M24" s="64">
        <v>-25704</v>
      </c>
      <c r="N24" s="64">
        <v>0</v>
      </c>
      <c r="O24" s="64">
        <v>0</v>
      </c>
      <c r="P24" s="64">
        <v>0</v>
      </c>
      <c r="Q24" s="64">
        <v>0</v>
      </c>
      <c r="R24" s="64">
        <v>0</v>
      </c>
      <c r="S24" s="64">
        <v>0</v>
      </c>
      <c r="T24" s="64">
        <v>0</v>
      </c>
      <c r="U24" s="64">
        <v>0</v>
      </c>
      <c r="V24" s="64">
        <v>0</v>
      </c>
      <c r="W24" s="64">
        <v>1980</v>
      </c>
      <c r="X24" s="64">
        <v>-23724</v>
      </c>
      <c r="Y24" s="64">
        <v>0</v>
      </c>
      <c r="Z24" s="64">
        <v>-23724</v>
      </c>
      <c r="AA24" s="64">
        <v>-23724</v>
      </c>
      <c r="AB24" s="64">
        <v>0</v>
      </c>
      <c r="AC24" s="64">
        <v>-23724</v>
      </c>
      <c r="AD24" s="35"/>
      <c r="AE24" s="35"/>
      <c r="AF24" s="38">
        <v>1</v>
      </c>
      <c r="AG24" s="35">
        <v>1</v>
      </c>
      <c r="AH24" s="35">
        <f t="shared" si="22"/>
        <v>7200</v>
      </c>
      <c r="AI24" s="35">
        <v>1</v>
      </c>
      <c r="AJ24" s="35">
        <v>3.57</v>
      </c>
      <c r="AK24" s="35" t="str">
        <f t="shared" si="23"/>
        <v>ICE TTF-EURP Nov-11 27-OCT-11 45.00</v>
      </c>
      <c r="AL24" s="3" t="str">
        <f t="shared" si="0"/>
        <v>P</v>
      </c>
      <c r="AM24" s="3">
        <f t="shared" si="24"/>
        <v>0</v>
      </c>
      <c r="AN24" s="3">
        <f t="shared" si="25"/>
        <v>3.57</v>
      </c>
      <c r="AO24" s="3">
        <f t="shared" si="1"/>
        <v>0</v>
      </c>
      <c r="AP24" s="3">
        <f t="shared" si="2"/>
        <v>0</v>
      </c>
      <c r="AQ24" s="3">
        <f t="shared" si="3"/>
        <v>0</v>
      </c>
      <c r="AR24" s="3">
        <f t="shared" si="4"/>
        <v>0</v>
      </c>
      <c r="AS24" s="3">
        <f t="shared" si="5"/>
        <v>0</v>
      </c>
      <c r="AT24" s="67">
        <f t="shared" si="26"/>
        <v>-25704</v>
      </c>
      <c r="AU24" s="3">
        <f t="shared" si="27"/>
        <v>0</v>
      </c>
      <c r="AV24" s="3">
        <f t="shared" si="28"/>
        <v>0</v>
      </c>
      <c r="AW24" s="3">
        <f>(4.21-3.66)*5*K24</f>
        <v>1979.9999999999993</v>
      </c>
      <c r="AX24" s="3">
        <f t="shared" si="37"/>
        <v>-23724</v>
      </c>
      <c r="AY24" s="3">
        <f t="shared" si="38"/>
        <v>0</v>
      </c>
      <c r="AZ24" s="3">
        <f t="shared" si="39"/>
        <v>-23724</v>
      </c>
      <c r="BA24" s="3">
        <f t="shared" si="40"/>
        <v>-23724</v>
      </c>
      <c r="BB24" s="3">
        <f t="shared" si="41"/>
        <v>0</v>
      </c>
      <c r="BC24" s="3">
        <f t="shared" si="42"/>
        <v>-23724</v>
      </c>
      <c r="BD24" s="3">
        <f t="shared" si="35"/>
        <v>0</v>
      </c>
      <c r="BE24" s="41">
        <f t="shared" si="6"/>
        <v>0</v>
      </c>
      <c r="BF24" s="41">
        <f t="shared" si="36"/>
        <v>0</v>
      </c>
      <c r="BG24" s="5">
        <f t="shared" si="7"/>
        <v>0</v>
      </c>
      <c r="BH24" s="5">
        <f t="shared" si="8"/>
        <v>0</v>
      </c>
      <c r="BI24" s="5">
        <f t="shared" si="9"/>
        <v>0</v>
      </c>
      <c r="BJ24" s="5">
        <f t="shared" si="10"/>
        <v>0</v>
      </c>
      <c r="BK24" s="5">
        <f t="shared" si="11"/>
        <v>0</v>
      </c>
      <c r="BL24" s="5">
        <f t="shared" si="12"/>
        <v>0</v>
      </c>
      <c r="BM24" s="5">
        <f t="shared" si="13"/>
        <v>0</v>
      </c>
      <c r="BN24" s="5">
        <f t="shared" si="14"/>
        <v>0</v>
      </c>
      <c r="BO24" s="5">
        <f t="shared" si="15"/>
        <v>0</v>
      </c>
      <c r="BP24" s="5">
        <f t="shared" si="16"/>
        <v>0</v>
      </c>
      <c r="BQ24" s="5">
        <f t="shared" si="17"/>
        <v>0</v>
      </c>
      <c r="BR24" s="5">
        <f t="shared" si="18"/>
        <v>0</v>
      </c>
      <c r="BS24" s="5">
        <f t="shared" si="19"/>
        <v>0</v>
      </c>
      <c r="BT24" s="5">
        <f t="shared" si="20"/>
        <v>0</v>
      </c>
      <c r="BU24" s="5">
        <f t="shared" si="21"/>
        <v>0</v>
      </c>
    </row>
    <row r="26" spans="2:73" ht="15.75" customHeight="1" x14ac:dyDescent="0.25"/>
    <row r="29" spans="2:73" ht="15" customHeight="1" x14ac:dyDescent="0.25"/>
    <row r="30" spans="2:73" x14ac:dyDescent="0.25">
      <c r="AD30" s="68"/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B2:BU30"/>
  <sheetViews>
    <sheetView topLeftCell="AI1" workbookViewId="0">
      <selection activeCell="BD13" sqref="BD13:BD24"/>
    </sheetView>
  </sheetViews>
  <sheetFormatPr baseColWidth="10" defaultColWidth="11.42578125" defaultRowHeight="15" x14ac:dyDescent="0.25"/>
  <cols>
    <col min="1" max="1" width="11.42578125" style="82"/>
    <col min="2" max="3" width="15.140625" style="82" bestFit="1" customWidth="1"/>
    <col min="4" max="4" width="27.42578125" style="82" bestFit="1" customWidth="1"/>
    <col min="5" max="5" width="11.42578125" style="82"/>
    <col min="6" max="6" width="22.85546875" style="82" customWidth="1"/>
    <col min="7" max="7" width="10.7109375" style="82" bestFit="1" customWidth="1"/>
    <col min="8" max="28" width="11.42578125" style="82"/>
    <col min="29" max="29" width="12" style="82" bestFit="1" customWidth="1"/>
    <col min="30" max="30" width="12.7109375" style="82" bestFit="1" customWidth="1"/>
    <col min="31" max="39" width="11.42578125" style="82"/>
    <col min="40" max="40" width="13.5703125" style="82" bestFit="1" customWidth="1"/>
    <col min="41" max="43" width="11.42578125" style="82"/>
    <col min="44" max="44" width="12.7109375" style="82" bestFit="1" customWidth="1"/>
    <col min="45" max="45" width="11.42578125" style="82"/>
    <col min="46" max="46" width="16.42578125" style="82" bestFit="1" customWidth="1"/>
    <col min="47" max="55" width="11.42578125" style="82"/>
    <col min="56" max="56" width="11.42578125" style="90"/>
    <col min="57" max="57" width="11.42578125" style="82"/>
    <col min="58" max="58" width="14.28515625" style="82" bestFit="1" customWidth="1"/>
    <col min="59" max="59" width="15" style="82" bestFit="1" customWidth="1"/>
    <col min="60" max="60" width="12.7109375" style="82" bestFit="1" customWidth="1"/>
    <col min="61" max="63" width="11.42578125" style="82"/>
    <col min="64" max="64" width="14.85546875" style="82" bestFit="1" customWidth="1"/>
    <col min="65" max="65" width="17.140625" style="82" bestFit="1" customWidth="1"/>
    <col min="66" max="16384" width="11.42578125" style="82"/>
  </cols>
  <sheetData>
    <row r="2" spans="2:73" ht="13.5" customHeight="1" x14ac:dyDescent="0.25">
      <c r="F2" s="83"/>
    </row>
    <row r="3" spans="2:73" x14ac:dyDescent="0.25">
      <c r="D3" s="28" t="s">
        <v>80</v>
      </c>
      <c r="F3" s="83"/>
      <c r="AD3" s="53"/>
    </row>
    <row r="4" spans="2:73" x14ac:dyDescent="0.25">
      <c r="D4" s="35" t="s">
        <v>76</v>
      </c>
      <c r="F4" s="83"/>
    </row>
    <row r="5" spans="2:73" x14ac:dyDescent="0.25">
      <c r="D5" s="4" t="s">
        <v>78</v>
      </c>
      <c r="F5" s="83"/>
    </row>
    <row r="6" spans="2:73" x14ac:dyDescent="0.25">
      <c r="D6" s="6" t="s">
        <v>79</v>
      </c>
      <c r="F6" s="83"/>
    </row>
    <row r="7" spans="2:73" x14ac:dyDescent="0.25">
      <c r="D7" s="66"/>
      <c r="F7" s="83"/>
    </row>
    <row r="8" spans="2:73" ht="93" customHeight="1" x14ac:dyDescent="0.25">
      <c r="D8" s="82" t="s">
        <v>74</v>
      </c>
      <c r="E8" s="42" t="s">
        <v>213</v>
      </c>
      <c r="F8" s="83"/>
      <c r="AD8" s="68"/>
    </row>
    <row r="9" spans="2:73" x14ac:dyDescent="0.25">
      <c r="D9" s="82" t="s">
        <v>77</v>
      </c>
      <c r="E9" s="83">
        <v>40843</v>
      </c>
      <c r="F9" s="83"/>
    </row>
    <row r="10" spans="2:73" x14ac:dyDescent="0.25">
      <c r="D10" s="66"/>
      <c r="F10" s="83"/>
    </row>
    <row r="12" spans="2:73" x14ac:dyDescent="0.25">
      <c r="B12" s="59" t="s">
        <v>9</v>
      </c>
      <c r="C12" s="59" t="s">
        <v>18</v>
      </c>
      <c r="D12" s="59" t="s">
        <v>10</v>
      </c>
      <c r="E12" s="59" t="s">
        <v>11</v>
      </c>
      <c r="F12" s="59" t="s">
        <v>12</v>
      </c>
      <c r="G12" s="59" t="s">
        <v>1</v>
      </c>
      <c r="H12" s="59" t="s">
        <v>2</v>
      </c>
      <c r="I12" s="59" t="s">
        <v>13</v>
      </c>
      <c r="J12" s="59" t="s">
        <v>14</v>
      </c>
      <c r="K12" s="59" t="s">
        <v>0</v>
      </c>
      <c r="L12" s="59" t="s">
        <v>15</v>
      </c>
      <c r="M12" s="59" t="s">
        <v>16</v>
      </c>
      <c r="N12" s="59" t="s">
        <v>17</v>
      </c>
      <c r="O12" s="59" t="s">
        <v>26</v>
      </c>
      <c r="P12" s="59" t="s">
        <v>27</v>
      </c>
      <c r="Q12" s="59" t="s">
        <v>28</v>
      </c>
      <c r="R12" s="59" t="s">
        <v>6</v>
      </c>
      <c r="S12" s="59" t="s">
        <v>7</v>
      </c>
      <c r="T12" s="59" t="s">
        <v>4</v>
      </c>
      <c r="U12" s="59" t="s">
        <v>29</v>
      </c>
      <c r="V12" s="59" t="s">
        <v>30</v>
      </c>
      <c r="W12" s="59" t="s">
        <v>31</v>
      </c>
      <c r="X12" s="59" t="s">
        <v>32</v>
      </c>
      <c r="Y12" s="59" t="s">
        <v>33</v>
      </c>
      <c r="Z12" s="59" t="s">
        <v>34</v>
      </c>
      <c r="AA12" s="59" t="s">
        <v>35</v>
      </c>
      <c r="AB12" s="59" t="s">
        <v>36</v>
      </c>
      <c r="AC12" s="59" t="s">
        <v>37</v>
      </c>
      <c r="AD12" s="34" t="s">
        <v>5</v>
      </c>
      <c r="AE12" s="37" t="s">
        <v>40</v>
      </c>
      <c r="AF12" s="37" t="s">
        <v>161</v>
      </c>
      <c r="AG12" s="37" t="s">
        <v>212</v>
      </c>
      <c r="AH12" s="37" t="s">
        <v>162</v>
      </c>
      <c r="AI12" s="37" t="s">
        <v>163</v>
      </c>
      <c r="AJ12" s="37" t="s">
        <v>164</v>
      </c>
      <c r="AK12" s="37" t="s">
        <v>10</v>
      </c>
      <c r="AL12" s="36" t="s">
        <v>39</v>
      </c>
      <c r="AM12" s="3" t="s">
        <v>38</v>
      </c>
      <c r="AN12" s="3" t="s">
        <v>167</v>
      </c>
      <c r="AO12" s="3" t="s">
        <v>41</v>
      </c>
      <c r="AP12" s="3" t="s">
        <v>42</v>
      </c>
      <c r="AQ12" s="3" t="s">
        <v>43</v>
      </c>
      <c r="AR12" s="3" t="s">
        <v>44</v>
      </c>
      <c r="AS12" s="3" t="s">
        <v>45</v>
      </c>
      <c r="AT12" s="40" t="s">
        <v>46</v>
      </c>
      <c r="AU12" s="40" t="s">
        <v>47</v>
      </c>
      <c r="AV12" s="40" t="s">
        <v>48</v>
      </c>
      <c r="AW12" s="40" t="s">
        <v>49</v>
      </c>
      <c r="AX12" s="40" t="s">
        <v>50</v>
      </c>
      <c r="AY12" s="40" t="s">
        <v>51</v>
      </c>
      <c r="AZ12" s="40" t="s">
        <v>52</v>
      </c>
      <c r="BA12" s="40" t="s">
        <v>53</v>
      </c>
      <c r="BB12" s="40" t="s">
        <v>54</v>
      </c>
      <c r="BC12" s="40" t="s">
        <v>55</v>
      </c>
      <c r="BD12" s="40" t="s">
        <v>218</v>
      </c>
      <c r="BE12" s="41" t="s">
        <v>160</v>
      </c>
      <c r="BF12" s="41" t="s">
        <v>65</v>
      </c>
      <c r="BG12" s="41" t="s">
        <v>56</v>
      </c>
      <c r="BH12" s="41" t="s">
        <v>57</v>
      </c>
      <c r="BI12" s="41" t="s">
        <v>58</v>
      </c>
      <c r="BJ12" s="41" t="s">
        <v>66</v>
      </c>
      <c r="BK12" s="41" t="s">
        <v>59</v>
      </c>
      <c r="BL12" s="41" t="s">
        <v>60</v>
      </c>
      <c r="BM12" s="41" t="s">
        <v>61</v>
      </c>
      <c r="BN12" s="41" t="s">
        <v>62</v>
      </c>
      <c r="BO12" s="41" t="s">
        <v>63</v>
      </c>
      <c r="BP12" s="41" t="s">
        <v>64</v>
      </c>
      <c r="BQ12" s="41" t="s">
        <v>165</v>
      </c>
      <c r="BR12" s="41" t="s">
        <v>69</v>
      </c>
      <c r="BS12" s="41" t="s">
        <v>166</v>
      </c>
      <c r="BT12" s="41" t="s">
        <v>71</v>
      </c>
      <c r="BU12" s="41" t="s">
        <v>72</v>
      </c>
    </row>
    <row r="13" spans="2:73" x14ac:dyDescent="0.25">
      <c r="B13" s="59" t="s">
        <v>19</v>
      </c>
      <c r="C13" s="59" t="s">
        <v>148</v>
      </c>
      <c r="D13" s="59" t="s">
        <v>149</v>
      </c>
      <c r="E13" s="60">
        <v>41000</v>
      </c>
      <c r="F13" s="60">
        <v>41029</v>
      </c>
      <c r="G13" s="60">
        <v>40995</v>
      </c>
      <c r="H13" s="59">
        <v>45</v>
      </c>
      <c r="I13" s="59" t="s">
        <v>3</v>
      </c>
      <c r="J13" s="59">
        <v>0</v>
      </c>
      <c r="K13" s="59">
        <v>720</v>
      </c>
      <c r="L13" s="59">
        <v>0</v>
      </c>
      <c r="M13" s="59">
        <v>0</v>
      </c>
      <c r="N13" s="59">
        <v>6.0341697441192697</v>
      </c>
      <c r="O13" s="59">
        <v>0.487755497215975</v>
      </c>
      <c r="P13" s="59">
        <v>1.48742286760318E-2</v>
      </c>
      <c r="Q13" s="59">
        <v>6.5246770414937503</v>
      </c>
      <c r="R13" s="61">
        <v>-3.41652495573051E-2</v>
      </c>
      <c r="S13" s="59">
        <v>-2.5293917007682398</v>
      </c>
      <c r="T13" s="59">
        <v>1.6156616857547901</v>
      </c>
      <c r="U13" s="59">
        <v>0</v>
      </c>
      <c r="V13" s="59">
        <v>0</v>
      </c>
      <c r="W13" s="59">
        <v>7200</v>
      </c>
      <c r="X13" s="59">
        <v>7200</v>
      </c>
      <c r="Y13" s="59">
        <v>0</v>
      </c>
      <c r="Z13" s="59">
        <v>7200</v>
      </c>
      <c r="AA13" s="59">
        <v>7200</v>
      </c>
      <c r="AB13" s="59">
        <v>0</v>
      </c>
      <c r="AC13" s="59">
        <v>7200</v>
      </c>
      <c r="AD13" s="38">
        <v>1.7218437163059052E-2</v>
      </c>
      <c r="AE13" s="38">
        <v>25.45</v>
      </c>
      <c r="AF13" s="35">
        <v>1</v>
      </c>
      <c r="AG13" s="35">
        <v>1</v>
      </c>
      <c r="AH13" s="35">
        <f>J13*K13</f>
        <v>0</v>
      </c>
      <c r="AI13" s="35">
        <v>1</v>
      </c>
      <c r="AJ13" s="35">
        <v>0</v>
      </c>
      <c r="AK13" s="35" t="str">
        <f>B13&amp;"-"&amp;D13</f>
        <v>ICE TTF-EURC Apr-12 27-MAR-12 45.00</v>
      </c>
      <c r="AL13" s="3" t="str">
        <f t="shared" ref="AL13:AL24" si="0">MID(D13,4,1)</f>
        <v>C</v>
      </c>
      <c r="AM13" s="3">
        <f>B76Future($E$9,AL13,AE13,H13,G13,T13,AD13)*AG13</f>
        <v>6.0341697475764917</v>
      </c>
      <c r="AN13" s="3">
        <f>AJ13*AF13</f>
        <v>0</v>
      </c>
      <c r="AO13" s="3">
        <f t="shared" ref="AO13:AO24" si="1">B76Delta($E$9,AL13,AE13,H13,G13,T13,AD13)</f>
        <v>0.48775549723171113</v>
      </c>
      <c r="AP13" s="3">
        <f t="shared" ref="AP13:AP24" si="2">B76Gamma($E$9,AL13,AE13,H13,G13,T13,AD13)</f>
        <v>1.4874228675473897E-2</v>
      </c>
      <c r="AQ13" s="3">
        <f t="shared" ref="AQ13:AQ24" si="3">B76Vega($E$9,AL13,AE13,H13,G13,T13,AD13)</f>
        <v>6.5246770417428621</v>
      </c>
      <c r="AR13" s="3">
        <f t="shared" ref="AR13:AR24" si="4">B76Theta($E$9,AL13,AE13,H13,G13,T13,AD13)</f>
        <v>-3.4165249555851214E-2</v>
      </c>
      <c r="AS13" s="3">
        <f t="shared" ref="AS13:AS24" si="5">B76Rho($E$9,AL13,AE13,H13,G13,T13,AD13)</f>
        <v>-2.529391702408776</v>
      </c>
      <c r="AT13" s="67">
        <f>-AN13*AH13*AI13</f>
        <v>0</v>
      </c>
      <c r="AU13" s="3">
        <f>AM13*AH13*AI13</f>
        <v>0</v>
      </c>
      <c r="AV13" s="3">
        <f>AU13</f>
        <v>0</v>
      </c>
      <c r="AW13" s="3">
        <f>1*10*720</f>
        <v>7200</v>
      </c>
      <c r="AX13" s="3">
        <f>AT13+AW13</f>
        <v>7200</v>
      </c>
      <c r="AY13" s="3">
        <f>AV13</f>
        <v>0</v>
      </c>
      <c r="AZ13" s="3">
        <f>AX13+AY13</f>
        <v>7200</v>
      </c>
      <c r="BA13" s="3">
        <f>AW13+AT13</f>
        <v>7200</v>
      </c>
      <c r="BB13" s="3">
        <f>AV13</f>
        <v>0</v>
      </c>
      <c r="BC13" s="3">
        <f>BA13+BB13</f>
        <v>7200</v>
      </c>
      <c r="BD13" s="3">
        <f>AH13*AI13*AO13</f>
        <v>0</v>
      </c>
      <c r="BE13" s="41">
        <f t="shared" ref="BE13:BE24" si="6">QaAssert(N13,AM13)</f>
        <v>0</v>
      </c>
      <c r="BF13" s="41">
        <f>QaAssert(L13,AN13)</f>
        <v>0</v>
      </c>
      <c r="BG13" s="5">
        <f t="shared" ref="BG13:BG24" si="7">QaAssert(AT13,M13)</f>
        <v>0</v>
      </c>
      <c r="BH13" s="5">
        <f t="shared" ref="BH13:BH24" si="8">QaAssert(AU13,U13)</f>
        <v>0</v>
      </c>
      <c r="BI13" s="5">
        <f t="shared" ref="BI13:BI24" si="9">QaAssert(AV13, V13)</f>
        <v>0</v>
      </c>
      <c r="BJ13" s="5">
        <f t="shared" ref="BJ13:BP24" si="10">QaAssert(W13,AW13)</f>
        <v>0</v>
      </c>
      <c r="BK13" s="5">
        <f t="shared" si="10"/>
        <v>0</v>
      </c>
      <c r="BL13" s="5">
        <f t="shared" si="10"/>
        <v>0</v>
      </c>
      <c r="BM13" s="5">
        <f t="shared" si="10"/>
        <v>0</v>
      </c>
      <c r="BN13" s="5">
        <f t="shared" si="10"/>
        <v>0</v>
      </c>
      <c r="BO13" s="5">
        <f t="shared" si="10"/>
        <v>0</v>
      </c>
      <c r="BP13" s="5">
        <f t="shared" si="10"/>
        <v>0</v>
      </c>
      <c r="BQ13" s="5">
        <f t="shared" ref="BQ13:BS24" si="11">QaAssert(O13,AO13)</f>
        <v>0</v>
      </c>
      <c r="BR13" s="5">
        <f t="shared" si="11"/>
        <v>0</v>
      </c>
      <c r="BS13" s="5">
        <f t="shared" si="11"/>
        <v>0</v>
      </c>
      <c r="BT13" s="5">
        <f t="shared" ref="BT13:BT24" si="12">QaAssert(S13,AS13)</f>
        <v>0</v>
      </c>
      <c r="BU13" s="5">
        <f t="shared" ref="BU13:BU24" si="13">QaAssert(R13,AR13)</f>
        <v>0</v>
      </c>
    </row>
    <row r="14" spans="2:73" x14ac:dyDescent="0.25">
      <c r="B14" s="59" t="s">
        <v>150</v>
      </c>
      <c r="C14" s="59" t="s">
        <v>151</v>
      </c>
      <c r="D14" s="59" t="s">
        <v>149</v>
      </c>
      <c r="E14" s="60">
        <v>41000</v>
      </c>
      <c r="F14" s="60">
        <v>41029</v>
      </c>
      <c r="G14" s="60">
        <v>40995</v>
      </c>
      <c r="H14" s="59">
        <v>45</v>
      </c>
      <c r="I14" s="59" t="s">
        <v>3</v>
      </c>
      <c r="J14" s="59">
        <v>0</v>
      </c>
      <c r="K14" s="59">
        <v>720</v>
      </c>
      <c r="L14" s="59">
        <v>0</v>
      </c>
      <c r="M14" s="59">
        <v>0</v>
      </c>
      <c r="N14" s="59">
        <v>30.116583947899901</v>
      </c>
      <c r="O14" s="59">
        <v>0.81029287939101202</v>
      </c>
      <c r="P14" s="59">
        <v>6.1361795935135797E-3</v>
      </c>
      <c r="Q14" s="59">
        <v>11.2635523239693</v>
      </c>
      <c r="R14" s="59">
        <v>-3.6884841886929601E-2</v>
      </c>
      <c r="S14" s="59">
        <v>-11.1041357948009</v>
      </c>
      <c r="T14" s="59">
        <v>1.0253864381678399</v>
      </c>
      <c r="U14" s="59">
        <v>0</v>
      </c>
      <c r="V14" s="59">
        <v>0</v>
      </c>
      <c r="W14" s="59">
        <v>341086.52313481999</v>
      </c>
      <c r="X14" s="59">
        <v>341086.52313481999</v>
      </c>
      <c r="Y14" s="59">
        <v>0</v>
      </c>
      <c r="Z14" s="59">
        <v>341086.52313481999</v>
      </c>
      <c r="AA14" s="59">
        <v>341086.52313481999</v>
      </c>
      <c r="AB14" s="59">
        <v>0</v>
      </c>
      <c r="AC14" s="59">
        <v>341086.52313481999</v>
      </c>
      <c r="AD14" s="38">
        <v>1.1830375046759814E-2</v>
      </c>
      <c r="AE14" s="38">
        <v>65.349999999999994</v>
      </c>
      <c r="AF14" s="35">
        <v>1.1369550771160699</v>
      </c>
      <c r="AG14" s="84">
        <v>1.1368927878569599</v>
      </c>
      <c r="AH14" s="35">
        <f t="shared" ref="AH14:AH24" si="14">J14*K14</f>
        <v>0</v>
      </c>
      <c r="AI14" s="35">
        <v>0.01</v>
      </c>
      <c r="AJ14" s="35">
        <v>0</v>
      </c>
      <c r="AK14" s="35" t="str">
        <f t="shared" ref="AK14:AK24" si="15">B14&amp;"-"&amp;D14</f>
        <v>ICE NBP-EURC Apr-12 27-MAR-12 45.00</v>
      </c>
      <c r="AL14" s="3" t="str">
        <f t="shared" si="0"/>
        <v>C</v>
      </c>
      <c r="AM14" s="3">
        <f t="shared" ref="AM14:AM22" si="16">B76Future($E$9,AL14,AE14,H14,G14,T14,AD14)*AG14</f>
        <v>30.116583984630882</v>
      </c>
      <c r="AN14" s="3">
        <f t="shared" ref="AN14:AN24" si="17">AJ14*AF14</f>
        <v>0</v>
      </c>
      <c r="AO14" s="3">
        <f t="shared" si="1"/>
        <v>0.81029287965517771</v>
      </c>
      <c r="AP14" s="3">
        <f t="shared" si="2"/>
        <v>6.1361795855495432E-3</v>
      </c>
      <c r="AQ14" s="3">
        <f t="shared" si="3"/>
        <v>11.263552322370408</v>
      </c>
      <c r="AR14" s="3">
        <f t="shared" si="4"/>
        <v>-3.6884841877669584E-2</v>
      </c>
      <c r="AS14" s="3">
        <f t="shared" si="5"/>
        <v>-11.104135809183804</v>
      </c>
      <c r="AT14" s="67">
        <f t="shared" ref="AT14:AT24" si="18">-AN14*AH14*AI14</f>
        <v>0</v>
      </c>
      <c r="AU14" s="3">
        <f t="shared" ref="AU14:AU24" si="19">AM14*AH14*AI14</f>
        <v>0</v>
      </c>
      <c r="AV14" s="3">
        <f t="shared" ref="AV14:AV24" si="20">AU14</f>
        <v>0</v>
      </c>
      <c r="AW14" s="3">
        <f>1*1000000*30*AF14/100</f>
        <v>341086.52313482098</v>
      </c>
      <c r="AX14" s="3">
        <f t="shared" ref="AX14:AX18" si="21">AT14+AW14</f>
        <v>341086.52313482098</v>
      </c>
      <c r="AY14" s="3">
        <f t="shared" ref="AY14:AY18" si="22">AV14</f>
        <v>0</v>
      </c>
      <c r="AZ14" s="3">
        <f t="shared" ref="AZ14:AZ18" si="23">AX14+AY14</f>
        <v>341086.52313482098</v>
      </c>
      <c r="BA14" s="3">
        <f t="shared" ref="BA14:BA18" si="24">AW14+AT14</f>
        <v>341086.52313482098</v>
      </c>
      <c r="BB14" s="3">
        <f t="shared" ref="BB14:BB18" si="25">AV14</f>
        <v>0</v>
      </c>
      <c r="BC14" s="3">
        <f t="shared" ref="BC14:BC18" si="26">BA14+BB14</f>
        <v>341086.52313482098</v>
      </c>
      <c r="BD14" s="3">
        <f t="shared" ref="BD14:BD24" si="27">AH14*AI14*AO14</f>
        <v>0</v>
      </c>
      <c r="BE14" s="41">
        <f t="shared" si="6"/>
        <v>0</v>
      </c>
      <c r="BF14" s="41">
        <f t="shared" ref="BF14:BF24" si="28">QaAssert(L14,AN14)</f>
        <v>0</v>
      </c>
      <c r="BG14" s="5">
        <f t="shared" si="7"/>
        <v>0</v>
      </c>
      <c r="BH14" s="5">
        <f t="shared" si="8"/>
        <v>0</v>
      </c>
      <c r="BI14" s="5">
        <f t="shared" si="9"/>
        <v>0</v>
      </c>
      <c r="BJ14" s="5">
        <f t="shared" si="10"/>
        <v>0</v>
      </c>
      <c r="BK14" s="5">
        <f t="shared" si="10"/>
        <v>0</v>
      </c>
      <c r="BL14" s="5">
        <f t="shared" si="10"/>
        <v>0</v>
      </c>
      <c r="BM14" s="5">
        <f t="shared" si="10"/>
        <v>0</v>
      </c>
      <c r="BN14" s="5">
        <f t="shared" si="10"/>
        <v>0</v>
      </c>
      <c r="BO14" s="5">
        <f t="shared" si="10"/>
        <v>0</v>
      </c>
      <c r="BP14" s="5">
        <f t="shared" si="10"/>
        <v>0</v>
      </c>
      <c r="BQ14" s="5">
        <f t="shared" si="11"/>
        <v>0</v>
      </c>
      <c r="BR14" s="5">
        <f t="shared" si="11"/>
        <v>0</v>
      </c>
      <c r="BS14" s="5">
        <f t="shared" si="11"/>
        <v>0</v>
      </c>
      <c r="BT14" s="5">
        <f t="shared" si="12"/>
        <v>0</v>
      </c>
      <c r="BU14" s="5">
        <f t="shared" si="13"/>
        <v>0</v>
      </c>
    </row>
    <row r="15" spans="2:73" x14ac:dyDescent="0.25">
      <c r="B15" s="59" t="s">
        <v>19</v>
      </c>
      <c r="C15" s="59" t="s">
        <v>20</v>
      </c>
      <c r="D15" s="59" t="s">
        <v>152</v>
      </c>
      <c r="E15" s="60">
        <v>41061</v>
      </c>
      <c r="F15" s="60">
        <v>41090</v>
      </c>
      <c r="G15" s="60">
        <v>41054</v>
      </c>
      <c r="H15" s="59">
        <v>45</v>
      </c>
      <c r="I15" s="59" t="s">
        <v>3</v>
      </c>
      <c r="J15" s="59">
        <v>10</v>
      </c>
      <c r="K15" s="59">
        <v>720</v>
      </c>
      <c r="L15" s="59">
        <v>3.57</v>
      </c>
      <c r="M15" s="59">
        <v>-25704</v>
      </c>
      <c r="N15" s="59">
        <v>1.2417799057476799</v>
      </c>
      <c r="O15" s="59">
        <v>0.20569121603642301</v>
      </c>
      <c r="P15" s="59">
        <v>2.09274278709373E-2</v>
      </c>
      <c r="Q15" s="59">
        <v>5.4047874475987898</v>
      </c>
      <c r="R15" s="61">
        <v>-8.9912636440836104E-3</v>
      </c>
      <c r="S15" s="59">
        <v>-0.72125298631269996</v>
      </c>
      <c r="T15" s="59">
        <v>0.71030546868642896</v>
      </c>
      <c r="U15" s="59">
        <v>8940.8153213832902</v>
      </c>
      <c r="V15" s="59">
        <v>8940.8153213832902</v>
      </c>
      <c r="W15" s="59">
        <v>1980</v>
      </c>
      <c r="X15" s="59">
        <v>-23724</v>
      </c>
      <c r="Y15" s="59">
        <v>8940.8153213832902</v>
      </c>
      <c r="Z15" s="59">
        <v>-14783.184678616701</v>
      </c>
      <c r="AA15" s="59">
        <v>-23724</v>
      </c>
      <c r="AB15" s="59">
        <v>8940.8153213832902</v>
      </c>
      <c r="AC15" s="59">
        <v>-14783.184678616701</v>
      </c>
      <c r="AD15" s="38">
        <v>1.8547095638830498E-2</v>
      </c>
      <c r="AE15" s="38">
        <v>25.02</v>
      </c>
      <c r="AF15" s="38">
        <v>1</v>
      </c>
      <c r="AG15" s="35">
        <v>1</v>
      </c>
      <c r="AH15" s="35">
        <f t="shared" si="14"/>
        <v>7200</v>
      </c>
      <c r="AI15" s="35">
        <v>1</v>
      </c>
      <c r="AJ15" s="35">
        <v>3.57</v>
      </c>
      <c r="AK15" s="35" t="str">
        <f t="shared" si="15"/>
        <v>ICE TTF-EURC Jun-12 25-MAY-12 45.00</v>
      </c>
      <c r="AL15" s="3" t="str">
        <f t="shared" si="0"/>
        <v>C</v>
      </c>
      <c r="AM15" s="3">
        <f t="shared" si="16"/>
        <v>1.2417799075416527</v>
      </c>
      <c r="AN15" s="3">
        <f t="shared" si="17"/>
        <v>3.57</v>
      </c>
      <c r="AO15" s="3">
        <f t="shared" si="1"/>
        <v>0.2056912160378975</v>
      </c>
      <c r="AP15" s="3">
        <f t="shared" si="2"/>
        <v>2.0927427870983253E-2</v>
      </c>
      <c r="AQ15" s="3">
        <f t="shared" si="3"/>
        <v>5.4047874479053686</v>
      </c>
      <c r="AR15" s="3">
        <f t="shared" si="4"/>
        <v>-8.9912636440117252E-3</v>
      </c>
      <c r="AS15" s="3">
        <f t="shared" si="5"/>
        <v>-0.72125298739405574</v>
      </c>
      <c r="AT15" s="67">
        <f t="shared" si="18"/>
        <v>-25704</v>
      </c>
      <c r="AU15" s="3">
        <f t="shared" si="19"/>
        <v>8940.8153342998994</v>
      </c>
      <c r="AV15" s="3">
        <f t="shared" si="20"/>
        <v>8940.8153342998994</v>
      </c>
      <c r="AW15" s="3">
        <f>(4.21-3.66)*5*K15</f>
        <v>1979.9999999999993</v>
      </c>
      <c r="AX15" s="3">
        <f t="shared" si="21"/>
        <v>-23724</v>
      </c>
      <c r="AY15" s="3">
        <f t="shared" si="22"/>
        <v>8940.8153342998994</v>
      </c>
      <c r="AZ15" s="3">
        <f t="shared" si="23"/>
        <v>-14783.184665700101</v>
      </c>
      <c r="BA15" s="3">
        <f t="shared" si="24"/>
        <v>-23724</v>
      </c>
      <c r="BB15" s="3">
        <f t="shared" si="25"/>
        <v>8940.8153342998994</v>
      </c>
      <c r="BC15" s="3">
        <f t="shared" si="26"/>
        <v>-14783.184665700101</v>
      </c>
      <c r="BD15" s="3">
        <f t="shared" si="27"/>
        <v>1480.9767554728619</v>
      </c>
      <c r="BE15" s="41">
        <f t="shared" si="6"/>
        <v>0</v>
      </c>
      <c r="BF15" s="41">
        <f t="shared" si="28"/>
        <v>0</v>
      </c>
      <c r="BG15" s="5">
        <f t="shared" si="7"/>
        <v>0</v>
      </c>
      <c r="BH15" s="5">
        <f t="shared" si="8"/>
        <v>0</v>
      </c>
      <c r="BI15" s="5">
        <f t="shared" si="9"/>
        <v>0</v>
      </c>
      <c r="BJ15" s="5">
        <f t="shared" si="10"/>
        <v>0</v>
      </c>
      <c r="BK15" s="5">
        <f t="shared" si="10"/>
        <v>0</v>
      </c>
      <c r="BL15" s="5">
        <f t="shared" si="10"/>
        <v>0</v>
      </c>
      <c r="BM15" s="5">
        <f t="shared" si="10"/>
        <v>0</v>
      </c>
      <c r="BN15" s="5">
        <f t="shared" si="10"/>
        <v>0</v>
      </c>
      <c r="BO15" s="5">
        <f t="shared" si="10"/>
        <v>0</v>
      </c>
      <c r="BP15" s="5">
        <f t="shared" si="10"/>
        <v>0</v>
      </c>
      <c r="BQ15" s="5">
        <f t="shared" si="11"/>
        <v>0</v>
      </c>
      <c r="BR15" s="5">
        <f t="shared" si="11"/>
        <v>0</v>
      </c>
      <c r="BS15" s="5">
        <f t="shared" si="11"/>
        <v>0</v>
      </c>
      <c r="BT15" s="5">
        <f t="shared" si="12"/>
        <v>0</v>
      </c>
      <c r="BU15" s="5">
        <f t="shared" si="13"/>
        <v>0</v>
      </c>
    </row>
    <row r="16" spans="2:73" x14ac:dyDescent="0.25">
      <c r="B16" s="59" t="s">
        <v>19</v>
      </c>
      <c r="C16" s="59" t="s">
        <v>20</v>
      </c>
      <c r="D16" s="59" t="s">
        <v>153</v>
      </c>
      <c r="E16" s="60">
        <v>41061</v>
      </c>
      <c r="F16" s="60">
        <v>41090</v>
      </c>
      <c r="G16" s="60">
        <v>41054</v>
      </c>
      <c r="H16" s="59">
        <v>45</v>
      </c>
      <c r="I16" s="59" t="s">
        <v>3</v>
      </c>
      <c r="J16" s="59">
        <v>10</v>
      </c>
      <c r="K16" s="59">
        <v>720</v>
      </c>
      <c r="L16" s="59">
        <v>3.57</v>
      </c>
      <c r="M16" s="59">
        <v>-25704</v>
      </c>
      <c r="N16" s="59">
        <v>21.007699331952502</v>
      </c>
      <c r="O16" s="59">
        <v>-0.78359404053042303</v>
      </c>
      <c r="P16" s="59">
        <v>2.09274278709373E-2</v>
      </c>
      <c r="Q16" s="59">
        <v>5.4047874475987898</v>
      </c>
      <c r="R16" s="59">
        <v>-7.9868789920637794E-3</v>
      </c>
      <c r="S16" s="59">
        <v>-12.2017322140569</v>
      </c>
      <c r="T16" s="59">
        <v>0.71030546868642896</v>
      </c>
      <c r="U16" s="59">
        <v>151255.43519005799</v>
      </c>
      <c r="V16" s="59">
        <v>151255.43519005799</v>
      </c>
      <c r="W16" s="59">
        <v>1980</v>
      </c>
      <c r="X16" s="59">
        <v>-23724</v>
      </c>
      <c r="Y16" s="59">
        <v>151255.43519005799</v>
      </c>
      <c r="Z16" s="59">
        <v>127531.43519005799</v>
      </c>
      <c r="AA16" s="59">
        <v>-23724</v>
      </c>
      <c r="AB16" s="59">
        <v>151255.43519005799</v>
      </c>
      <c r="AC16" s="59">
        <v>127531.43519005799</v>
      </c>
      <c r="AD16" s="38">
        <v>1.8547095638830498E-2</v>
      </c>
      <c r="AE16" s="38">
        <v>25.02</v>
      </c>
      <c r="AF16" s="38">
        <v>1</v>
      </c>
      <c r="AG16" s="35">
        <v>1</v>
      </c>
      <c r="AH16" s="35">
        <f t="shared" si="14"/>
        <v>7200</v>
      </c>
      <c r="AI16" s="35">
        <v>1</v>
      </c>
      <c r="AJ16" s="35">
        <v>3.57</v>
      </c>
      <c r="AK16" s="35" t="str">
        <f t="shared" si="15"/>
        <v>ICE TTF-EURP Jun-12 25-MAY-12 45.00</v>
      </c>
      <c r="AL16" s="3" t="str">
        <f t="shared" si="0"/>
        <v>P</v>
      </c>
      <c r="AM16" s="3">
        <f t="shared" si="16"/>
        <v>21.007699333735619</v>
      </c>
      <c r="AN16" s="3">
        <f t="shared" si="17"/>
        <v>3.57</v>
      </c>
      <c r="AO16" s="3">
        <f t="shared" si="1"/>
        <v>-0.78359404052836723</v>
      </c>
      <c r="AP16" s="3">
        <f t="shared" si="2"/>
        <v>2.0927427870983253E-2</v>
      </c>
      <c r="AQ16" s="3">
        <f t="shared" si="3"/>
        <v>5.4047874479053686</v>
      </c>
      <c r="AR16" s="3">
        <f t="shared" si="4"/>
        <v>-7.9868789919924459E-3</v>
      </c>
      <c r="AS16" s="3">
        <f t="shared" si="5"/>
        <v>-12.201732215758769</v>
      </c>
      <c r="AT16" s="67">
        <f t="shared" si="18"/>
        <v>-25704</v>
      </c>
      <c r="AU16" s="3">
        <f t="shared" si="19"/>
        <v>151255.43520289645</v>
      </c>
      <c r="AV16" s="3">
        <f t="shared" si="20"/>
        <v>151255.43520289645</v>
      </c>
      <c r="AW16" s="3">
        <f>(4.21-3.66)*5*K16</f>
        <v>1979.9999999999993</v>
      </c>
      <c r="AX16" s="3">
        <f t="shared" si="21"/>
        <v>-23724</v>
      </c>
      <c r="AY16" s="3">
        <f t="shared" si="22"/>
        <v>151255.43520289645</v>
      </c>
      <c r="AZ16" s="3">
        <f t="shared" si="23"/>
        <v>127531.43520289645</v>
      </c>
      <c r="BA16" s="3">
        <f t="shared" si="24"/>
        <v>-23724</v>
      </c>
      <c r="BB16" s="3">
        <f t="shared" si="25"/>
        <v>151255.43520289645</v>
      </c>
      <c r="BC16" s="3">
        <f t="shared" si="26"/>
        <v>127531.43520289645</v>
      </c>
      <c r="BD16" s="3">
        <f t="shared" si="27"/>
        <v>-5641.8770918042437</v>
      </c>
      <c r="BE16" s="41">
        <f t="shared" si="6"/>
        <v>0</v>
      </c>
      <c r="BF16" s="41">
        <f t="shared" si="28"/>
        <v>0</v>
      </c>
      <c r="BG16" s="5">
        <f t="shared" si="7"/>
        <v>0</v>
      </c>
      <c r="BH16" s="5">
        <f t="shared" si="8"/>
        <v>0</v>
      </c>
      <c r="BI16" s="5">
        <f t="shared" si="9"/>
        <v>0</v>
      </c>
      <c r="BJ16" s="5">
        <f t="shared" si="10"/>
        <v>0</v>
      </c>
      <c r="BK16" s="5">
        <f t="shared" si="10"/>
        <v>0</v>
      </c>
      <c r="BL16" s="5">
        <f t="shared" si="10"/>
        <v>0</v>
      </c>
      <c r="BM16" s="5">
        <f t="shared" si="10"/>
        <v>0</v>
      </c>
      <c r="BN16" s="5">
        <f t="shared" si="10"/>
        <v>0</v>
      </c>
      <c r="BO16" s="5">
        <f t="shared" si="10"/>
        <v>0</v>
      </c>
      <c r="BP16" s="5">
        <f t="shared" si="10"/>
        <v>0</v>
      </c>
      <c r="BQ16" s="5">
        <f t="shared" si="11"/>
        <v>0</v>
      </c>
      <c r="BR16" s="5">
        <f t="shared" si="11"/>
        <v>0</v>
      </c>
      <c r="BS16" s="5">
        <f t="shared" si="11"/>
        <v>0</v>
      </c>
      <c r="BT16" s="5">
        <f t="shared" si="12"/>
        <v>0</v>
      </c>
      <c r="BU16" s="5">
        <f t="shared" si="13"/>
        <v>0</v>
      </c>
    </row>
    <row r="17" spans="2:73" x14ac:dyDescent="0.25">
      <c r="B17" s="59" t="s">
        <v>150</v>
      </c>
      <c r="C17" s="59" t="s">
        <v>154</v>
      </c>
      <c r="D17" s="59" t="s">
        <v>153</v>
      </c>
      <c r="E17" s="60">
        <v>41061</v>
      </c>
      <c r="F17" s="60">
        <v>41090</v>
      </c>
      <c r="G17" s="60">
        <v>41054</v>
      </c>
      <c r="H17" s="59">
        <v>45</v>
      </c>
      <c r="I17" s="59" t="s">
        <v>3</v>
      </c>
      <c r="J17" s="59">
        <v>1000000</v>
      </c>
      <c r="K17" s="59">
        <v>720</v>
      </c>
      <c r="L17" s="59">
        <v>4.0589296253043603</v>
      </c>
      <c r="M17" s="59">
        <v>-1217678.8882490301</v>
      </c>
      <c r="N17" s="59">
        <v>3.85431313406737</v>
      </c>
      <c r="O17" s="59">
        <v>-0.18332588747707801</v>
      </c>
      <c r="P17" s="59">
        <v>9.7972042134250106E-3</v>
      </c>
      <c r="Q17" s="59">
        <v>12.2520008208647</v>
      </c>
      <c r="R17" s="59">
        <v>-1.6731343599888399E-2</v>
      </c>
      <c r="S17" s="59">
        <v>-1.96911227703369</v>
      </c>
      <c r="T17" s="59">
        <v>0.58340385714602006</v>
      </c>
      <c r="U17" s="59">
        <v>1156293.94022021</v>
      </c>
      <c r="V17" s="59">
        <v>1156293.9408447701</v>
      </c>
      <c r="W17" s="59">
        <v>0</v>
      </c>
      <c r="X17" s="59">
        <v>-1217678.8882490301</v>
      </c>
      <c r="Y17" s="59">
        <v>1156293.9408447701</v>
      </c>
      <c r="Z17" s="59">
        <v>-61384.947404252402</v>
      </c>
      <c r="AA17" s="59">
        <v>-1217678.8882490301</v>
      </c>
      <c r="AB17" s="59">
        <v>1156293.9408447701</v>
      </c>
      <c r="AC17" s="62">
        <v>-61384.947404252402</v>
      </c>
      <c r="AD17" s="38">
        <v>1.3654592302963252E-2</v>
      </c>
      <c r="AE17" s="38">
        <v>60.75</v>
      </c>
      <c r="AF17" s="35">
        <v>1.1369550771160699</v>
      </c>
      <c r="AG17" s="85">
        <v>1.1368927878569599</v>
      </c>
      <c r="AH17" s="35">
        <f>J17*30</f>
        <v>30000000</v>
      </c>
      <c r="AI17" s="35">
        <v>0.01</v>
      </c>
      <c r="AJ17" s="35">
        <v>3.57</v>
      </c>
      <c r="AK17" s="35" t="str">
        <f t="shared" si="15"/>
        <v>ICE NBP-EURP Jun-12 25-MAY-12 45.00</v>
      </c>
      <c r="AL17" s="3" t="str">
        <f t="shared" si="0"/>
        <v>P</v>
      </c>
      <c r="AM17" s="3">
        <f t="shared" si="16"/>
        <v>3.8543131310863323</v>
      </c>
      <c r="AN17" s="3">
        <f t="shared" si="17"/>
        <v>4.0589296253043692</v>
      </c>
      <c r="AO17" s="3">
        <f t="shared" si="1"/>
        <v>-0.1833258871052004</v>
      </c>
      <c r="AP17" s="3">
        <f t="shared" si="2"/>
        <v>9.797204197290181E-3</v>
      </c>
      <c r="AQ17" s="3">
        <f t="shared" si="3"/>
        <v>12.252000814592115</v>
      </c>
      <c r="AR17" s="3">
        <f t="shared" si="4"/>
        <v>-1.6731343590435294E-2</v>
      </c>
      <c r="AS17" s="3">
        <f t="shared" si="5"/>
        <v>-1.9691122756182244</v>
      </c>
      <c r="AT17" s="67">
        <f t="shared" si="18"/>
        <v>-1217678.8875913108</v>
      </c>
      <c r="AU17" s="3">
        <f t="shared" si="19"/>
        <v>1156293.9393258996</v>
      </c>
      <c r="AV17" s="3">
        <f t="shared" si="20"/>
        <v>1156293.9393258996</v>
      </c>
      <c r="AW17" s="3">
        <v>0</v>
      </c>
      <c r="AX17" s="3">
        <f t="shared" si="21"/>
        <v>-1217678.8875913108</v>
      </c>
      <c r="AY17" s="3">
        <f t="shared" si="22"/>
        <v>1156293.9393258996</v>
      </c>
      <c r="AZ17" s="3">
        <f t="shared" si="23"/>
        <v>-61384.948265411193</v>
      </c>
      <c r="BA17" s="3">
        <f t="shared" si="24"/>
        <v>-1217678.8875913108</v>
      </c>
      <c r="BB17" s="3">
        <f t="shared" si="25"/>
        <v>1156293.9393258996</v>
      </c>
      <c r="BC17" s="3">
        <f t="shared" si="26"/>
        <v>-61384.948265411193</v>
      </c>
      <c r="BD17" s="3">
        <f t="shared" si="27"/>
        <v>-54997.766131560122</v>
      </c>
      <c r="BE17" s="41">
        <f t="shared" si="6"/>
        <v>0</v>
      </c>
      <c r="BF17" s="41">
        <f t="shared" si="28"/>
        <v>0</v>
      </c>
      <c r="BG17" s="5">
        <f t="shared" si="7"/>
        <v>0</v>
      </c>
      <c r="BH17" s="5">
        <f t="shared" si="8"/>
        <v>0</v>
      </c>
      <c r="BI17" s="5">
        <f t="shared" si="9"/>
        <v>0</v>
      </c>
      <c r="BJ17" s="5">
        <f t="shared" si="10"/>
        <v>0</v>
      </c>
      <c r="BK17" s="5">
        <f t="shared" si="10"/>
        <v>0</v>
      </c>
      <c r="BL17" s="5">
        <f t="shared" si="10"/>
        <v>0</v>
      </c>
      <c r="BM17" s="5">
        <f t="shared" si="10"/>
        <v>-1.4028826544887352E-8</v>
      </c>
      <c r="BN17" s="5">
        <f t="shared" si="10"/>
        <v>0</v>
      </c>
      <c r="BO17" s="5">
        <f t="shared" si="10"/>
        <v>0</v>
      </c>
      <c r="BP17" s="5">
        <f t="shared" si="10"/>
        <v>-1.4028826544887352E-8</v>
      </c>
      <c r="BQ17" s="5">
        <f t="shared" si="11"/>
        <v>0</v>
      </c>
      <c r="BR17" s="5">
        <f t="shared" si="11"/>
        <v>0</v>
      </c>
      <c r="BS17" s="5">
        <f t="shared" si="11"/>
        <v>0</v>
      </c>
      <c r="BT17" s="5">
        <f t="shared" si="12"/>
        <v>0</v>
      </c>
      <c r="BU17" s="5">
        <f t="shared" si="13"/>
        <v>0</v>
      </c>
    </row>
    <row r="18" spans="2:73" x14ac:dyDescent="0.25">
      <c r="B18" s="62" t="s">
        <v>19</v>
      </c>
      <c r="C18" s="62" t="s">
        <v>82</v>
      </c>
      <c r="D18" s="62" t="s">
        <v>83</v>
      </c>
      <c r="E18" s="60">
        <v>40603</v>
      </c>
      <c r="F18" s="60">
        <v>40633</v>
      </c>
      <c r="G18" s="60">
        <v>40598</v>
      </c>
      <c r="H18" s="59">
        <v>45</v>
      </c>
      <c r="I18" s="63" t="s">
        <v>8</v>
      </c>
      <c r="J18" s="59">
        <v>10</v>
      </c>
      <c r="K18" s="59">
        <v>743</v>
      </c>
      <c r="L18" s="59">
        <v>3.57</v>
      </c>
      <c r="M18" s="59">
        <v>-26525.1</v>
      </c>
      <c r="N18" s="59">
        <v>0</v>
      </c>
      <c r="O18" s="59">
        <v>0</v>
      </c>
      <c r="P18" s="59">
        <v>0</v>
      </c>
      <c r="Q18" s="59">
        <v>0</v>
      </c>
      <c r="R18" s="59">
        <v>0</v>
      </c>
      <c r="S18" s="59">
        <v>0</v>
      </c>
      <c r="T18" s="59">
        <v>0</v>
      </c>
      <c r="U18" s="59">
        <v>0</v>
      </c>
      <c r="V18" s="59">
        <v>0</v>
      </c>
      <c r="W18" s="59">
        <v>2043.25</v>
      </c>
      <c r="X18" s="59">
        <v>-24481.85</v>
      </c>
      <c r="Y18" s="59">
        <v>0</v>
      </c>
      <c r="Z18" s="59">
        <v>-24481.85</v>
      </c>
      <c r="AA18" s="59">
        <v>-24481.85</v>
      </c>
      <c r="AB18" s="59">
        <v>0</v>
      </c>
      <c r="AC18" s="59">
        <v>-24481.85</v>
      </c>
      <c r="AD18" s="35"/>
      <c r="AE18" s="35"/>
      <c r="AF18" s="38">
        <v>1</v>
      </c>
      <c r="AG18" s="35">
        <v>1</v>
      </c>
      <c r="AH18" s="35">
        <f t="shared" si="14"/>
        <v>7430</v>
      </c>
      <c r="AI18" s="35">
        <v>1</v>
      </c>
      <c r="AJ18" s="35">
        <v>3.57</v>
      </c>
      <c r="AK18" s="35" t="str">
        <f t="shared" si="15"/>
        <v>ICE TTF-EURC Mar-11 24-FEB-11 45.00</v>
      </c>
      <c r="AL18" s="3" t="str">
        <f t="shared" si="0"/>
        <v>C</v>
      </c>
      <c r="AM18" s="3">
        <f t="shared" si="16"/>
        <v>0</v>
      </c>
      <c r="AN18" s="3">
        <f t="shared" si="17"/>
        <v>3.57</v>
      </c>
      <c r="AO18" s="3">
        <f t="shared" si="1"/>
        <v>0</v>
      </c>
      <c r="AP18" s="3">
        <f t="shared" si="2"/>
        <v>0</v>
      </c>
      <c r="AQ18" s="3">
        <f t="shared" si="3"/>
        <v>0</v>
      </c>
      <c r="AR18" s="3">
        <f t="shared" si="4"/>
        <v>0</v>
      </c>
      <c r="AS18" s="3">
        <f t="shared" si="5"/>
        <v>0</v>
      </c>
      <c r="AT18" s="67">
        <f t="shared" si="18"/>
        <v>-26525.1</v>
      </c>
      <c r="AU18" s="3">
        <f t="shared" si="19"/>
        <v>0</v>
      </c>
      <c r="AV18" s="3">
        <f t="shared" si="20"/>
        <v>0</v>
      </c>
      <c r="AW18" s="3">
        <f>(4.21-3.66)*5*K18</f>
        <v>2043.2499999999993</v>
      </c>
      <c r="AX18" s="3">
        <f t="shared" si="21"/>
        <v>-24481.85</v>
      </c>
      <c r="AY18" s="3">
        <f t="shared" si="22"/>
        <v>0</v>
      </c>
      <c r="AZ18" s="3">
        <f t="shared" si="23"/>
        <v>-24481.85</v>
      </c>
      <c r="BA18" s="3">
        <f t="shared" si="24"/>
        <v>-24481.85</v>
      </c>
      <c r="BB18" s="3">
        <f t="shared" si="25"/>
        <v>0</v>
      </c>
      <c r="BC18" s="3">
        <f t="shared" si="26"/>
        <v>-24481.85</v>
      </c>
      <c r="BD18" s="3">
        <f t="shared" si="27"/>
        <v>0</v>
      </c>
      <c r="BE18" s="41">
        <f t="shared" si="6"/>
        <v>0</v>
      </c>
      <c r="BF18" s="41">
        <f t="shared" si="28"/>
        <v>0</v>
      </c>
      <c r="BG18" s="5">
        <f t="shared" si="7"/>
        <v>0</v>
      </c>
      <c r="BH18" s="5">
        <f t="shared" si="8"/>
        <v>0</v>
      </c>
      <c r="BI18" s="5">
        <f t="shared" si="9"/>
        <v>0</v>
      </c>
      <c r="BJ18" s="5">
        <f t="shared" si="10"/>
        <v>0</v>
      </c>
      <c r="BK18" s="5">
        <f t="shared" si="10"/>
        <v>0</v>
      </c>
      <c r="BL18" s="5">
        <f t="shared" si="10"/>
        <v>0</v>
      </c>
      <c r="BM18" s="5">
        <f t="shared" si="10"/>
        <v>0</v>
      </c>
      <c r="BN18" s="5">
        <f t="shared" si="10"/>
        <v>0</v>
      </c>
      <c r="BO18" s="5">
        <f t="shared" si="10"/>
        <v>0</v>
      </c>
      <c r="BP18" s="5">
        <f t="shared" si="10"/>
        <v>0</v>
      </c>
      <c r="BQ18" s="5">
        <f t="shared" si="11"/>
        <v>0</v>
      </c>
      <c r="BR18" s="5">
        <f t="shared" si="11"/>
        <v>0</v>
      </c>
      <c r="BS18" s="5">
        <f t="shared" si="11"/>
        <v>0</v>
      </c>
      <c r="BT18" s="5">
        <f t="shared" si="12"/>
        <v>0</v>
      </c>
      <c r="BU18" s="5">
        <f t="shared" si="13"/>
        <v>0</v>
      </c>
    </row>
    <row r="19" spans="2:73" x14ac:dyDescent="0.25">
      <c r="B19" s="64" t="s">
        <v>19</v>
      </c>
      <c r="C19" s="64" t="s">
        <v>82</v>
      </c>
      <c r="D19" s="64" t="s">
        <v>84</v>
      </c>
      <c r="E19" s="65">
        <v>40603</v>
      </c>
      <c r="F19" s="65">
        <v>40633</v>
      </c>
      <c r="G19" s="65">
        <v>40598</v>
      </c>
      <c r="H19" s="64">
        <v>45</v>
      </c>
      <c r="I19" s="64" t="s">
        <v>8</v>
      </c>
      <c r="J19" s="64">
        <v>10</v>
      </c>
      <c r="K19" s="64">
        <v>743</v>
      </c>
      <c r="L19" s="64">
        <v>3.57</v>
      </c>
      <c r="M19" s="64">
        <v>-26525.1</v>
      </c>
      <c r="N19" s="64">
        <v>0</v>
      </c>
      <c r="O19" s="64">
        <v>0</v>
      </c>
      <c r="P19" s="64">
        <v>0</v>
      </c>
      <c r="Q19" s="64">
        <v>0</v>
      </c>
      <c r="R19" s="64">
        <v>0</v>
      </c>
      <c r="S19" s="64">
        <v>0</v>
      </c>
      <c r="T19" s="64">
        <v>0</v>
      </c>
      <c r="U19" s="64">
        <v>0</v>
      </c>
      <c r="V19" s="64">
        <v>0</v>
      </c>
      <c r="W19" s="64">
        <v>2043.25</v>
      </c>
      <c r="X19" s="64">
        <v>-24481.85</v>
      </c>
      <c r="Y19" s="64">
        <v>0</v>
      </c>
      <c r="Z19" s="64">
        <v>-24481.85</v>
      </c>
      <c r="AA19" s="64">
        <v>-24481.85</v>
      </c>
      <c r="AB19" s="64">
        <v>0</v>
      </c>
      <c r="AC19" s="64">
        <v>-24481.85</v>
      </c>
      <c r="AD19" s="35"/>
      <c r="AE19" s="35"/>
      <c r="AF19" s="38">
        <v>1</v>
      </c>
      <c r="AG19" s="35">
        <v>1</v>
      </c>
      <c r="AH19" s="35">
        <f t="shared" si="14"/>
        <v>7430</v>
      </c>
      <c r="AI19" s="35">
        <v>1</v>
      </c>
      <c r="AJ19" s="35">
        <v>3.57</v>
      </c>
      <c r="AK19" s="35" t="str">
        <f t="shared" si="15"/>
        <v>ICE TTF-EURP Mar-11 24-FEB-11 45.00</v>
      </c>
      <c r="AL19" s="3" t="str">
        <f t="shared" si="0"/>
        <v>P</v>
      </c>
      <c r="AM19" s="3">
        <f t="shared" si="16"/>
        <v>0</v>
      </c>
      <c r="AN19" s="3">
        <f t="shared" si="17"/>
        <v>3.57</v>
      </c>
      <c r="AO19" s="3">
        <f t="shared" si="1"/>
        <v>0</v>
      </c>
      <c r="AP19" s="3">
        <f t="shared" si="2"/>
        <v>0</v>
      </c>
      <c r="AQ19" s="3">
        <f t="shared" si="3"/>
        <v>0</v>
      </c>
      <c r="AR19" s="3">
        <f t="shared" si="4"/>
        <v>0</v>
      </c>
      <c r="AS19" s="3">
        <f t="shared" si="5"/>
        <v>0</v>
      </c>
      <c r="AT19" s="67">
        <f t="shared" si="18"/>
        <v>-26525.1</v>
      </c>
      <c r="AU19" s="3">
        <f t="shared" si="19"/>
        <v>0</v>
      </c>
      <c r="AV19" s="3">
        <f t="shared" si="20"/>
        <v>0</v>
      </c>
      <c r="AW19" s="3">
        <f>(4.21-3.66)*5*K19</f>
        <v>2043.2499999999993</v>
      </c>
      <c r="AX19" s="3">
        <f>AT19+AW19</f>
        <v>-24481.85</v>
      </c>
      <c r="AY19" s="3">
        <f>AV19</f>
        <v>0</v>
      </c>
      <c r="AZ19" s="3">
        <f>AX19+AY19</f>
        <v>-24481.85</v>
      </c>
      <c r="BA19" s="3">
        <f>AW19+AT19</f>
        <v>-24481.85</v>
      </c>
      <c r="BB19" s="3">
        <f>AV19</f>
        <v>0</v>
      </c>
      <c r="BC19" s="3">
        <f>BA19+BB19</f>
        <v>-24481.85</v>
      </c>
      <c r="BD19" s="3">
        <f t="shared" si="27"/>
        <v>0</v>
      </c>
      <c r="BE19" s="41">
        <f t="shared" si="6"/>
        <v>0</v>
      </c>
      <c r="BF19" s="41">
        <f t="shared" si="28"/>
        <v>0</v>
      </c>
      <c r="BG19" s="5">
        <f t="shared" si="7"/>
        <v>0</v>
      </c>
      <c r="BH19" s="5">
        <f t="shared" si="8"/>
        <v>0</v>
      </c>
      <c r="BI19" s="5">
        <f t="shared" si="9"/>
        <v>0</v>
      </c>
      <c r="BJ19" s="5">
        <f t="shared" si="10"/>
        <v>0</v>
      </c>
      <c r="BK19" s="5">
        <f t="shared" si="10"/>
        <v>0</v>
      </c>
      <c r="BL19" s="5">
        <f t="shared" si="10"/>
        <v>0</v>
      </c>
      <c r="BM19" s="5">
        <f t="shared" si="10"/>
        <v>0</v>
      </c>
      <c r="BN19" s="5">
        <f t="shared" si="10"/>
        <v>0</v>
      </c>
      <c r="BO19" s="5">
        <f t="shared" si="10"/>
        <v>0</v>
      </c>
      <c r="BP19" s="5">
        <f t="shared" si="10"/>
        <v>0</v>
      </c>
      <c r="BQ19" s="5">
        <f t="shared" si="11"/>
        <v>0</v>
      </c>
      <c r="BR19" s="5">
        <f t="shared" si="11"/>
        <v>0</v>
      </c>
      <c r="BS19" s="5">
        <f t="shared" si="11"/>
        <v>0</v>
      </c>
      <c r="BT19" s="5">
        <f t="shared" si="12"/>
        <v>0</v>
      </c>
      <c r="BU19" s="5">
        <f t="shared" si="13"/>
        <v>0</v>
      </c>
    </row>
    <row r="20" spans="2:73" x14ac:dyDescent="0.25">
      <c r="B20" s="64" t="s">
        <v>150</v>
      </c>
      <c r="C20" s="64" t="s">
        <v>155</v>
      </c>
      <c r="D20" s="64" t="s">
        <v>84</v>
      </c>
      <c r="E20" s="65">
        <v>40603</v>
      </c>
      <c r="F20" s="65">
        <v>40633</v>
      </c>
      <c r="G20" s="65">
        <v>40598</v>
      </c>
      <c r="H20" s="64">
        <v>45</v>
      </c>
      <c r="I20" s="64" t="s">
        <v>8</v>
      </c>
      <c r="J20" s="64">
        <v>1000000</v>
      </c>
      <c r="K20" s="64">
        <v>743</v>
      </c>
      <c r="L20" s="64">
        <v>4.0589296253043603</v>
      </c>
      <c r="M20" s="64">
        <v>-1258268.1845239899</v>
      </c>
      <c r="N20" s="64">
        <v>0</v>
      </c>
      <c r="O20" s="64">
        <v>0</v>
      </c>
      <c r="P20" s="64">
        <v>0</v>
      </c>
      <c r="Q20" s="64">
        <v>0</v>
      </c>
      <c r="R20" s="64">
        <v>0</v>
      </c>
      <c r="S20" s="64">
        <v>0</v>
      </c>
      <c r="T20" s="64">
        <v>0</v>
      </c>
      <c r="U20" s="64">
        <v>0</v>
      </c>
      <c r="V20" s="64">
        <v>0</v>
      </c>
      <c r="W20" s="64">
        <v>0</v>
      </c>
      <c r="X20" s="64">
        <v>-1258268.1845239899</v>
      </c>
      <c r="Y20" s="64">
        <v>0</v>
      </c>
      <c r="Z20" s="64">
        <v>-1258268.1845239899</v>
      </c>
      <c r="AA20" s="64">
        <v>-1258268.1845239899</v>
      </c>
      <c r="AB20" s="64">
        <v>0</v>
      </c>
      <c r="AC20" s="64">
        <v>-1258268.1845239899</v>
      </c>
      <c r="AD20" s="35"/>
      <c r="AE20" s="35"/>
      <c r="AF20" s="35">
        <v>1.1369550771160699</v>
      </c>
      <c r="AG20" s="86">
        <v>1.1368927878569599</v>
      </c>
      <c r="AH20" s="35">
        <f>J20*31</f>
        <v>31000000</v>
      </c>
      <c r="AI20" s="35">
        <v>0.01</v>
      </c>
      <c r="AJ20" s="35">
        <v>3.57</v>
      </c>
      <c r="AK20" s="35" t="str">
        <f t="shared" si="15"/>
        <v>ICE NBP-EURP Mar-11 24-FEB-11 45.00</v>
      </c>
      <c r="AL20" s="3" t="str">
        <f t="shared" si="0"/>
        <v>P</v>
      </c>
      <c r="AM20" s="3">
        <f t="shared" si="16"/>
        <v>0</v>
      </c>
      <c r="AN20" s="3">
        <f t="shared" si="17"/>
        <v>4.0589296253043692</v>
      </c>
      <c r="AO20" s="3">
        <f t="shared" si="1"/>
        <v>0</v>
      </c>
      <c r="AP20" s="3">
        <f t="shared" si="2"/>
        <v>0</v>
      </c>
      <c r="AQ20" s="3">
        <f t="shared" si="3"/>
        <v>0</v>
      </c>
      <c r="AR20" s="3">
        <f t="shared" si="4"/>
        <v>0</v>
      </c>
      <c r="AS20" s="3">
        <f t="shared" si="5"/>
        <v>0</v>
      </c>
      <c r="AT20" s="67">
        <f t="shared" si="18"/>
        <v>-1258268.1838443545</v>
      </c>
      <c r="AU20" s="3">
        <f t="shared" si="19"/>
        <v>0</v>
      </c>
      <c r="AV20" s="3">
        <f t="shared" si="20"/>
        <v>0</v>
      </c>
      <c r="AW20" s="3"/>
      <c r="AX20" s="3">
        <f t="shared" ref="AX20:AX24" si="29">AT20+AW20</f>
        <v>-1258268.1838443545</v>
      </c>
      <c r="AY20" s="3">
        <f t="shared" ref="AY20:AY24" si="30">AV20</f>
        <v>0</v>
      </c>
      <c r="AZ20" s="3">
        <f t="shared" ref="AZ20:AZ24" si="31">AX20+AY20</f>
        <v>-1258268.1838443545</v>
      </c>
      <c r="BA20" s="3">
        <f t="shared" ref="BA20:BA24" si="32">AW20+AT20</f>
        <v>-1258268.1838443545</v>
      </c>
      <c r="BB20" s="3">
        <f t="shared" ref="BB20:BB24" si="33">AV20</f>
        <v>0</v>
      </c>
      <c r="BC20" s="3">
        <f t="shared" ref="BC20:BC24" si="34">BA20+BB20</f>
        <v>-1258268.1838443545</v>
      </c>
      <c r="BD20" s="3">
        <f t="shared" si="27"/>
        <v>0</v>
      </c>
      <c r="BE20" s="41">
        <f t="shared" si="6"/>
        <v>0</v>
      </c>
      <c r="BF20" s="41">
        <f t="shared" si="28"/>
        <v>0</v>
      </c>
      <c r="BG20" s="5">
        <f t="shared" si="7"/>
        <v>0</v>
      </c>
      <c r="BH20" s="5">
        <f t="shared" si="8"/>
        <v>0</v>
      </c>
      <c r="BI20" s="5">
        <f t="shared" si="9"/>
        <v>0</v>
      </c>
      <c r="BJ20" s="5">
        <f t="shared" si="10"/>
        <v>0</v>
      </c>
      <c r="BK20" s="5">
        <f t="shared" si="10"/>
        <v>0</v>
      </c>
      <c r="BL20" s="5">
        <f t="shared" si="10"/>
        <v>0</v>
      </c>
      <c r="BM20" s="5">
        <f t="shared" si="10"/>
        <v>0</v>
      </c>
      <c r="BN20" s="5">
        <f t="shared" si="10"/>
        <v>0</v>
      </c>
      <c r="BO20" s="5">
        <f t="shared" si="10"/>
        <v>0</v>
      </c>
      <c r="BP20" s="5">
        <f t="shared" si="10"/>
        <v>0</v>
      </c>
      <c r="BQ20" s="5">
        <f t="shared" si="11"/>
        <v>0</v>
      </c>
      <c r="BR20" s="5">
        <f t="shared" si="11"/>
        <v>0</v>
      </c>
      <c r="BS20" s="5">
        <f t="shared" si="11"/>
        <v>0</v>
      </c>
      <c r="BT20" s="5">
        <f t="shared" si="12"/>
        <v>0</v>
      </c>
      <c r="BU20" s="5">
        <f t="shared" si="13"/>
        <v>0</v>
      </c>
    </row>
    <row r="21" spans="2:73" x14ac:dyDescent="0.25">
      <c r="B21" s="64" t="s">
        <v>19</v>
      </c>
      <c r="C21" s="64" t="s">
        <v>156</v>
      </c>
      <c r="D21" s="64" t="s">
        <v>157</v>
      </c>
      <c r="E21" s="65">
        <v>40634</v>
      </c>
      <c r="F21" s="65">
        <v>40663</v>
      </c>
      <c r="G21" s="65">
        <v>40627</v>
      </c>
      <c r="H21" s="64">
        <v>45</v>
      </c>
      <c r="I21" s="64" t="s">
        <v>8</v>
      </c>
      <c r="J21" s="64">
        <v>0</v>
      </c>
      <c r="K21" s="64">
        <v>720</v>
      </c>
      <c r="L21" s="64">
        <v>0</v>
      </c>
      <c r="M21" s="64">
        <v>0</v>
      </c>
      <c r="N21" s="64">
        <v>0</v>
      </c>
      <c r="O21" s="64">
        <v>0</v>
      </c>
      <c r="P21" s="64">
        <v>0</v>
      </c>
      <c r="Q21" s="64">
        <v>0</v>
      </c>
      <c r="R21" s="64">
        <v>0</v>
      </c>
      <c r="S21" s="64">
        <v>0</v>
      </c>
      <c r="T21" s="64">
        <v>0</v>
      </c>
      <c r="U21" s="64">
        <v>0</v>
      </c>
      <c r="V21" s="64">
        <v>0</v>
      </c>
      <c r="W21" s="64">
        <v>7200</v>
      </c>
      <c r="X21" s="64">
        <v>7200</v>
      </c>
      <c r="Y21" s="64">
        <v>0</v>
      </c>
      <c r="Z21" s="64">
        <v>7200</v>
      </c>
      <c r="AA21" s="64">
        <v>7200</v>
      </c>
      <c r="AB21" s="64">
        <v>0</v>
      </c>
      <c r="AC21" s="64">
        <v>7200</v>
      </c>
      <c r="AD21" s="35"/>
      <c r="AE21" s="35"/>
      <c r="AF21" s="38">
        <v>1</v>
      </c>
      <c r="AG21" s="35">
        <v>1</v>
      </c>
      <c r="AH21" s="35">
        <f t="shared" si="14"/>
        <v>0</v>
      </c>
      <c r="AI21" s="35">
        <v>1</v>
      </c>
      <c r="AJ21" s="35">
        <v>0</v>
      </c>
      <c r="AK21" s="35" t="str">
        <f t="shared" si="15"/>
        <v>ICE TTF-EURP Apr-11 25-MAR-11 45.00</v>
      </c>
      <c r="AL21" s="3" t="str">
        <f t="shared" si="0"/>
        <v>P</v>
      </c>
      <c r="AM21" s="3">
        <f t="shared" si="16"/>
        <v>0</v>
      </c>
      <c r="AN21" s="3">
        <f t="shared" si="17"/>
        <v>0</v>
      </c>
      <c r="AO21" s="3">
        <f t="shared" si="1"/>
        <v>0</v>
      </c>
      <c r="AP21" s="3">
        <f t="shared" si="2"/>
        <v>0</v>
      </c>
      <c r="AQ21" s="3">
        <f t="shared" si="3"/>
        <v>0</v>
      </c>
      <c r="AR21" s="3">
        <f t="shared" si="4"/>
        <v>0</v>
      </c>
      <c r="AS21" s="3">
        <f t="shared" si="5"/>
        <v>0</v>
      </c>
      <c r="AT21" s="67">
        <f t="shared" si="18"/>
        <v>0</v>
      </c>
      <c r="AU21" s="3">
        <f t="shared" si="19"/>
        <v>0</v>
      </c>
      <c r="AV21" s="3">
        <f t="shared" si="20"/>
        <v>0</v>
      </c>
      <c r="AW21" s="3">
        <f>1*10*720</f>
        <v>7200</v>
      </c>
      <c r="AX21" s="3">
        <f t="shared" si="29"/>
        <v>7200</v>
      </c>
      <c r="AY21" s="3">
        <f t="shared" si="30"/>
        <v>0</v>
      </c>
      <c r="AZ21" s="3">
        <f t="shared" si="31"/>
        <v>7200</v>
      </c>
      <c r="BA21" s="3">
        <f t="shared" si="32"/>
        <v>7200</v>
      </c>
      <c r="BB21" s="3">
        <f t="shared" si="33"/>
        <v>0</v>
      </c>
      <c r="BC21" s="3">
        <f t="shared" si="34"/>
        <v>7200</v>
      </c>
      <c r="BD21" s="3">
        <f t="shared" si="27"/>
        <v>0</v>
      </c>
      <c r="BE21" s="41">
        <f t="shared" si="6"/>
        <v>0</v>
      </c>
      <c r="BF21" s="41">
        <f t="shared" si="28"/>
        <v>0</v>
      </c>
      <c r="BG21" s="5">
        <f t="shared" si="7"/>
        <v>0</v>
      </c>
      <c r="BH21" s="5">
        <f t="shared" si="8"/>
        <v>0</v>
      </c>
      <c r="BI21" s="5">
        <f t="shared" si="9"/>
        <v>0</v>
      </c>
      <c r="BJ21" s="5">
        <f t="shared" si="10"/>
        <v>0</v>
      </c>
      <c r="BK21" s="5">
        <f t="shared" si="10"/>
        <v>0</v>
      </c>
      <c r="BL21" s="5">
        <f t="shared" si="10"/>
        <v>0</v>
      </c>
      <c r="BM21" s="5">
        <f t="shared" si="10"/>
        <v>0</v>
      </c>
      <c r="BN21" s="5">
        <f t="shared" si="10"/>
        <v>0</v>
      </c>
      <c r="BO21" s="5">
        <f t="shared" si="10"/>
        <v>0</v>
      </c>
      <c r="BP21" s="5">
        <f t="shared" si="10"/>
        <v>0</v>
      </c>
      <c r="BQ21" s="5">
        <f t="shared" si="11"/>
        <v>0</v>
      </c>
      <c r="BR21" s="5">
        <f t="shared" si="11"/>
        <v>0</v>
      </c>
      <c r="BS21" s="5">
        <f t="shared" si="11"/>
        <v>0</v>
      </c>
      <c r="BT21" s="5">
        <f t="shared" si="12"/>
        <v>0</v>
      </c>
      <c r="BU21" s="5">
        <f t="shared" si="13"/>
        <v>0</v>
      </c>
    </row>
    <row r="22" spans="2:73" x14ac:dyDescent="0.25">
      <c r="B22" s="64" t="s">
        <v>150</v>
      </c>
      <c r="C22" s="64" t="s">
        <v>158</v>
      </c>
      <c r="D22" s="64" t="s">
        <v>159</v>
      </c>
      <c r="E22" s="65">
        <v>40634</v>
      </c>
      <c r="F22" s="65">
        <v>40663</v>
      </c>
      <c r="G22" s="65">
        <v>40627</v>
      </c>
      <c r="H22" s="64">
        <v>45</v>
      </c>
      <c r="I22" s="64" t="s">
        <v>8</v>
      </c>
      <c r="J22" s="64">
        <v>0</v>
      </c>
      <c r="K22" s="64">
        <v>720</v>
      </c>
      <c r="L22" s="64">
        <v>0</v>
      </c>
      <c r="M22" s="64">
        <v>0</v>
      </c>
      <c r="N22" s="64">
        <v>0</v>
      </c>
      <c r="O22" s="64">
        <v>0</v>
      </c>
      <c r="P22" s="64">
        <v>0</v>
      </c>
      <c r="Q22" s="64">
        <v>0</v>
      </c>
      <c r="R22" s="64">
        <v>0</v>
      </c>
      <c r="S22" s="64">
        <v>0</v>
      </c>
      <c r="T22" s="64">
        <v>0</v>
      </c>
      <c r="U22" s="64">
        <v>0</v>
      </c>
      <c r="V22" s="64">
        <v>0</v>
      </c>
      <c r="W22" s="64">
        <v>341086.52313481999</v>
      </c>
      <c r="X22" s="64">
        <v>341086.52313481999</v>
      </c>
      <c r="Y22" s="64">
        <v>0</v>
      </c>
      <c r="Z22" s="64">
        <v>341086.52313481999</v>
      </c>
      <c r="AA22" s="64">
        <v>341086.52313481999</v>
      </c>
      <c r="AB22" s="64">
        <v>0</v>
      </c>
      <c r="AC22" s="64">
        <v>341086.52313481999</v>
      </c>
      <c r="AD22" s="35"/>
      <c r="AE22" s="35"/>
      <c r="AF22" s="35">
        <v>1.1369550771160699</v>
      </c>
      <c r="AG22" s="87">
        <v>1.1368927878569599</v>
      </c>
      <c r="AH22" s="35">
        <f t="shared" si="14"/>
        <v>0</v>
      </c>
      <c r="AI22" s="35">
        <v>0.01</v>
      </c>
      <c r="AJ22" s="35">
        <v>0</v>
      </c>
      <c r="AK22" s="35" t="str">
        <f t="shared" si="15"/>
        <v>ICE NBP-EURC Apr-11 25-MAR-11 45.00</v>
      </c>
      <c r="AL22" s="3" t="str">
        <f t="shared" si="0"/>
        <v>C</v>
      </c>
      <c r="AM22" s="3">
        <f t="shared" si="16"/>
        <v>0</v>
      </c>
      <c r="AN22" s="3">
        <f t="shared" si="17"/>
        <v>0</v>
      </c>
      <c r="AO22" s="3">
        <f t="shared" si="1"/>
        <v>0</v>
      </c>
      <c r="AP22" s="3">
        <f t="shared" si="2"/>
        <v>0</v>
      </c>
      <c r="AQ22" s="3">
        <f t="shared" si="3"/>
        <v>0</v>
      </c>
      <c r="AR22" s="3">
        <f t="shared" si="4"/>
        <v>0</v>
      </c>
      <c r="AS22" s="3">
        <f t="shared" si="5"/>
        <v>0</v>
      </c>
      <c r="AT22" s="67">
        <f t="shared" si="18"/>
        <v>0</v>
      </c>
      <c r="AU22" s="3">
        <f t="shared" si="19"/>
        <v>0</v>
      </c>
      <c r="AV22" s="3">
        <f t="shared" si="20"/>
        <v>0</v>
      </c>
      <c r="AW22" s="3">
        <f>1*1000000*30*AF22/100</f>
        <v>341086.52313482098</v>
      </c>
      <c r="AX22" s="3">
        <f t="shared" si="29"/>
        <v>341086.52313482098</v>
      </c>
      <c r="AY22" s="3">
        <f t="shared" si="30"/>
        <v>0</v>
      </c>
      <c r="AZ22" s="3">
        <f t="shared" si="31"/>
        <v>341086.52313482098</v>
      </c>
      <c r="BA22" s="3">
        <f t="shared" si="32"/>
        <v>341086.52313482098</v>
      </c>
      <c r="BB22" s="3">
        <f t="shared" si="33"/>
        <v>0</v>
      </c>
      <c r="BC22" s="3">
        <f t="shared" si="34"/>
        <v>341086.52313482098</v>
      </c>
      <c r="BD22" s="3">
        <f t="shared" si="27"/>
        <v>0</v>
      </c>
      <c r="BE22" s="41">
        <f t="shared" si="6"/>
        <v>0</v>
      </c>
      <c r="BF22" s="41">
        <f t="shared" si="28"/>
        <v>0</v>
      </c>
      <c r="BG22" s="5">
        <f t="shared" si="7"/>
        <v>0</v>
      </c>
      <c r="BH22" s="5">
        <f t="shared" si="8"/>
        <v>0</v>
      </c>
      <c r="BI22" s="5">
        <f t="shared" si="9"/>
        <v>0</v>
      </c>
      <c r="BJ22" s="5">
        <f t="shared" si="10"/>
        <v>0</v>
      </c>
      <c r="BK22" s="5">
        <f t="shared" si="10"/>
        <v>0</v>
      </c>
      <c r="BL22" s="5">
        <f t="shared" si="10"/>
        <v>0</v>
      </c>
      <c r="BM22" s="5">
        <f t="shared" si="10"/>
        <v>0</v>
      </c>
      <c r="BN22" s="5">
        <f t="shared" si="10"/>
        <v>0</v>
      </c>
      <c r="BO22" s="5">
        <f t="shared" si="10"/>
        <v>0</v>
      </c>
      <c r="BP22" s="5">
        <f t="shared" si="10"/>
        <v>0</v>
      </c>
      <c r="BQ22" s="5">
        <f t="shared" si="11"/>
        <v>0</v>
      </c>
      <c r="BR22" s="5">
        <f t="shared" si="11"/>
        <v>0</v>
      </c>
      <c r="BS22" s="5">
        <f t="shared" si="11"/>
        <v>0</v>
      </c>
      <c r="BT22" s="5">
        <f t="shared" si="12"/>
        <v>0</v>
      </c>
      <c r="BU22" s="5">
        <f t="shared" si="13"/>
        <v>0</v>
      </c>
    </row>
    <row r="23" spans="2:73" x14ac:dyDescent="0.25">
      <c r="B23" s="64" t="s">
        <v>19</v>
      </c>
      <c r="C23" s="64" t="s">
        <v>23</v>
      </c>
      <c r="D23" s="64" t="s">
        <v>24</v>
      </c>
      <c r="E23" s="65">
        <v>40848</v>
      </c>
      <c r="F23" s="65">
        <v>40877</v>
      </c>
      <c r="G23" s="65">
        <v>40843</v>
      </c>
      <c r="H23" s="64">
        <v>45</v>
      </c>
      <c r="I23" s="64" t="s">
        <v>8</v>
      </c>
      <c r="J23" s="64">
        <v>10</v>
      </c>
      <c r="K23" s="64">
        <v>720</v>
      </c>
      <c r="L23" s="64">
        <v>3.57</v>
      </c>
      <c r="M23" s="64">
        <v>-25704</v>
      </c>
      <c r="N23" s="64">
        <v>0</v>
      </c>
      <c r="O23" s="64">
        <v>0</v>
      </c>
      <c r="P23" s="64">
        <v>0</v>
      </c>
      <c r="Q23" s="64">
        <v>0</v>
      </c>
      <c r="R23" s="64">
        <v>0</v>
      </c>
      <c r="S23" s="64">
        <v>0</v>
      </c>
      <c r="T23" s="78">
        <v>0.4994683627707065</v>
      </c>
      <c r="U23" s="64">
        <v>0</v>
      </c>
      <c r="V23" s="64">
        <v>0</v>
      </c>
      <c r="W23" s="64">
        <v>1980</v>
      </c>
      <c r="X23" s="64">
        <v>-23724</v>
      </c>
      <c r="Y23" s="64">
        <v>0</v>
      </c>
      <c r="Z23" s="64">
        <v>-23724</v>
      </c>
      <c r="AA23" s="64">
        <v>-23724</v>
      </c>
      <c r="AB23" s="64">
        <v>0</v>
      </c>
      <c r="AC23" s="64">
        <v>-23724</v>
      </c>
      <c r="AD23" s="79">
        <v>1.0759405280542977E-2</v>
      </c>
      <c r="AE23" s="35">
        <v>24.79</v>
      </c>
      <c r="AF23" s="38">
        <v>1</v>
      </c>
      <c r="AG23" s="35">
        <v>1</v>
      </c>
      <c r="AH23" s="35">
        <f t="shared" si="14"/>
        <v>7200</v>
      </c>
      <c r="AI23" s="35">
        <v>1</v>
      </c>
      <c r="AJ23" s="35">
        <v>3.57</v>
      </c>
      <c r="AK23" s="35" t="str">
        <f t="shared" si="15"/>
        <v>ICE TTF-EURC Nov-11 27-OCT-11 45.00</v>
      </c>
      <c r="AL23" s="3" t="str">
        <f t="shared" si="0"/>
        <v>C</v>
      </c>
      <c r="AM23" s="3">
        <f>B76Future($E$9,AL23,AE23,H23,G23,T23,AD23)*AG23</f>
        <v>7.6468186086426637E-117</v>
      </c>
      <c r="AN23" s="3">
        <f t="shared" si="17"/>
        <v>3.57</v>
      </c>
      <c r="AO23" s="3">
        <f t="shared" si="1"/>
        <v>2.7026792809000246E-115</v>
      </c>
      <c r="AP23" s="3">
        <f t="shared" si="2"/>
        <v>9.5232671607592635E-114</v>
      </c>
      <c r="AQ23" s="3">
        <f t="shared" si="3"/>
        <v>8.0085546123291322E-114</v>
      </c>
      <c r="AR23" s="3">
        <f t="shared" si="4"/>
        <v>-2.000009604778348E-114</v>
      </c>
      <c r="AS23" s="3">
        <f t="shared" si="5"/>
        <v>-2.0950187968884011E-119</v>
      </c>
      <c r="AT23" s="67">
        <f t="shared" si="18"/>
        <v>-25704</v>
      </c>
      <c r="AU23" s="3">
        <f t="shared" si="19"/>
        <v>5.5057093982227177E-113</v>
      </c>
      <c r="AV23" s="3">
        <f t="shared" si="20"/>
        <v>5.5057093982227177E-113</v>
      </c>
      <c r="AW23" s="3">
        <f>(4.21-3.66)*5*K23</f>
        <v>1979.9999999999993</v>
      </c>
      <c r="AX23" s="3">
        <f t="shared" si="29"/>
        <v>-23724</v>
      </c>
      <c r="AY23" s="3">
        <f t="shared" si="30"/>
        <v>5.5057093982227177E-113</v>
      </c>
      <c r="AZ23" s="3">
        <f t="shared" si="31"/>
        <v>-23724</v>
      </c>
      <c r="BA23" s="3">
        <f t="shared" si="32"/>
        <v>-23724</v>
      </c>
      <c r="BB23" s="3">
        <f t="shared" si="33"/>
        <v>5.5057093982227177E-113</v>
      </c>
      <c r="BC23" s="3">
        <f t="shared" si="34"/>
        <v>-23724</v>
      </c>
      <c r="BD23" s="3">
        <f t="shared" si="27"/>
        <v>1.9459290822480178E-111</v>
      </c>
      <c r="BE23" s="41">
        <f t="shared" si="6"/>
        <v>0</v>
      </c>
      <c r="BF23" s="41">
        <f t="shared" si="28"/>
        <v>0</v>
      </c>
      <c r="BG23" s="5">
        <f t="shared" si="7"/>
        <v>0</v>
      </c>
      <c r="BH23" s="5">
        <f t="shared" si="8"/>
        <v>0</v>
      </c>
      <c r="BI23" s="5">
        <f t="shared" si="9"/>
        <v>0</v>
      </c>
      <c r="BJ23" s="5">
        <f t="shared" si="10"/>
        <v>0</v>
      </c>
      <c r="BK23" s="5">
        <f t="shared" si="10"/>
        <v>0</v>
      </c>
      <c r="BL23" s="5">
        <f t="shared" si="10"/>
        <v>0</v>
      </c>
      <c r="BM23" s="5">
        <f t="shared" si="10"/>
        <v>0</v>
      </c>
      <c r="BN23" s="5">
        <f t="shared" si="10"/>
        <v>0</v>
      </c>
      <c r="BO23" s="5">
        <f t="shared" si="10"/>
        <v>0</v>
      </c>
      <c r="BP23" s="5">
        <f t="shared" si="10"/>
        <v>0</v>
      </c>
      <c r="BQ23" s="5">
        <f t="shared" si="11"/>
        <v>0</v>
      </c>
      <c r="BR23" s="5">
        <f t="shared" si="11"/>
        <v>0</v>
      </c>
      <c r="BS23" s="5">
        <f t="shared" si="11"/>
        <v>0</v>
      </c>
      <c r="BT23" s="5">
        <f t="shared" si="12"/>
        <v>0</v>
      </c>
      <c r="BU23" s="5">
        <f t="shared" si="13"/>
        <v>0</v>
      </c>
    </row>
    <row r="24" spans="2:73" x14ac:dyDescent="0.25">
      <c r="B24" s="64" t="s">
        <v>19</v>
      </c>
      <c r="C24" s="64" t="s">
        <v>23</v>
      </c>
      <c r="D24" s="64" t="s">
        <v>25</v>
      </c>
      <c r="E24" s="65">
        <v>40848</v>
      </c>
      <c r="F24" s="65">
        <v>40877</v>
      </c>
      <c r="G24" s="65">
        <v>40843</v>
      </c>
      <c r="H24" s="64">
        <v>45</v>
      </c>
      <c r="I24" s="64" t="s">
        <v>8</v>
      </c>
      <c r="J24" s="64">
        <v>10</v>
      </c>
      <c r="K24" s="64">
        <v>720</v>
      </c>
      <c r="L24" s="64">
        <v>3.57</v>
      </c>
      <c r="M24" s="64">
        <v>-25704</v>
      </c>
      <c r="N24" s="64">
        <v>20.209405807985299</v>
      </c>
      <c r="O24" s="64">
        <v>-1</v>
      </c>
      <c r="P24" s="64">
        <v>0</v>
      </c>
      <c r="Q24" s="64">
        <v>0</v>
      </c>
      <c r="R24" s="64">
        <v>0</v>
      </c>
      <c r="S24" s="64">
        <v>0</v>
      </c>
      <c r="T24" s="75">
        <v>0.4994683627707065</v>
      </c>
      <c r="U24" s="64">
        <v>145507.72181749399</v>
      </c>
      <c r="V24" s="64">
        <v>145507.72181749399</v>
      </c>
      <c r="W24" s="64">
        <v>1980</v>
      </c>
      <c r="X24" s="64">
        <v>-23724</v>
      </c>
      <c r="Y24" s="64">
        <v>145507.72181749399</v>
      </c>
      <c r="Z24" s="64">
        <v>121783.72181749401</v>
      </c>
      <c r="AA24" s="64">
        <v>-23724</v>
      </c>
      <c r="AB24" s="64">
        <v>145507.72181749399</v>
      </c>
      <c r="AC24" s="64">
        <v>121783.72181749401</v>
      </c>
      <c r="AD24" s="80">
        <v>1.0759405280542977E-2</v>
      </c>
      <c r="AE24" s="35">
        <v>24.79</v>
      </c>
      <c r="AF24" s="38">
        <v>1</v>
      </c>
      <c r="AG24" s="35">
        <v>1</v>
      </c>
      <c r="AH24" s="35">
        <f t="shared" si="14"/>
        <v>7200</v>
      </c>
      <c r="AI24" s="35">
        <v>1</v>
      </c>
      <c r="AJ24" s="35">
        <v>3.57</v>
      </c>
      <c r="AK24" s="35" t="str">
        <f t="shared" si="15"/>
        <v>ICE TTF-EURP Nov-11 27-OCT-11 45.00</v>
      </c>
      <c r="AL24" s="3" t="str">
        <f t="shared" si="0"/>
        <v>P</v>
      </c>
      <c r="AM24" s="3">
        <f>B76Future($E$9,AL24,AE24,H24,G24,T24,AD24)*AG24</f>
        <v>20.20940426198408</v>
      </c>
      <c r="AN24" s="3">
        <f t="shared" si="17"/>
        <v>3.57</v>
      </c>
      <c r="AO24" s="3">
        <f t="shared" si="1"/>
        <v>-0.99997052261178032</v>
      </c>
      <c r="AP24" s="3">
        <f t="shared" si="2"/>
        <v>9.5232671607592635E-114</v>
      </c>
      <c r="AQ24" s="3">
        <f t="shared" si="3"/>
        <v>8.0085546123291322E-114</v>
      </c>
      <c r="AR24" s="3">
        <f t="shared" si="4"/>
        <v>5.9572923543292958E-4</v>
      </c>
      <c r="AS24" s="3">
        <f t="shared" si="5"/>
        <v>-5.5368230854750906E-2</v>
      </c>
      <c r="AT24" s="67">
        <f t="shared" si="18"/>
        <v>-25704</v>
      </c>
      <c r="AU24" s="3">
        <f t="shared" si="19"/>
        <v>145507.71068628537</v>
      </c>
      <c r="AV24" s="3">
        <f t="shared" si="20"/>
        <v>145507.71068628537</v>
      </c>
      <c r="AW24" s="3">
        <f>(4.21-3.66)*5*K24</f>
        <v>1979.9999999999993</v>
      </c>
      <c r="AX24" s="3">
        <f t="shared" si="29"/>
        <v>-23724</v>
      </c>
      <c r="AY24" s="3">
        <f t="shared" si="30"/>
        <v>145507.71068628537</v>
      </c>
      <c r="AZ24" s="3">
        <f t="shared" si="31"/>
        <v>121783.71068628537</v>
      </c>
      <c r="BA24" s="3">
        <f t="shared" si="32"/>
        <v>-23724</v>
      </c>
      <c r="BB24" s="3">
        <f t="shared" si="33"/>
        <v>145507.71068628537</v>
      </c>
      <c r="BC24" s="3">
        <f t="shared" si="34"/>
        <v>121783.71068628537</v>
      </c>
      <c r="BD24" s="3">
        <f t="shared" si="27"/>
        <v>-7199.7877628048182</v>
      </c>
      <c r="BE24" s="41">
        <f t="shared" si="6"/>
        <v>7.6499099055382658E-8</v>
      </c>
      <c r="BF24" s="41">
        <f t="shared" si="28"/>
        <v>0</v>
      </c>
      <c r="BG24" s="5">
        <f t="shared" si="7"/>
        <v>0</v>
      </c>
      <c r="BH24" s="5">
        <f t="shared" si="8"/>
        <v>-7.6499092171999905E-8</v>
      </c>
      <c r="BI24" s="5">
        <f t="shared" si="9"/>
        <v>-7.6499092171999905E-8</v>
      </c>
      <c r="BJ24" s="5">
        <f t="shared" si="10"/>
        <v>0</v>
      </c>
      <c r="BK24" s="5">
        <f t="shared" si="10"/>
        <v>0</v>
      </c>
      <c r="BL24" s="5">
        <f t="shared" si="10"/>
        <v>7.6499097945159633E-8</v>
      </c>
      <c r="BM24" s="5">
        <f t="shared" si="10"/>
        <v>9.1401457291695465E-8</v>
      </c>
      <c r="BN24" s="5">
        <f t="shared" si="10"/>
        <v>0</v>
      </c>
      <c r="BO24" s="5">
        <f t="shared" si="10"/>
        <v>7.6499097945159633E-8</v>
      </c>
      <c r="BP24" s="5">
        <f t="shared" si="10"/>
        <v>9.1401457291695465E-8</v>
      </c>
      <c r="BQ24" s="5">
        <f t="shared" si="11"/>
        <v>2.9478257161708044E-5</v>
      </c>
      <c r="BR24" s="5">
        <f t="shared" si="11"/>
        <v>0</v>
      </c>
      <c r="BS24" s="5">
        <f t="shared" si="11"/>
        <v>0</v>
      </c>
      <c r="BT24" s="5">
        <f t="shared" si="12"/>
        <v>-1</v>
      </c>
      <c r="BU24" s="5">
        <f t="shared" si="13"/>
        <v>-1</v>
      </c>
    </row>
    <row r="26" spans="2:73" ht="15.75" customHeight="1" x14ac:dyDescent="0.25"/>
    <row r="29" spans="2:73" ht="15" customHeight="1" x14ac:dyDescent="0.25"/>
    <row r="30" spans="2:73" x14ac:dyDescent="0.25">
      <c r="AD30" s="68"/>
    </row>
  </sheetData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B2:CE48"/>
  <sheetViews>
    <sheetView tabSelected="1" topLeftCell="BK1" workbookViewId="0">
      <selection activeCell="BX8" sqref="BX8"/>
    </sheetView>
  </sheetViews>
  <sheetFormatPr baseColWidth="10" defaultColWidth="11.42578125" defaultRowHeight="15" x14ac:dyDescent="0.25"/>
  <cols>
    <col min="1" max="1" width="11.42578125" style="90"/>
    <col min="2" max="3" width="15.140625" style="90" bestFit="1" customWidth="1"/>
    <col min="4" max="4" width="27.42578125" style="90" bestFit="1" customWidth="1"/>
    <col min="5" max="5" width="11.42578125" style="90"/>
    <col min="6" max="6" width="22.85546875" style="90" customWidth="1"/>
    <col min="7" max="7" width="10.7109375" style="90" bestFit="1" customWidth="1"/>
    <col min="8" max="28" width="11.42578125" style="90"/>
    <col min="29" max="29" width="12" style="90" bestFit="1" customWidth="1"/>
    <col min="30" max="30" width="12.7109375" style="90" bestFit="1" customWidth="1"/>
    <col min="31" max="38" width="11.42578125" style="90"/>
    <col min="39" max="39" width="16.5703125" style="90" bestFit="1" customWidth="1"/>
    <col min="40" max="40" width="16.5703125" style="90" customWidth="1"/>
    <col min="41" max="41" width="11.42578125" style="90"/>
    <col min="42" max="42" width="14.7109375" style="90" bestFit="1" customWidth="1"/>
    <col min="43" max="43" width="14.7109375" style="90" customWidth="1"/>
    <col min="44" max="44" width="13.5703125" style="90" bestFit="1" customWidth="1"/>
    <col min="45" max="47" width="11.42578125" style="90"/>
    <col min="48" max="48" width="12.7109375" style="90" bestFit="1" customWidth="1"/>
    <col min="49" max="49" width="11.42578125" style="90"/>
    <col min="50" max="50" width="16.42578125" style="90" bestFit="1" customWidth="1"/>
    <col min="51" max="59" width="11.42578125" style="90"/>
    <col min="60" max="60" width="13.28515625" style="90" bestFit="1" customWidth="1"/>
    <col min="61" max="61" width="13.5703125" style="90" bestFit="1" customWidth="1"/>
    <col min="62" max="62" width="14.28515625" style="90" bestFit="1" customWidth="1"/>
    <col min="63" max="63" width="15" style="90" bestFit="1" customWidth="1"/>
    <col min="64" max="64" width="12.7109375" style="90" bestFit="1" customWidth="1"/>
    <col min="65" max="67" width="11.42578125" style="90"/>
    <col min="68" max="68" width="14.85546875" style="90" bestFit="1" customWidth="1"/>
    <col min="69" max="69" width="17.140625" style="90" bestFit="1" customWidth="1"/>
    <col min="70" max="77" width="11.42578125" style="90"/>
    <col min="78" max="78" width="16.140625" style="90" bestFit="1" customWidth="1"/>
    <col min="79" max="16384" width="11.42578125" style="90"/>
  </cols>
  <sheetData>
    <row r="2" spans="2:83" ht="13.5" customHeight="1" x14ac:dyDescent="0.25">
      <c r="F2" s="88"/>
    </row>
    <row r="3" spans="2:83" x14ac:dyDescent="0.25">
      <c r="D3" s="28" t="s">
        <v>80</v>
      </c>
      <c r="F3" s="88"/>
      <c r="AD3" s="53"/>
      <c r="BZ3" s="95"/>
      <c r="CA3" s="95"/>
      <c r="CB3" s="95"/>
      <c r="CC3" s="95"/>
      <c r="CD3" s="95"/>
    </row>
    <row r="4" spans="2:83" x14ac:dyDescent="0.25">
      <c r="D4" s="35" t="s">
        <v>76</v>
      </c>
      <c r="F4" s="88"/>
      <c r="BZ4" s="95" t="s">
        <v>230</v>
      </c>
      <c r="CA4" s="95"/>
      <c r="CB4" s="95"/>
      <c r="CC4" s="95"/>
      <c r="CD4" s="95"/>
    </row>
    <row r="5" spans="2:83" x14ac:dyDescent="0.25">
      <c r="D5" s="4" t="s">
        <v>78</v>
      </c>
      <c r="F5" s="88"/>
      <c r="BZ5" s="95"/>
      <c r="CA5" s="95"/>
      <c r="CB5" s="95"/>
      <c r="CC5" s="95"/>
      <c r="CD5" s="95"/>
    </row>
    <row r="6" spans="2:83" x14ac:dyDescent="0.25">
      <c r="D6" s="6" t="s">
        <v>79</v>
      </c>
      <c r="F6" s="88"/>
      <c r="BZ6" s="95"/>
      <c r="CA6" s="95"/>
      <c r="CB6" s="95"/>
      <c r="CC6" s="95"/>
      <c r="CD6" s="95"/>
    </row>
    <row r="7" spans="2:83" x14ac:dyDescent="0.25">
      <c r="D7" s="66"/>
      <c r="F7" s="88"/>
      <c r="BZ7" s="95"/>
      <c r="CA7" s="95"/>
      <c r="CB7" s="95"/>
      <c r="CC7" s="95"/>
      <c r="CD7" s="95"/>
    </row>
    <row r="8" spans="2:83" ht="93" customHeight="1" x14ac:dyDescent="0.25">
      <c r="D8" s="90" t="s">
        <v>74</v>
      </c>
      <c r="E8" s="42" t="s">
        <v>85</v>
      </c>
      <c r="F8" s="88"/>
      <c r="AD8" s="80"/>
      <c r="BZ8" s="95"/>
      <c r="CA8" s="95"/>
      <c r="CB8" s="95"/>
      <c r="CC8" s="95"/>
      <c r="CD8" s="95"/>
    </row>
    <row r="9" spans="2:83" x14ac:dyDescent="0.25">
      <c r="D9" s="90" t="s">
        <v>77</v>
      </c>
      <c r="E9" s="88">
        <v>40844</v>
      </c>
      <c r="F9" s="88"/>
      <c r="BZ9" s="95"/>
      <c r="CA9" s="95"/>
      <c r="CB9" s="95"/>
      <c r="CC9" s="95" t="s">
        <v>228</v>
      </c>
      <c r="CD9" s="95">
        <v>2.9307107015829999E-2</v>
      </c>
    </row>
    <row r="10" spans="2:83" x14ac:dyDescent="0.25">
      <c r="D10" s="66"/>
      <c r="F10" s="88"/>
      <c r="BZ10" s="95"/>
      <c r="CA10" s="95" t="s">
        <v>223</v>
      </c>
      <c r="CB10" s="95"/>
      <c r="CC10" s="95" t="s">
        <v>229</v>
      </c>
      <c r="CD10" s="95">
        <v>1.1369076246774601</v>
      </c>
    </row>
    <row r="11" spans="2:83" x14ac:dyDescent="0.25">
      <c r="BZ11" s="95"/>
      <c r="CA11" s="95"/>
      <c r="CB11" s="95"/>
      <c r="CC11" s="95"/>
      <c r="CD11" s="95"/>
    </row>
    <row r="12" spans="2:83" x14ac:dyDescent="0.25">
      <c r="B12" s="59" t="s">
        <v>9</v>
      </c>
      <c r="C12" s="59" t="s">
        <v>18</v>
      </c>
      <c r="D12" s="59" t="s">
        <v>10</v>
      </c>
      <c r="E12" s="59" t="s">
        <v>11</v>
      </c>
      <c r="F12" s="59" t="s">
        <v>12</v>
      </c>
      <c r="G12" s="59" t="s">
        <v>1</v>
      </c>
      <c r="H12" s="59" t="s">
        <v>2</v>
      </c>
      <c r="I12" s="59" t="s">
        <v>13</v>
      </c>
      <c r="J12" s="59" t="s">
        <v>14</v>
      </c>
      <c r="K12" s="59" t="s">
        <v>0</v>
      </c>
      <c r="L12" s="59" t="s">
        <v>15</v>
      </c>
      <c r="M12" s="59" t="s">
        <v>16</v>
      </c>
      <c r="N12" s="59" t="s">
        <v>17</v>
      </c>
      <c r="O12" s="59" t="s">
        <v>26</v>
      </c>
      <c r="P12" s="59" t="s">
        <v>27</v>
      </c>
      <c r="Q12" s="59" t="s">
        <v>28</v>
      </c>
      <c r="R12" s="59" t="s">
        <v>6</v>
      </c>
      <c r="S12" s="59" t="s">
        <v>7</v>
      </c>
      <c r="T12" s="59" t="s">
        <v>4</v>
      </c>
      <c r="U12" s="59" t="s">
        <v>29</v>
      </c>
      <c r="V12" s="59" t="s">
        <v>30</v>
      </c>
      <c r="W12" s="59" t="s">
        <v>31</v>
      </c>
      <c r="X12" s="59" t="s">
        <v>32</v>
      </c>
      <c r="Y12" s="59" t="s">
        <v>33</v>
      </c>
      <c r="Z12" s="59" t="s">
        <v>34</v>
      </c>
      <c r="AA12" s="59" t="s">
        <v>35</v>
      </c>
      <c r="AB12" s="59" t="s">
        <v>36</v>
      </c>
      <c r="AC12" s="59" t="s">
        <v>37</v>
      </c>
      <c r="AD12" s="34" t="s">
        <v>5</v>
      </c>
      <c r="AE12" s="37" t="s">
        <v>40</v>
      </c>
      <c r="AF12" s="37" t="s">
        <v>161</v>
      </c>
      <c r="AG12" s="37" t="s">
        <v>212</v>
      </c>
      <c r="AH12" s="37" t="s">
        <v>162</v>
      </c>
      <c r="AI12" s="37" t="s">
        <v>163</v>
      </c>
      <c r="AJ12" s="37" t="s">
        <v>164</v>
      </c>
      <c r="AK12" s="37" t="s">
        <v>10</v>
      </c>
      <c r="AL12" s="36" t="s">
        <v>39</v>
      </c>
      <c r="AM12" s="36" t="s">
        <v>214</v>
      </c>
      <c r="AN12" s="36" t="s">
        <v>219</v>
      </c>
      <c r="AO12" s="3" t="s">
        <v>38</v>
      </c>
      <c r="AP12" s="3" t="s">
        <v>221</v>
      </c>
      <c r="AQ12" s="3" t="s">
        <v>222</v>
      </c>
      <c r="AR12" s="3" t="s">
        <v>167</v>
      </c>
      <c r="AS12" s="3" t="s">
        <v>41</v>
      </c>
      <c r="AT12" s="3" t="s">
        <v>42</v>
      </c>
      <c r="AU12" s="3" t="s">
        <v>43</v>
      </c>
      <c r="AV12" s="3" t="s">
        <v>44</v>
      </c>
      <c r="AW12" s="3" t="s">
        <v>45</v>
      </c>
      <c r="AX12" s="40" t="s">
        <v>46</v>
      </c>
      <c r="AY12" s="40" t="s">
        <v>47</v>
      </c>
      <c r="AZ12" s="40" t="s">
        <v>48</v>
      </c>
      <c r="BA12" s="40" t="s">
        <v>49</v>
      </c>
      <c r="BB12" s="40" t="s">
        <v>50</v>
      </c>
      <c r="BC12" s="40" t="s">
        <v>51</v>
      </c>
      <c r="BD12" s="40" t="s">
        <v>52</v>
      </c>
      <c r="BE12" s="40" t="s">
        <v>53</v>
      </c>
      <c r="BF12" s="40" t="s">
        <v>54</v>
      </c>
      <c r="BG12" s="40" t="s">
        <v>55</v>
      </c>
      <c r="BH12" s="40" t="s">
        <v>218</v>
      </c>
      <c r="BI12" s="41" t="s">
        <v>220</v>
      </c>
      <c r="BJ12" s="41" t="s">
        <v>65</v>
      </c>
      <c r="BK12" s="41" t="s">
        <v>56</v>
      </c>
      <c r="BL12" s="41" t="s">
        <v>57</v>
      </c>
      <c r="BM12" s="41" t="s">
        <v>58</v>
      </c>
      <c r="BN12" s="41" t="s">
        <v>66</v>
      </c>
      <c r="BO12" s="41" t="s">
        <v>59</v>
      </c>
      <c r="BP12" s="41" t="s">
        <v>60</v>
      </c>
      <c r="BQ12" s="41" t="s">
        <v>61</v>
      </c>
      <c r="BR12" s="41" t="s">
        <v>62</v>
      </c>
      <c r="BS12" s="41" t="s">
        <v>63</v>
      </c>
      <c r="BT12" s="41" t="s">
        <v>64</v>
      </c>
      <c r="BU12" s="41" t="s">
        <v>165</v>
      </c>
      <c r="BV12" s="41" t="s">
        <v>69</v>
      </c>
      <c r="BW12" s="41" t="s">
        <v>166</v>
      </c>
      <c r="BX12" s="41" t="s">
        <v>71</v>
      </c>
      <c r="BY12" s="41" t="s">
        <v>72</v>
      </c>
      <c r="BZ12" s="95"/>
      <c r="CA12" s="95" t="s">
        <v>224</v>
      </c>
      <c r="CB12" s="95" t="s">
        <v>27</v>
      </c>
      <c r="CC12" s="95" t="s">
        <v>28</v>
      </c>
      <c r="CD12" s="95" t="s">
        <v>6</v>
      </c>
    </row>
    <row r="13" spans="2:83" x14ac:dyDescent="0.25">
      <c r="B13" s="59" t="s">
        <v>19</v>
      </c>
      <c r="C13" s="59" t="s">
        <v>148</v>
      </c>
      <c r="D13" s="59" t="s">
        <v>149</v>
      </c>
      <c r="E13" s="60">
        <v>41000</v>
      </c>
      <c r="F13" s="60">
        <v>41029</v>
      </c>
      <c r="G13" s="60">
        <v>40995</v>
      </c>
      <c r="H13" s="59">
        <v>45</v>
      </c>
      <c r="I13" s="59" t="s">
        <v>3</v>
      </c>
      <c r="J13" s="59">
        <v>0</v>
      </c>
      <c r="K13" s="59">
        <v>720</v>
      </c>
      <c r="L13" s="59">
        <v>0</v>
      </c>
      <c r="M13" s="59">
        <v>0</v>
      </c>
      <c r="N13" s="59">
        <v>1E-3</v>
      </c>
      <c r="O13" s="59">
        <v>8.4990275757246595E-4</v>
      </c>
      <c r="P13" s="59">
        <v>6.4424139965463896E-4</v>
      </c>
      <c r="Q13" s="59">
        <v>4.7596259521466101E-2</v>
      </c>
      <c r="R13" s="61">
        <v>-4.2836965040134997E-5</v>
      </c>
      <c r="S13" s="59">
        <v>-4.1682569577402602E-4</v>
      </c>
      <c r="T13" s="59">
        <v>0.27390369908019901</v>
      </c>
      <c r="U13" s="59">
        <v>0</v>
      </c>
      <c r="V13" s="59">
        <v>0</v>
      </c>
      <c r="W13" s="59">
        <v>7200</v>
      </c>
      <c r="X13" s="59">
        <v>7200</v>
      </c>
      <c r="Y13" s="59">
        <v>0</v>
      </c>
      <c r="Z13" s="59">
        <v>7200</v>
      </c>
      <c r="AA13" s="59">
        <v>7200</v>
      </c>
      <c r="AB13" s="59">
        <v>0</v>
      </c>
      <c r="AC13" s="59">
        <v>7200</v>
      </c>
      <c r="AD13" s="38">
        <v>1.7218437163059052E-2</v>
      </c>
      <c r="AE13" s="38">
        <v>25.45</v>
      </c>
      <c r="AF13" s="35">
        <v>1</v>
      </c>
      <c r="AG13" s="35">
        <v>1</v>
      </c>
      <c r="AH13" s="35">
        <f>J13*K13</f>
        <v>0</v>
      </c>
      <c r="AI13" s="35">
        <v>1</v>
      </c>
      <c r="AJ13" s="35">
        <v>0</v>
      </c>
      <c r="AK13" s="35" t="str">
        <f>B13&amp;"-"&amp;D13</f>
        <v>ICE TTF-EURC Apr-12 27-MAR-12 45.00</v>
      </c>
      <c r="AL13" s="3" t="str">
        <f t="shared" ref="AL13:AL24" si="0">MID(D13,4,1)</f>
        <v>C</v>
      </c>
      <c r="AM13" s="91">
        <f>N13/AG13</f>
        <v>1E-3</v>
      </c>
      <c r="AN13" s="93">
        <f>ImpliedVolatilityB76Future($E$9,AL13,AE13,H13,G13,AM13,AD13)</f>
        <v>0.27388414948182183</v>
      </c>
      <c r="AO13" s="3">
        <f>AM13*AG13</f>
        <v>1E-3</v>
      </c>
      <c r="AP13" s="94">
        <f>B76Future($E$9,AL13,AE13,H13,G13,AN13,AD13)</f>
        <v>9.999999999999766E-4</v>
      </c>
      <c r="AQ13" s="94">
        <f>B76Future($E$9,AL13,AE13,H13,G13,T13,AD13)</f>
        <v>1.0009301428211769E-3</v>
      </c>
      <c r="AR13" s="3">
        <f>AJ13*AF13</f>
        <v>0</v>
      </c>
      <c r="AS13" s="3">
        <f>B76Delta($E$9,AL13,AE13,H13,G13,T13,AD13)</f>
        <v>8.4990275899500349E-4</v>
      </c>
      <c r="AT13" s="3">
        <f t="shared" ref="AT13:AT24" si="1">B76Gamma($E$9,AL13,AE13,H13,G13,T13,AD13)</f>
        <v>6.4424139988480695E-4</v>
      </c>
      <c r="AU13" s="3">
        <f t="shared" ref="AU13:AU24" si="2">B76Vega($E$9,AL13,AE13,H13,G13,T13,AD13)</f>
        <v>4.7596259542096904E-2</v>
      </c>
      <c r="AV13" s="3">
        <f t="shared" ref="AV13:AV24" si="3">B76Theta($E$9,AL13,AE13,H13,G13,T13,AD13)</f>
        <v>-4.2836965054607619E-5</v>
      </c>
      <c r="AW13" s="3">
        <f t="shared" ref="AW13:AW24" si="4">B76Rho($E$9,AL13,AE13,H13,G13,T13,AD13)</f>
        <v>-4.1682570331183255E-4</v>
      </c>
      <c r="AX13" s="67">
        <f>-AR13*AH13*AI13</f>
        <v>0</v>
      </c>
      <c r="AY13" s="3">
        <f>AO13*AH13*AI13</f>
        <v>0</v>
      </c>
      <c r="AZ13" s="3">
        <f>AY13</f>
        <v>0</v>
      </c>
      <c r="BA13" s="3">
        <f>1*10*720</f>
        <v>7200</v>
      </c>
      <c r="BB13" s="3">
        <f>AX13+BA13</f>
        <v>7200</v>
      </c>
      <c r="BC13" s="3">
        <f>AZ13</f>
        <v>0</v>
      </c>
      <c r="BD13" s="3">
        <f>BB13+BC13</f>
        <v>7200</v>
      </c>
      <c r="BE13" s="3">
        <f>BA13+AX13</f>
        <v>7200</v>
      </c>
      <c r="BF13" s="3">
        <f>AZ13</f>
        <v>0</v>
      </c>
      <c r="BG13" s="3">
        <f>BE13+BF13</f>
        <v>7200</v>
      </c>
      <c r="BH13" s="89">
        <f t="shared" ref="BH13:BH24" si="5">AS13*AH13</f>
        <v>0</v>
      </c>
      <c r="BI13" s="92">
        <f>QaAssert(T13,AN13)</f>
        <v>7.1379079125799549E-5</v>
      </c>
      <c r="BJ13" s="41">
        <f>QaAssert(L13,AR13)</f>
        <v>0</v>
      </c>
      <c r="BK13" s="5">
        <f t="shared" ref="BK13:BK24" si="6">QaAssert(AX13,M13)</f>
        <v>0</v>
      </c>
      <c r="BL13" s="5">
        <f t="shared" ref="BL13:BL24" si="7">QaAssert(AY13,U13)</f>
        <v>0</v>
      </c>
      <c r="BM13" s="5">
        <f t="shared" ref="BM13:BM24" si="8">QaAssert(AZ13, V13)</f>
        <v>0</v>
      </c>
      <c r="BN13" s="5">
        <f t="shared" ref="BN13:BN24" si="9">QaAssert(W13,BA13)</f>
        <v>0</v>
      </c>
      <c r="BO13" s="5">
        <f t="shared" ref="BO13:BO24" si="10">QaAssert(X13,BB13)</f>
        <v>0</v>
      </c>
      <c r="BP13" s="5">
        <f t="shared" ref="BP13:BP24" si="11">QaAssert(Y13,BC13)</f>
        <v>0</v>
      </c>
      <c r="BQ13" s="5">
        <f t="shared" ref="BQ13:BQ24" si="12">QaAssert(Z13,BD13)</f>
        <v>0</v>
      </c>
      <c r="BR13" s="5">
        <f t="shared" ref="BR13:BR24" si="13">QaAssert(AA13,BE13)</f>
        <v>0</v>
      </c>
      <c r="BS13" s="5">
        <f t="shared" ref="BS13:BS24" si="14">QaAssert(AB13,BF13)</f>
        <v>0</v>
      </c>
      <c r="BT13" s="5">
        <f t="shared" ref="BT13:BT24" si="15">QaAssert(AC13,BG13)</f>
        <v>0</v>
      </c>
      <c r="BU13" s="5">
        <f t="shared" ref="BU13:BU24" si="16">QaAssert(O13,AS13)</f>
        <v>0</v>
      </c>
      <c r="BV13" s="5">
        <f t="shared" ref="BV13:BV24" si="17">QaAssert(P13,AT13)</f>
        <v>0</v>
      </c>
      <c r="BW13" s="5">
        <f t="shared" ref="BW13:BW24" si="18">QaAssert(Q13,AU13)</f>
        <v>0</v>
      </c>
      <c r="BX13" s="5">
        <f t="shared" ref="BX13:BX24" si="19">QaAssert(S13,AW13)</f>
        <v>-1.8083833319693099E-8</v>
      </c>
      <c r="BY13" s="5">
        <f t="shared" ref="BY13:BY24" si="20">QaAssert(R13,AV13)</f>
        <v>0</v>
      </c>
      <c r="BZ13" s="95"/>
      <c r="CA13" s="96">
        <f>O13*AH13</f>
        <v>0</v>
      </c>
      <c r="CB13" s="96">
        <f>P13*AH13</f>
        <v>0</v>
      </c>
      <c r="CC13" s="96">
        <f>Q13*AH13</f>
        <v>0</v>
      </c>
      <c r="CD13" s="96">
        <f>R13*AH13</f>
        <v>0</v>
      </c>
      <c r="CE13" s="80"/>
    </row>
    <row r="14" spans="2:83" x14ac:dyDescent="0.25">
      <c r="B14" s="59" t="s">
        <v>150</v>
      </c>
      <c r="C14" s="59" t="s">
        <v>151</v>
      </c>
      <c r="D14" s="59" t="s">
        <v>149</v>
      </c>
      <c r="E14" s="60">
        <v>41000</v>
      </c>
      <c r="F14" s="60">
        <v>41029</v>
      </c>
      <c r="G14" s="60">
        <v>40995</v>
      </c>
      <c r="H14" s="59">
        <v>45</v>
      </c>
      <c r="I14" s="59" t="s">
        <v>3</v>
      </c>
      <c r="J14" s="59">
        <v>0</v>
      </c>
      <c r="K14" s="59">
        <v>720</v>
      </c>
      <c r="L14" s="59">
        <v>0</v>
      </c>
      <c r="M14" s="59">
        <v>0</v>
      </c>
      <c r="N14" s="59">
        <v>23.875060118226699</v>
      </c>
      <c r="O14" s="59">
        <v>0.91718938033854003</v>
      </c>
      <c r="P14" s="59">
        <v>7.5789075167207202E-3</v>
      </c>
      <c r="Q14" s="59">
        <v>6.1369065537398502</v>
      </c>
      <c r="R14" s="59">
        <v>-8.5102028818989893E-3</v>
      </c>
      <c r="S14" s="59">
        <v>-8.7509230550708104</v>
      </c>
      <c r="T14" s="59">
        <v>0.455303507545049</v>
      </c>
      <c r="U14" s="59">
        <v>0</v>
      </c>
      <c r="V14" s="59">
        <v>0</v>
      </c>
      <c r="W14" s="59">
        <v>341086.52313481999</v>
      </c>
      <c r="X14" s="59">
        <v>341086.52313481999</v>
      </c>
      <c r="Y14" s="59">
        <v>0</v>
      </c>
      <c r="Z14" s="59">
        <v>341086.52313481999</v>
      </c>
      <c r="AA14" s="59">
        <v>341086.52313481999</v>
      </c>
      <c r="AB14" s="59">
        <v>0</v>
      </c>
      <c r="AC14" s="59">
        <v>341086.52313481999</v>
      </c>
      <c r="AD14" s="38">
        <v>1.1830375046759814E-2</v>
      </c>
      <c r="AE14" s="38">
        <v>65.349999999999994</v>
      </c>
      <c r="AF14" s="35">
        <v>1.1369550771160699</v>
      </c>
      <c r="AG14" s="35">
        <v>1.1369076246774601</v>
      </c>
      <c r="AH14" s="35">
        <f t="shared" ref="AH14:AH24" si="21">J14*K14</f>
        <v>0</v>
      </c>
      <c r="AI14" s="35">
        <v>0.01</v>
      </c>
      <c r="AJ14" s="35">
        <v>0</v>
      </c>
      <c r="AK14" s="35" t="str">
        <f t="shared" ref="AK14:AK24" si="22">B14&amp;"-"&amp;D14</f>
        <v>ICE NBP-EURC Apr-12 27-MAR-12 45.00</v>
      </c>
      <c r="AL14" s="3" t="str">
        <f t="shared" si="0"/>
        <v>C</v>
      </c>
      <c r="AM14" s="91">
        <f t="shared" ref="AM14:AM24" si="23">N14/AG14</f>
        <v>21.000000000000032</v>
      </c>
      <c r="AN14" s="93">
        <f t="shared" ref="AN14:AN24" si="24">ImpliedVolatilityB76Future($E$9,AL14,AE14,H14,G14,AM14,AD14)</f>
        <v>0.45305743059032949</v>
      </c>
      <c r="AO14" s="3">
        <f t="shared" ref="AO14:AO24" si="25">AM14*AG14</f>
        <v>23.875060118226699</v>
      </c>
      <c r="AP14" s="94">
        <f t="shared" ref="AP14:AP24" si="26">B76Future($E$9,AL14,AE14,H14,G14,AN14,AD14)</f>
        <v>21.000000000000032</v>
      </c>
      <c r="AQ14" s="94">
        <f t="shared" ref="AQ14:AQ24" si="27">B76Future($E$9,AL14,AE14,H14,G14,T14,AD14)</f>
        <v>21.013729746094725</v>
      </c>
      <c r="AR14" s="3">
        <f t="shared" ref="AR14:AR24" si="28">AJ14*AF14</f>
        <v>0</v>
      </c>
      <c r="AS14" s="3">
        <f t="shared" ref="AS14:AS24" si="29">B76Delta($E$9,AL14,AE14,H14,G14,T14,AD14)</f>
        <v>0.91718938071984668</v>
      </c>
      <c r="AT14" s="3">
        <f t="shared" si="1"/>
        <v>7.5789074930557058E-3</v>
      </c>
      <c r="AU14" s="3">
        <f t="shared" si="2"/>
        <v>6.1369065416743371</v>
      </c>
      <c r="AV14" s="3">
        <f t="shared" si="3"/>
        <v>-8.5102028618357951E-3</v>
      </c>
      <c r="AW14" s="3">
        <f t="shared" si="4"/>
        <v>-8.7509230723462963</v>
      </c>
      <c r="AX14" s="67">
        <f t="shared" ref="AX14:AX24" si="30">-AR14*AH14*AI14</f>
        <v>0</v>
      </c>
      <c r="AY14" s="3">
        <f t="shared" ref="AY14:AY24" si="31">AO14*AH14*AI14</f>
        <v>0</v>
      </c>
      <c r="AZ14" s="3">
        <f t="shared" ref="AZ14:AZ24" si="32">AY14</f>
        <v>0</v>
      </c>
      <c r="BA14" s="3">
        <f>1*1000000*30*AF14/100</f>
        <v>341086.52313482098</v>
      </c>
      <c r="BB14" s="3">
        <f t="shared" ref="BB14:BB18" si="33">AX14+BA14</f>
        <v>341086.52313482098</v>
      </c>
      <c r="BC14" s="3">
        <f t="shared" ref="BC14:BC18" si="34">AZ14</f>
        <v>0</v>
      </c>
      <c r="BD14" s="3">
        <f t="shared" ref="BD14:BD18" si="35">BB14+BC14</f>
        <v>341086.52313482098</v>
      </c>
      <c r="BE14" s="3">
        <f t="shared" ref="BE14:BE18" si="36">BA14+AX14</f>
        <v>341086.52313482098</v>
      </c>
      <c r="BF14" s="3">
        <f t="shared" ref="BF14:BF18" si="37">AZ14</f>
        <v>0</v>
      </c>
      <c r="BG14" s="3">
        <f t="shared" ref="BG14:BG18" si="38">BE14+BF14</f>
        <v>341086.52313482098</v>
      </c>
      <c r="BH14" s="89">
        <f t="shared" si="5"/>
        <v>0</v>
      </c>
      <c r="BI14" s="92">
        <f t="shared" ref="BI14:BI24" si="39">QaAssert(T14,AN14)</f>
        <v>4.9575987569454583E-3</v>
      </c>
      <c r="BJ14" s="41">
        <f t="shared" ref="BJ14:BJ24" si="40">QaAssert(L14,AR14)</f>
        <v>0</v>
      </c>
      <c r="BK14" s="5">
        <f t="shared" si="6"/>
        <v>0</v>
      </c>
      <c r="BL14" s="5">
        <f t="shared" si="7"/>
        <v>0</v>
      </c>
      <c r="BM14" s="5">
        <f t="shared" si="8"/>
        <v>0</v>
      </c>
      <c r="BN14" s="5">
        <f t="shared" si="9"/>
        <v>0</v>
      </c>
      <c r="BO14" s="5">
        <f t="shared" si="10"/>
        <v>0</v>
      </c>
      <c r="BP14" s="5">
        <f t="shared" si="11"/>
        <v>0</v>
      </c>
      <c r="BQ14" s="5">
        <f t="shared" si="12"/>
        <v>0</v>
      </c>
      <c r="BR14" s="5">
        <f t="shared" si="13"/>
        <v>0</v>
      </c>
      <c r="BS14" s="5">
        <f t="shared" si="14"/>
        <v>0</v>
      </c>
      <c r="BT14" s="5">
        <f t="shared" si="15"/>
        <v>0</v>
      </c>
      <c r="BU14" s="5">
        <f t="shared" si="16"/>
        <v>0</v>
      </c>
      <c r="BV14" s="5">
        <f t="shared" si="17"/>
        <v>0</v>
      </c>
      <c r="BW14" s="5">
        <f t="shared" si="18"/>
        <v>0</v>
      </c>
      <c r="BX14" s="5">
        <f t="shared" si="19"/>
        <v>0</v>
      </c>
      <c r="BY14" s="5">
        <f t="shared" si="20"/>
        <v>0</v>
      </c>
      <c r="BZ14" s="95"/>
      <c r="CA14" s="96">
        <f t="shared" ref="CA14:CA24" si="41">O14*AH14</f>
        <v>0</v>
      </c>
      <c r="CB14" s="96">
        <f t="shared" ref="CB14:CB24" si="42">P14*AH14</f>
        <v>0</v>
      </c>
      <c r="CC14" s="96">
        <f t="shared" ref="CC14:CC24" si="43">Q14*AH14</f>
        <v>0</v>
      </c>
      <c r="CD14" s="96">
        <f t="shared" ref="CD14:CD24" si="44">R14*AH14</f>
        <v>0</v>
      </c>
      <c r="CE14" s="80"/>
    </row>
    <row r="15" spans="2:83" x14ac:dyDescent="0.25">
      <c r="B15" s="59" t="s">
        <v>19</v>
      </c>
      <c r="C15" s="59" t="s">
        <v>20</v>
      </c>
      <c r="D15" s="59" t="s">
        <v>152</v>
      </c>
      <c r="E15" s="60">
        <v>41061</v>
      </c>
      <c r="F15" s="60">
        <v>41090</v>
      </c>
      <c r="G15" s="60">
        <v>41054</v>
      </c>
      <c r="H15" s="59">
        <v>45</v>
      </c>
      <c r="I15" s="59" t="s">
        <v>3</v>
      </c>
      <c r="J15" s="59">
        <v>10</v>
      </c>
      <c r="K15" s="59">
        <v>720</v>
      </c>
      <c r="L15" s="59">
        <v>3.57</v>
      </c>
      <c r="M15" s="59">
        <v>-25704</v>
      </c>
      <c r="N15" s="59">
        <v>2E-3</v>
      </c>
      <c r="O15" s="59">
        <v>1.5308736844508401E-3</v>
      </c>
      <c r="P15" s="59">
        <v>1.0328638609828E-3</v>
      </c>
      <c r="Q15" s="59">
        <v>9.4478944220857994E-2</v>
      </c>
      <c r="R15" s="61">
        <v>-5.6489645072591501E-5</v>
      </c>
      <c r="S15" s="59">
        <v>-1.1574468738457099E-3</v>
      </c>
      <c r="T15" s="59">
        <v>0.25277129176244401</v>
      </c>
      <c r="U15" s="59">
        <v>14.4</v>
      </c>
      <c r="V15" s="59">
        <v>14.4</v>
      </c>
      <c r="W15" s="59">
        <v>1980</v>
      </c>
      <c r="X15" s="59">
        <v>-23724</v>
      </c>
      <c r="Y15" s="59">
        <v>14.4</v>
      </c>
      <c r="Z15" s="59">
        <v>-23709.599999999999</v>
      </c>
      <c r="AA15" s="59">
        <v>-23724</v>
      </c>
      <c r="AB15" s="59">
        <v>14.4</v>
      </c>
      <c r="AC15" s="59">
        <v>-23709.599999999999</v>
      </c>
      <c r="AD15" s="38">
        <v>1.8547095638830498E-2</v>
      </c>
      <c r="AE15" s="38">
        <v>25.02</v>
      </c>
      <c r="AF15" s="38">
        <v>1</v>
      </c>
      <c r="AG15" s="35">
        <v>1</v>
      </c>
      <c r="AH15" s="35">
        <f t="shared" si="21"/>
        <v>7200</v>
      </c>
      <c r="AI15" s="35">
        <v>1</v>
      </c>
      <c r="AJ15" s="35">
        <v>3.57</v>
      </c>
      <c r="AK15" s="35" t="str">
        <f t="shared" si="22"/>
        <v>ICE TTF-EURC Jun-12 25-MAY-12 45.00</v>
      </c>
      <c r="AL15" s="3" t="str">
        <f t="shared" si="0"/>
        <v>C</v>
      </c>
      <c r="AM15" s="91">
        <f t="shared" si="23"/>
        <v>2E-3</v>
      </c>
      <c r="AN15" s="93">
        <f t="shared" si="24"/>
        <v>0.25274779994784696</v>
      </c>
      <c r="AO15" s="3">
        <f t="shared" si="25"/>
        <v>2E-3</v>
      </c>
      <c r="AP15" s="94">
        <f t="shared" si="26"/>
        <v>2.0000000000001323E-3</v>
      </c>
      <c r="AQ15" s="94">
        <f t="shared" si="27"/>
        <v>2.0022185208774133E-3</v>
      </c>
      <c r="AR15" s="3">
        <f t="shared" si="28"/>
        <v>3.57</v>
      </c>
      <c r="AS15" s="3">
        <f t="shared" si="29"/>
        <v>1.5308736863120353E-3</v>
      </c>
      <c r="AT15" s="3">
        <f t="shared" si="1"/>
        <v>1.0328638612173786E-3</v>
      </c>
      <c r="AU15" s="3">
        <f t="shared" si="2"/>
        <v>9.4478944247491384E-2</v>
      </c>
      <c r="AV15" s="3">
        <f t="shared" si="3"/>
        <v>-5.6489645085698401E-5</v>
      </c>
      <c r="AW15" s="3">
        <f t="shared" si="4"/>
        <v>-1.1574468709729703E-3</v>
      </c>
      <c r="AX15" s="67">
        <f t="shared" si="30"/>
        <v>-25704</v>
      </c>
      <c r="AY15" s="3">
        <f t="shared" si="31"/>
        <v>14.4</v>
      </c>
      <c r="AZ15" s="3">
        <f t="shared" si="32"/>
        <v>14.4</v>
      </c>
      <c r="BA15" s="3">
        <f>(4.21-3.66)*5*K15</f>
        <v>1979.9999999999993</v>
      </c>
      <c r="BB15" s="3">
        <f t="shared" si="33"/>
        <v>-23724</v>
      </c>
      <c r="BC15" s="3">
        <f t="shared" si="34"/>
        <v>14.4</v>
      </c>
      <c r="BD15" s="3">
        <f t="shared" si="35"/>
        <v>-23709.599999999999</v>
      </c>
      <c r="BE15" s="3">
        <f t="shared" si="36"/>
        <v>-23724</v>
      </c>
      <c r="BF15" s="3">
        <f t="shared" si="37"/>
        <v>14.4</v>
      </c>
      <c r="BG15" s="3">
        <f t="shared" si="38"/>
        <v>-23709.599999999999</v>
      </c>
      <c r="BH15" s="89">
        <f>AS15*AH15</f>
        <v>11.022290541446655</v>
      </c>
      <c r="BI15" s="92">
        <f t="shared" si="39"/>
        <v>9.2945673916489113E-5</v>
      </c>
      <c r="BJ15" s="41">
        <f t="shared" si="40"/>
        <v>0</v>
      </c>
      <c r="BK15" s="5">
        <f t="shared" si="6"/>
        <v>0</v>
      </c>
      <c r="BL15" s="5">
        <f t="shared" si="7"/>
        <v>0</v>
      </c>
      <c r="BM15" s="5">
        <f t="shared" si="8"/>
        <v>0</v>
      </c>
      <c r="BN15" s="5">
        <f t="shared" si="9"/>
        <v>0</v>
      </c>
      <c r="BO15" s="5">
        <f t="shared" si="10"/>
        <v>0</v>
      </c>
      <c r="BP15" s="5">
        <f t="shared" si="11"/>
        <v>0</v>
      </c>
      <c r="BQ15" s="5">
        <f t="shared" si="12"/>
        <v>0</v>
      </c>
      <c r="BR15" s="5">
        <f t="shared" si="13"/>
        <v>0</v>
      </c>
      <c r="BS15" s="5">
        <f t="shared" si="14"/>
        <v>0</v>
      </c>
      <c r="BT15" s="5">
        <f t="shared" si="15"/>
        <v>0</v>
      </c>
      <c r="BU15" s="5">
        <f t="shared" si="16"/>
        <v>0</v>
      </c>
      <c r="BV15" s="5">
        <f t="shared" si="17"/>
        <v>0</v>
      </c>
      <c r="BW15" s="5">
        <f t="shared" si="18"/>
        <v>0</v>
      </c>
      <c r="BX15" s="5">
        <f t="shared" si="19"/>
        <v>0</v>
      </c>
      <c r="BY15" s="5">
        <f t="shared" si="20"/>
        <v>0</v>
      </c>
      <c r="BZ15" s="95"/>
      <c r="CA15" s="96">
        <f t="shared" si="41"/>
        <v>11.022290528046048</v>
      </c>
      <c r="CB15" s="96">
        <f t="shared" si="42"/>
        <v>7.4366197990761602</v>
      </c>
      <c r="CC15" s="96">
        <f>Q15*AH15/100</f>
        <v>6.8024839839017748</v>
      </c>
      <c r="CD15" s="96">
        <f t="shared" si="44"/>
        <v>-0.4067254445226588</v>
      </c>
      <c r="CE15" s="80"/>
    </row>
    <row r="16" spans="2:83" x14ac:dyDescent="0.25">
      <c r="B16" s="59" t="s">
        <v>19</v>
      </c>
      <c r="C16" s="59" t="s">
        <v>20</v>
      </c>
      <c r="D16" s="59" t="s">
        <v>153</v>
      </c>
      <c r="E16" s="60">
        <v>41061</v>
      </c>
      <c r="F16" s="60">
        <v>41090</v>
      </c>
      <c r="G16" s="60">
        <v>41054</v>
      </c>
      <c r="H16" s="59">
        <v>45</v>
      </c>
      <c r="I16" s="59" t="s">
        <v>3</v>
      </c>
      <c r="J16" s="59">
        <v>10</v>
      </c>
      <c r="K16" s="59">
        <v>720</v>
      </c>
      <c r="L16" s="59">
        <v>3.57</v>
      </c>
      <c r="M16" s="59">
        <v>-25704</v>
      </c>
      <c r="N16" s="59">
        <v>19.75</v>
      </c>
      <c r="O16" s="59">
        <v>-0.98601568958200403</v>
      </c>
      <c r="P16" s="59">
        <v>1.9190608133150999E-3</v>
      </c>
      <c r="Q16" s="59">
        <v>0.19045521425322401</v>
      </c>
      <c r="R16" s="59">
        <v>8.8091754056615504E-4</v>
      </c>
      <c r="S16" s="59">
        <v>-11.4297878792256</v>
      </c>
      <c r="T16" s="59">
        <v>0.274245764083487</v>
      </c>
      <c r="U16" s="59">
        <v>142200</v>
      </c>
      <c r="V16" s="59">
        <v>142200</v>
      </c>
      <c r="W16" s="59">
        <v>1980</v>
      </c>
      <c r="X16" s="59">
        <v>-23724</v>
      </c>
      <c r="Y16" s="59">
        <v>142200</v>
      </c>
      <c r="Z16" s="59">
        <v>118476</v>
      </c>
      <c r="AA16" s="59">
        <v>-23724</v>
      </c>
      <c r="AB16" s="59">
        <v>142200</v>
      </c>
      <c r="AC16" s="59">
        <v>118476</v>
      </c>
      <c r="AD16" s="38">
        <v>1.8547095638830498E-2</v>
      </c>
      <c r="AE16" s="38">
        <v>25.02</v>
      </c>
      <c r="AF16" s="38">
        <v>1</v>
      </c>
      <c r="AG16" s="35">
        <v>1</v>
      </c>
      <c r="AH16" s="35">
        <f t="shared" si="21"/>
        <v>7200</v>
      </c>
      <c r="AI16" s="35">
        <v>1</v>
      </c>
      <c r="AJ16" s="35">
        <v>3.57</v>
      </c>
      <c r="AK16" s="35" t="str">
        <f t="shared" si="22"/>
        <v>ICE TTF-EURP Jun-12 25-MAY-12 45.00</v>
      </c>
      <c r="AL16" s="3" t="str">
        <f t="shared" si="0"/>
        <v>P</v>
      </c>
      <c r="AM16" s="91">
        <f t="shared" si="23"/>
        <v>19.75</v>
      </c>
      <c r="AN16" s="93">
        <f t="shared" si="24"/>
        <v>0.12430853660892527</v>
      </c>
      <c r="AO16" s="3">
        <f t="shared" si="25"/>
        <v>19.75</v>
      </c>
      <c r="AP16" s="94">
        <f t="shared" si="26"/>
        <v>19.766923836491841</v>
      </c>
      <c r="AQ16" s="94">
        <f t="shared" si="27"/>
        <v>19.771907943836464</v>
      </c>
      <c r="AR16" s="3">
        <f t="shared" si="28"/>
        <v>3.57</v>
      </c>
      <c r="AS16" s="3">
        <f t="shared" si="29"/>
        <v>-0.98601568957589236</v>
      </c>
      <c r="AT16" s="3">
        <f t="shared" si="1"/>
        <v>1.9190608136771426E-3</v>
      </c>
      <c r="AU16" s="3">
        <f t="shared" si="2"/>
        <v>0.19045521429958948</v>
      </c>
      <c r="AV16" s="3">
        <f t="shared" si="3"/>
        <v>8.8091754054360971E-4</v>
      </c>
      <c r="AW16" s="3">
        <f t="shared" si="4"/>
        <v>-11.429787879861626</v>
      </c>
      <c r="AX16" s="67">
        <f t="shared" si="30"/>
        <v>-25704</v>
      </c>
      <c r="AY16" s="3">
        <f t="shared" si="31"/>
        <v>142200</v>
      </c>
      <c r="AZ16" s="3">
        <f t="shared" si="32"/>
        <v>142200</v>
      </c>
      <c r="BA16" s="3">
        <f>(4.21-3.66)*5*K16</f>
        <v>1979.9999999999993</v>
      </c>
      <c r="BB16" s="3">
        <f t="shared" si="33"/>
        <v>-23724</v>
      </c>
      <c r="BC16" s="3">
        <f t="shared" si="34"/>
        <v>142200</v>
      </c>
      <c r="BD16" s="3">
        <f t="shared" si="35"/>
        <v>118476</v>
      </c>
      <c r="BE16" s="3">
        <f t="shared" si="36"/>
        <v>-23724</v>
      </c>
      <c r="BF16" s="3">
        <f t="shared" si="37"/>
        <v>142200</v>
      </c>
      <c r="BG16" s="3">
        <f t="shared" si="38"/>
        <v>118476</v>
      </c>
      <c r="BH16" s="89">
        <f t="shared" si="5"/>
        <v>-7099.3129649464254</v>
      </c>
      <c r="BI16" s="92">
        <f t="shared" si="39"/>
        <v>1.206169998978142</v>
      </c>
      <c r="BJ16" s="41">
        <f t="shared" si="40"/>
        <v>0</v>
      </c>
      <c r="BK16" s="5">
        <f t="shared" si="6"/>
        <v>0</v>
      </c>
      <c r="BL16" s="5">
        <f t="shared" si="7"/>
        <v>0</v>
      </c>
      <c r="BM16" s="5">
        <f t="shared" si="8"/>
        <v>0</v>
      </c>
      <c r="BN16" s="5">
        <f t="shared" si="9"/>
        <v>0</v>
      </c>
      <c r="BO16" s="5">
        <f t="shared" si="10"/>
        <v>0</v>
      </c>
      <c r="BP16" s="5">
        <f t="shared" si="11"/>
        <v>0</v>
      </c>
      <c r="BQ16" s="5">
        <f t="shared" si="12"/>
        <v>0</v>
      </c>
      <c r="BR16" s="5">
        <f t="shared" si="13"/>
        <v>0</v>
      </c>
      <c r="BS16" s="5">
        <f t="shared" si="14"/>
        <v>0</v>
      </c>
      <c r="BT16" s="5">
        <f t="shared" si="15"/>
        <v>0</v>
      </c>
      <c r="BU16" s="5">
        <f t="shared" si="16"/>
        <v>0</v>
      </c>
      <c r="BV16" s="5">
        <f t="shared" si="17"/>
        <v>0</v>
      </c>
      <c r="BW16" s="5">
        <f t="shared" si="18"/>
        <v>0</v>
      </c>
      <c r="BX16" s="5">
        <f t="shared" si="19"/>
        <v>0</v>
      </c>
      <c r="BY16" s="5">
        <f t="shared" si="20"/>
        <v>0</v>
      </c>
      <c r="BZ16" s="95"/>
      <c r="CA16" s="96">
        <f t="shared" si="41"/>
        <v>-7099.3129649904295</v>
      </c>
      <c r="CB16" s="96">
        <f t="shared" si="42"/>
        <v>13.81723785586872</v>
      </c>
      <c r="CC16" s="96">
        <f>Q16*AH16/100</f>
        <v>13.712775426232129</v>
      </c>
      <c r="CD16" s="96">
        <f t="shared" si="44"/>
        <v>6.342606292076316</v>
      </c>
      <c r="CE16" s="80"/>
    </row>
    <row r="17" spans="2:83" x14ac:dyDescent="0.25">
      <c r="B17" s="59" t="s">
        <v>150</v>
      </c>
      <c r="C17" s="59" t="s">
        <v>154</v>
      </c>
      <c r="D17" s="59" t="s">
        <v>153</v>
      </c>
      <c r="E17" s="60">
        <v>41061</v>
      </c>
      <c r="F17" s="60">
        <v>41090</v>
      </c>
      <c r="G17" s="60">
        <v>41054</v>
      </c>
      <c r="H17" s="59">
        <v>45</v>
      </c>
      <c r="I17" s="59" t="s">
        <v>3</v>
      </c>
      <c r="J17" s="59">
        <v>1000000</v>
      </c>
      <c r="K17" s="59">
        <v>720</v>
      </c>
      <c r="L17" s="59">
        <v>4.0589296253043603</v>
      </c>
      <c r="M17" s="59">
        <v>-1217678.8882490301</v>
      </c>
      <c r="N17" s="59">
        <v>0.28422690616936602</v>
      </c>
      <c r="O17" s="59">
        <v>-4.7999557363519303E-2</v>
      </c>
      <c r="P17" s="59">
        <v>8.5549832545019095E-3</v>
      </c>
      <c r="Q17" s="59">
        <v>4.6036012558525696</v>
      </c>
      <c r="R17" s="59">
        <v>-2.74221646743228E-3</v>
      </c>
      <c r="S17" s="59">
        <v>-0.144641320175843</v>
      </c>
      <c r="T17" s="59">
        <v>0.25222979167256898</v>
      </c>
      <c r="U17" s="59">
        <v>85268.071850809705</v>
      </c>
      <c r="V17" s="59">
        <v>85268.071850809705</v>
      </c>
      <c r="W17" s="59">
        <v>0</v>
      </c>
      <c r="X17" s="59">
        <v>-1217678.8882490301</v>
      </c>
      <c r="Y17" s="59">
        <v>85268.071850809705</v>
      </c>
      <c r="Z17" s="59">
        <v>-1132410.8163982199</v>
      </c>
      <c r="AA17" s="59">
        <v>-1217678.8882490301</v>
      </c>
      <c r="AB17" s="59">
        <v>85268.071850809705</v>
      </c>
      <c r="AC17" s="62">
        <v>-1132410.8163982199</v>
      </c>
      <c r="AD17" s="38">
        <v>1.3654592302963252E-2</v>
      </c>
      <c r="AE17" s="38">
        <v>60.75</v>
      </c>
      <c r="AF17" s="35">
        <v>1.1369550771160699</v>
      </c>
      <c r="AG17" s="35">
        <v>1.1369076246774601</v>
      </c>
      <c r="AH17" s="35">
        <f>J17*30</f>
        <v>30000000</v>
      </c>
      <c r="AI17" s="35">
        <v>0.01</v>
      </c>
      <c r="AJ17" s="35">
        <v>3.57</v>
      </c>
      <c r="AK17" s="35" t="str">
        <f t="shared" si="22"/>
        <v>ICE NBP-EURP Jun-12 25-MAY-12 45.00</v>
      </c>
      <c r="AL17" s="3" t="str">
        <f t="shared" si="0"/>
        <v>P</v>
      </c>
      <c r="AM17" s="91">
        <f t="shared" si="23"/>
        <v>0.25000000000000089</v>
      </c>
      <c r="AN17" s="93">
        <f t="shared" si="24"/>
        <v>0.2521844000849261</v>
      </c>
      <c r="AO17" s="3">
        <f t="shared" si="25"/>
        <v>0.28422690616936602</v>
      </c>
      <c r="AP17" s="94">
        <f t="shared" si="26"/>
        <v>0.25000000000000439</v>
      </c>
      <c r="AQ17" s="94">
        <f t="shared" si="27"/>
        <v>0.25020891889506375</v>
      </c>
      <c r="AR17" s="3">
        <f t="shared" si="28"/>
        <v>4.0589296253043692</v>
      </c>
      <c r="AS17" s="3">
        <f t="shared" si="29"/>
        <v>-4.7999557043552611E-2</v>
      </c>
      <c r="AT17" s="3">
        <f t="shared" si="1"/>
        <v>8.5549832101965914E-3</v>
      </c>
      <c r="AU17" s="3">
        <f t="shared" si="2"/>
        <v>4.6036012372369024</v>
      </c>
      <c r="AV17" s="3">
        <f t="shared" si="3"/>
        <v>-2.7422164561512353E-3</v>
      </c>
      <c r="AW17" s="3">
        <f t="shared" si="4"/>
        <v>-0.14464132023796836</v>
      </c>
      <c r="AX17" s="67">
        <f t="shared" si="30"/>
        <v>-1217678.8875913108</v>
      </c>
      <c r="AY17" s="3">
        <f t="shared" si="31"/>
        <v>85268.071850809807</v>
      </c>
      <c r="AZ17" s="3">
        <f t="shared" si="32"/>
        <v>85268.071850809807</v>
      </c>
      <c r="BA17" s="3">
        <v>0</v>
      </c>
      <c r="BB17" s="3">
        <f t="shared" si="33"/>
        <v>-1217678.8875913108</v>
      </c>
      <c r="BC17" s="3">
        <f t="shared" si="34"/>
        <v>85268.071850809807</v>
      </c>
      <c r="BD17" s="3">
        <f t="shared" si="35"/>
        <v>-1132410.815740501</v>
      </c>
      <c r="BE17" s="3">
        <f t="shared" si="36"/>
        <v>-1217678.8875913108</v>
      </c>
      <c r="BF17" s="3">
        <f t="shared" si="37"/>
        <v>85268.071850809807</v>
      </c>
      <c r="BG17" s="3">
        <f t="shared" si="38"/>
        <v>-1132410.815740501</v>
      </c>
      <c r="BH17" s="89">
        <f>AS17*AH17</f>
        <v>-1439986.7113065782</v>
      </c>
      <c r="BI17" s="92">
        <f t="shared" si="39"/>
        <v>1.7999363809817481E-4</v>
      </c>
      <c r="BJ17" s="41">
        <f t="shared" si="40"/>
        <v>0</v>
      </c>
      <c r="BK17" s="5">
        <f t="shared" si="6"/>
        <v>0</v>
      </c>
      <c r="BL17" s="5">
        <f t="shared" si="7"/>
        <v>0</v>
      </c>
      <c r="BM17" s="5">
        <f t="shared" si="8"/>
        <v>0</v>
      </c>
      <c r="BN17" s="5">
        <f t="shared" si="9"/>
        <v>0</v>
      </c>
      <c r="BO17" s="5">
        <f t="shared" si="10"/>
        <v>0</v>
      </c>
      <c r="BP17" s="5">
        <f t="shared" si="11"/>
        <v>0</v>
      </c>
      <c r="BQ17" s="5">
        <f t="shared" si="12"/>
        <v>0</v>
      </c>
      <c r="BR17" s="5">
        <f t="shared" si="13"/>
        <v>0</v>
      </c>
      <c r="BS17" s="5">
        <f t="shared" si="14"/>
        <v>0</v>
      </c>
      <c r="BT17" s="5">
        <f t="shared" si="15"/>
        <v>0</v>
      </c>
      <c r="BU17" s="5">
        <f t="shared" si="16"/>
        <v>0</v>
      </c>
      <c r="BV17" s="5">
        <f t="shared" si="17"/>
        <v>0</v>
      </c>
      <c r="BW17" s="5">
        <f t="shared" si="18"/>
        <v>0</v>
      </c>
      <c r="BX17" s="5">
        <f t="shared" si="19"/>
        <v>0</v>
      </c>
      <c r="BY17" s="5">
        <f t="shared" si="20"/>
        <v>0</v>
      </c>
      <c r="BZ17" s="95"/>
      <c r="CA17" s="96">
        <f t="shared" si="41"/>
        <v>-1439986.7209055792</v>
      </c>
      <c r="CB17" s="96">
        <f t="shared" si="42"/>
        <v>256649.49763505728</v>
      </c>
      <c r="CC17" s="96">
        <f>Q17*AH17/100</f>
        <v>1381080.3767557708</v>
      </c>
      <c r="CD17" s="96">
        <f t="shared" si="44"/>
        <v>-82266.4940229684</v>
      </c>
      <c r="CE17" s="80"/>
    </row>
    <row r="18" spans="2:83" x14ac:dyDescent="0.25">
      <c r="B18" s="62" t="s">
        <v>19</v>
      </c>
      <c r="C18" s="62" t="s">
        <v>82</v>
      </c>
      <c r="D18" s="62" t="s">
        <v>83</v>
      </c>
      <c r="E18" s="60">
        <v>40603</v>
      </c>
      <c r="F18" s="60">
        <v>40633</v>
      </c>
      <c r="G18" s="60">
        <v>40598</v>
      </c>
      <c r="H18" s="59">
        <v>45</v>
      </c>
      <c r="I18" s="63" t="s">
        <v>8</v>
      </c>
      <c r="J18" s="59">
        <v>10</v>
      </c>
      <c r="K18" s="59">
        <v>743</v>
      </c>
      <c r="L18" s="59">
        <v>3.57</v>
      </c>
      <c r="M18" s="59">
        <v>-26525.1</v>
      </c>
      <c r="N18" s="59">
        <v>0</v>
      </c>
      <c r="O18" s="59">
        <v>0</v>
      </c>
      <c r="P18" s="59">
        <v>0</v>
      </c>
      <c r="Q18" s="59">
        <v>0</v>
      </c>
      <c r="R18" s="59">
        <v>0</v>
      </c>
      <c r="S18" s="59">
        <v>0</v>
      </c>
      <c r="T18" s="59">
        <v>0</v>
      </c>
      <c r="U18" s="59">
        <v>0</v>
      </c>
      <c r="V18" s="59">
        <v>0</v>
      </c>
      <c r="W18" s="59">
        <v>2043.25</v>
      </c>
      <c r="X18" s="59">
        <v>-24481.85</v>
      </c>
      <c r="Y18" s="59">
        <v>0</v>
      </c>
      <c r="Z18" s="59">
        <v>-24481.85</v>
      </c>
      <c r="AA18" s="59">
        <v>-24481.85</v>
      </c>
      <c r="AB18" s="59">
        <v>0</v>
      </c>
      <c r="AC18" s="59">
        <v>-24481.85</v>
      </c>
      <c r="AD18" s="35"/>
      <c r="AE18" s="35"/>
      <c r="AF18" s="38">
        <v>1</v>
      </c>
      <c r="AG18" s="35">
        <v>1</v>
      </c>
      <c r="AH18" s="35">
        <f t="shared" si="21"/>
        <v>7430</v>
      </c>
      <c r="AI18" s="35">
        <v>1</v>
      </c>
      <c r="AJ18" s="35">
        <v>3.57</v>
      </c>
      <c r="AK18" s="35" t="str">
        <f t="shared" si="22"/>
        <v>ICE TTF-EURC Mar-11 24-FEB-11 45.00</v>
      </c>
      <c r="AL18" s="3" t="str">
        <f t="shared" si="0"/>
        <v>C</v>
      </c>
      <c r="AM18" s="91">
        <f t="shared" si="23"/>
        <v>0</v>
      </c>
      <c r="AN18" s="93">
        <f t="shared" si="24"/>
        <v>0</v>
      </c>
      <c r="AO18" s="3">
        <f t="shared" si="25"/>
        <v>0</v>
      </c>
      <c r="AP18" s="94">
        <f t="shared" si="26"/>
        <v>0</v>
      </c>
      <c r="AQ18" s="94">
        <f t="shared" si="27"/>
        <v>0</v>
      </c>
      <c r="AR18" s="3">
        <f t="shared" si="28"/>
        <v>3.57</v>
      </c>
      <c r="AS18" s="3">
        <f t="shared" si="29"/>
        <v>0</v>
      </c>
      <c r="AT18" s="3">
        <f t="shared" si="1"/>
        <v>0</v>
      </c>
      <c r="AU18" s="3">
        <f t="shared" si="2"/>
        <v>0</v>
      </c>
      <c r="AV18" s="3">
        <f t="shared" si="3"/>
        <v>0</v>
      </c>
      <c r="AW18" s="3">
        <f t="shared" si="4"/>
        <v>0</v>
      </c>
      <c r="AX18" s="67">
        <f t="shared" si="30"/>
        <v>-26525.1</v>
      </c>
      <c r="AY18" s="3">
        <f t="shared" si="31"/>
        <v>0</v>
      </c>
      <c r="AZ18" s="3">
        <f t="shared" si="32"/>
        <v>0</v>
      </c>
      <c r="BA18" s="3">
        <f>(4.21-3.66)*5*K18</f>
        <v>2043.2499999999993</v>
      </c>
      <c r="BB18" s="3">
        <f t="shared" si="33"/>
        <v>-24481.85</v>
      </c>
      <c r="BC18" s="3">
        <f t="shared" si="34"/>
        <v>0</v>
      </c>
      <c r="BD18" s="3">
        <f t="shared" si="35"/>
        <v>-24481.85</v>
      </c>
      <c r="BE18" s="3">
        <f t="shared" si="36"/>
        <v>-24481.85</v>
      </c>
      <c r="BF18" s="3">
        <f t="shared" si="37"/>
        <v>0</v>
      </c>
      <c r="BG18" s="3">
        <f t="shared" si="38"/>
        <v>-24481.85</v>
      </c>
      <c r="BH18" s="89">
        <f t="shared" si="5"/>
        <v>0</v>
      </c>
      <c r="BI18" s="41">
        <f t="shared" si="39"/>
        <v>0</v>
      </c>
      <c r="BJ18" s="41">
        <f t="shared" si="40"/>
        <v>0</v>
      </c>
      <c r="BK18" s="5">
        <f t="shared" si="6"/>
        <v>0</v>
      </c>
      <c r="BL18" s="5">
        <f t="shared" si="7"/>
        <v>0</v>
      </c>
      <c r="BM18" s="5">
        <f t="shared" si="8"/>
        <v>0</v>
      </c>
      <c r="BN18" s="5">
        <f t="shared" si="9"/>
        <v>0</v>
      </c>
      <c r="BO18" s="5">
        <f t="shared" si="10"/>
        <v>0</v>
      </c>
      <c r="BP18" s="5">
        <f t="shared" si="11"/>
        <v>0</v>
      </c>
      <c r="BQ18" s="5">
        <f t="shared" si="12"/>
        <v>0</v>
      </c>
      <c r="BR18" s="5">
        <f t="shared" si="13"/>
        <v>0</v>
      </c>
      <c r="BS18" s="5">
        <f t="shared" si="14"/>
        <v>0</v>
      </c>
      <c r="BT18" s="5">
        <f t="shared" si="15"/>
        <v>0</v>
      </c>
      <c r="BU18" s="5">
        <f t="shared" si="16"/>
        <v>0</v>
      </c>
      <c r="BV18" s="5">
        <f t="shared" si="17"/>
        <v>0</v>
      </c>
      <c r="BW18" s="5">
        <f t="shared" si="18"/>
        <v>0</v>
      </c>
      <c r="BX18" s="5">
        <f t="shared" si="19"/>
        <v>0</v>
      </c>
      <c r="BY18" s="5">
        <f t="shared" si="20"/>
        <v>0</v>
      </c>
      <c r="BZ18" s="95"/>
      <c r="CA18" s="96">
        <f t="shared" si="41"/>
        <v>0</v>
      </c>
      <c r="CB18" s="96">
        <f t="shared" si="42"/>
        <v>0</v>
      </c>
      <c r="CC18" s="96">
        <f t="shared" si="43"/>
        <v>0</v>
      </c>
      <c r="CD18" s="96">
        <f t="shared" si="44"/>
        <v>0</v>
      </c>
      <c r="CE18" s="80"/>
    </row>
    <row r="19" spans="2:83" x14ac:dyDescent="0.25">
      <c r="B19" s="64" t="s">
        <v>19</v>
      </c>
      <c r="C19" s="64" t="s">
        <v>82</v>
      </c>
      <c r="D19" s="64" t="s">
        <v>84</v>
      </c>
      <c r="E19" s="65">
        <v>40603</v>
      </c>
      <c r="F19" s="65">
        <v>40633</v>
      </c>
      <c r="G19" s="65">
        <v>40598</v>
      </c>
      <c r="H19" s="64">
        <v>45</v>
      </c>
      <c r="I19" s="64" t="s">
        <v>8</v>
      </c>
      <c r="J19" s="64">
        <v>10</v>
      </c>
      <c r="K19" s="64">
        <v>743</v>
      </c>
      <c r="L19" s="64">
        <v>3.57</v>
      </c>
      <c r="M19" s="64">
        <v>-26525.1</v>
      </c>
      <c r="N19" s="64">
        <v>0</v>
      </c>
      <c r="O19" s="64">
        <v>0</v>
      </c>
      <c r="P19" s="64">
        <v>0</v>
      </c>
      <c r="Q19" s="64">
        <v>0</v>
      </c>
      <c r="R19" s="64">
        <v>0</v>
      </c>
      <c r="S19" s="64">
        <v>0</v>
      </c>
      <c r="T19" s="64">
        <v>0</v>
      </c>
      <c r="U19" s="64">
        <v>0</v>
      </c>
      <c r="V19" s="64">
        <v>0</v>
      </c>
      <c r="W19" s="64">
        <v>2043.25</v>
      </c>
      <c r="X19" s="64">
        <v>-24481.85</v>
      </c>
      <c r="Y19" s="64">
        <v>0</v>
      </c>
      <c r="Z19" s="64">
        <v>-24481.85</v>
      </c>
      <c r="AA19" s="64">
        <v>-24481.85</v>
      </c>
      <c r="AB19" s="64">
        <v>0</v>
      </c>
      <c r="AC19" s="64">
        <v>-24481.85</v>
      </c>
      <c r="AD19" s="35"/>
      <c r="AE19" s="35"/>
      <c r="AF19" s="38">
        <v>1</v>
      </c>
      <c r="AG19" s="35">
        <v>1</v>
      </c>
      <c r="AH19" s="35">
        <f t="shared" si="21"/>
        <v>7430</v>
      </c>
      <c r="AI19" s="35">
        <v>1</v>
      </c>
      <c r="AJ19" s="35">
        <v>3.57</v>
      </c>
      <c r="AK19" s="35" t="str">
        <f t="shared" si="22"/>
        <v>ICE TTF-EURP Mar-11 24-FEB-11 45.00</v>
      </c>
      <c r="AL19" s="3" t="str">
        <f t="shared" si="0"/>
        <v>P</v>
      </c>
      <c r="AM19" s="91">
        <f t="shared" si="23"/>
        <v>0</v>
      </c>
      <c r="AN19" s="93">
        <f t="shared" si="24"/>
        <v>0</v>
      </c>
      <c r="AO19" s="3">
        <f t="shared" si="25"/>
        <v>0</v>
      </c>
      <c r="AP19" s="94">
        <f t="shared" si="26"/>
        <v>0</v>
      </c>
      <c r="AQ19" s="94">
        <f t="shared" si="27"/>
        <v>0</v>
      </c>
      <c r="AR19" s="3">
        <f t="shared" si="28"/>
        <v>3.57</v>
      </c>
      <c r="AS19" s="3">
        <f t="shared" si="29"/>
        <v>0</v>
      </c>
      <c r="AT19" s="3">
        <f t="shared" si="1"/>
        <v>0</v>
      </c>
      <c r="AU19" s="3">
        <f t="shared" si="2"/>
        <v>0</v>
      </c>
      <c r="AV19" s="3">
        <f t="shared" si="3"/>
        <v>0</v>
      </c>
      <c r="AW19" s="3">
        <f t="shared" si="4"/>
        <v>0</v>
      </c>
      <c r="AX19" s="67">
        <f t="shared" si="30"/>
        <v>-26525.1</v>
      </c>
      <c r="AY19" s="3">
        <f t="shared" si="31"/>
        <v>0</v>
      </c>
      <c r="AZ19" s="3">
        <f t="shared" si="32"/>
        <v>0</v>
      </c>
      <c r="BA19" s="3">
        <f>(4.21-3.66)*5*K19</f>
        <v>2043.2499999999993</v>
      </c>
      <c r="BB19" s="3">
        <f>AX19+BA19</f>
        <v>-24481.85</v>
      </c>
      <c r="BC19" s="3">
        <f>AZ19</f>
        <v>0</v>
      </c>
      <c r="BD19" s="3">
        <f>BB19+BC19</f>
        <v>-24481.85</v>
      </c>
      <c r="BE19" s="3">
        <f>BA19+AX19</f>
        <v>-24481.85</v>
      </c>
      <c r="BF19" s="3">
        <f>AZ19</f>
        <v>0</v>
      </c>
      <c r="BG19" s="3">
        <f>BE19+BF19</f>
        <v>-24481.85</v>
      </c>
      <c r="BH19" s="89">
        <f t="shared" si="5"/>
        <v>0</v>
      </c>
      <c r="BI19" s="41">
        <f t="shared" si="39"/>
        <v>0</v>
      </c>
      <c r="BJ19" s="41">
        <f t="shared" si="40"/>
        <v>0</v>
      </c>
      <c r="BK19" s="5">
        <f t="shared" si="6"/>
        <v>0</v>
      </c>
      <c r="BL19" s="5">
        <f t="shared" si="7"/>
        <v>0</v>
      </c>
      <c r="BM19" s="5">
        <f t="shared" si="8"/>
        <v>0</v>
      </c>
      <c r="BN19" s="5">
        <f t="shared" si="9"/>
        <v>0</v>
      </c>
      <c r="BO19" s="5">
        <f t="shared" si="10"/>
        <v>0</v>
      </c>
      <c r="BP19" s="5">
        <f t="shared" si="11"/>
        <v>0</v>
      </c>
      <c r="BQ19" s="5">
        <f t="shared" si="12"/>
        <v>0</v>
      </c>
      <c r="BR19" s="5">
        <f t="shared" si="13"/>
        <v>0</v>
      </c>
      <c r="BS19" s="5">
        <f t="shared" si="14"/>
        <v>0</v>
      </c>
      <c r="BT19" s="5">
        <f t="shared" si="15"/>
        <v>0</v>
      </c>
      <c r="BU19" s="5">
        <f t="shared" si="16"/>
        <v>0</v>
      </c>
      <c r="BV19" s="5">
        <f t="shared" si="17"/>
        <v>0</v>
      </c>
      <c r="BW19" s="5">
        <f t="shared" si="18"/>
        <v>0</v>
      </c>
      <c r="BX19" s="5">
        <f t="shared" si="19"/>
        <v>0</v>
      </c>
      <c r="BY19" s="5">
        <f t="shared" si="20"/>
        <v>0</v>
      </c>
      <c r="BZ19" s="95"/>
      <c r="CA19" s="96">
        <f t="shared" si="41"/>
        <v>0</v>
      </c>
      <c r="CB19" s="96">
        <f t="shared" si="42"/>
        <v>0</v>
      </c>
      <c r="CC19" s="96">
        <f t="shared" si="43"/>
        <v>0</v>
      </c>
      <c r="CD19" s="96">
        <f t="shared" si="44"/>
        <v>0</v>
      </c>
      <c r="CE19" s="80"/>
    </row>
    <row r="20" spans="2:83" x14ac:dyDescent="0.25">
      <c r="B20" s="64" t="s">
        <v>150</v>
      </c>
      <c r="C20" s="64" t="s">
        <v>155</v>
      </c>
      <c r="D20" s="64" t="s">
        <v>84</v>
      </c>
      <c r="E20" s="65">
        <v>40603</v>
      </c>
      <c r="F20" s="65">
        <v>40633</v>
      </c>
      <c r="G20" s="65">
        <v>40598</v>
      </c>
      <c r="H20" s="64">
        <v>45</v>
      </c>
      <c r="I20" s="64" t="s">
        <v>8</v>
      </c>
      <c r="J20" s="64">
        <v>1000000</v>
      </c>
      <c r="K20" s="64">
        <v>743</v>
      </c>
      <c r="L20" s="64">
        <v>4.0589296253043603</v>
      </c>
      <c r="M20" s="64">
        <v>-1258268.1845239899</v>
      </c>
      <c r="N20" s="64">
        <v>0</v>
      </c>
      <c r="O20" s="64">
        <v>0</v>
      </c>
      <c r="P20" s="64">
        <v>0</v>
      </c>
      <c r="Q20" s="64">
        <v>0</v>
      </c>
      <c r="R20" s="64">
        <v>0</v>
      </c>
      <c r="S20" s="64">
        <v>0</v>
      </c>
      <c r="T20" s="64">
        <v>0</v>
      </c>
      <c r="U20" s="64">
        <v>0</v>
      </c>
      <c r="V20" s="64">
        <v>0</v>
      </c>
      <c r="W20" s="64">
        <v>0</v>
      </c>
      <c r="X20" s="64">
        <v>-1258268.1845239899</v>
      </c>
      <c r="Y20" s="64">
        <v>0</v>
      </c>
      <c r="Z20" s="64">
        <v>-1258268.1845239899</v>
      </c>
      <c r="AA20" s="64">
        <v>-1258268.1845239899</v>
      </c>
      <c r="AB20" s="64">
        <v>0</v>
      </c>
      <c r="AC20" s="64">
        <v>-1258268.1845239899</v>
      </c>
      <c r="AD20" s="35"/>
      <c r="AE20" s="35"/>
      <c r="AF20" s="35">
        <v>1.1369550771160699</v>
      </c>
      <c r="AG20" s="35">
        <v>1.1369076246774601</v>
      </c>
      <c r="AH20" s="35">
        <f>J20*31</f>
        <v>31000000</v>
      </c>
      <c r="AI20" s="35">
        <v>0.01</v>
      </c>
      <c r="AJ20" s="35">
        <v>3.57</v>
      </c>
      <c r="AK20" s="35" t="str">
        <f t="shared" si="22"/>
        <v>ICE NBP-EURP Mar-11 24-FEB-11 45.00</v>
      </c>
      <c r="AL20" s="3" t="str">
        <f t="shared" si="0"/>
        <v>P</v>
      </c>
      <c r="AM20" s="91">
        <f t="shared" si="23"/>
        <v>0</v>
      </c>
      <c r="AN20" s="93">
        <f t="shared" si="24"/>
        <v>0</v>
      </c>
      <c r="AO20" s="3">
        <f t="shared" si="25"/>
        <v>0</v>
      </c>
      <c r="AP20" s="94">
        <f t="shared" si="26"/>
        <v>0</v>
      </c>
      <c r="AQ20" s="94">
        <f t="shared" si="27"/>
        <v>0</v>
      </c>
      <c r="AR20" s="3">
        <f t="shared" si="28"/>
        <v>4.0589296253043692</v>
      </c>
      <c r="AS20" s="3">
        <f t="shared" si="29"/>
        <v>0</v>
      </c>
      <c r="AT20" s="3">
        <f t="shared" si="1"/>
        <v>0</v>
      </c>
      <c r="AU20" s="3">
        <f t="shared" si="2"/>
        <v>0</v>
      </c>
      <c r="AV20" s="3">
        <f t="shared" si="3"/>
        <v>0</v>
      </c>
      <c r="AW20" s="3">
        <f t="shared" si="4"/>
        <v>0</v>
      </c>
      <c r="AX20" s="67">
        <f t="shared" si="30"/>
        <v>-1258268.1838443545</v>
      </c>
      <c r="AY20" s="3">
        <f t="shared" si="31"/>
        <v>0</v>
      </c>
      <c r="AZ20" s="3">
        <f t="shared" si="32"/>
        <v>0</v>
      </c>
      <c r="BA20" s="3"/>
      <c r="BB20" s="3">
        <f t="shared" ref="BB20:BB24" si="45">AX20+BA20</f>
        <v>-1258268.1838443545</v>
      </c>
      <c r="BC20" s="3">
        <f t="shared" ref="BC20:BC24" si="46">AZ20</f>
        <v>0</v>
      </c>
      <c r="BD20" s="3">
        <f t="shared" ref="BD20:BD24" si="47">BB20+BC20</f>
        <v>-1258268.1838443545</v>
      </c>
      <c r="BE20" s="3">
        <f t="shared" ref="BE20:BE24" si="48">BA20+AX20</f>
        <v>-1258268.1838443545</v>
      </c>
      <c r="BF20" s="3">
        <f t="shared" ref="BF20:BF24" si="49">AZ20</f>
        <v>0</v>
      </c>
      <c r="BG20" s="3">
        <f t="shared" ref="BG20:BG24" si="50">BE20+BF20</f>
        <v>-1258268.1838443545</v>
      </c>
      <c r="BH20" s="89">
        <f t="shared" si="5"/>
        <v>0</v>
      </c>
      <c r="BI20" s="41">
        <f t="shared" si="39"/>
        <v>0</v>
      </c>
      <c r="BJ20" s="41">
        <f t="shared" si="40"/>
        <v>0</v>
      </c>
      <c r="BK20" s="5">
        <f t="shared" si="6"/>
        <v>0</v>
      </c>
      <c r="BL20" s="5">
        <f t="shared" si="7"/>
        <v>0</v>
      </c>
      <c r="BM20" s="5">
        <f t="shared" si="8"/>
        <v>0</v>
      </c>
      <c r="BN20" s="5">
        <f t="shared" si="9"/>
        <v>0</v>
      </c>
      <c r="BO20" s="5">
        <f t="shared" si="10"/>
        <v>0</v>
      </c>
      <c r="BP20" s="5">
        <f t="shared" si="11"/>
        <v>0</v>
      </c>
      <c r="BQ20" s="5">
        <f t="shared" si="12"/>
        <v>0</v>
      </c>
      <c r="BR20" s="5">
        <f t="shared" si="13"/>
        <v>0</v>
      </c>
      <c r="BS20" s="5">
        <f t="shared" si="14"/>
        <v>0</v>
      </c>
      <c r="BT20" s="5">
        <f t="shared" si="15"/>
        <v>0</v>
      </c>
      <c r="BU20" s="5">
        <f t="shared" si="16"/>
        <v>0</v>
      </c>
      <c r="BV20" s="5">
        <f t="shared" si="17"/>
        <v>0</v>
      </c>
      <c r="BW20" s="5">
        <f t="shared" si="18"/>
        <v>0</v>
      </c>
      <c r="BX20" s="5">
        <f t="shared" si="19"/>
        <v>0</v>
      </c>
      <c r="BY20" s="5">
        <f t="shared" si="20"/>
        <v>0</v>
      </c>
      <c r="BZ20" s="95"/>
      <c r="CA20" s="96">
        <f t="shared" si="41"/>
        <v>0</v>
      </c>
      <c r="CB20" s="96">
        <f t="shared" si="42"/>
        <v>0</v>
      </c>
      <c r="CC20" s="96">
        <f t="shared" si="43"/>
        <v>0</v>
      </c>
      <c r="CD20" s="96">
        <f t="shared" si="44"/>
        <v>0</v>
      </c>
      <c r="CE20" s="80"/>
    </row>
    <row r="21" spans="2:83" x14ac:dyDescent="0.25">
      <c r="B21" s="64" t="s">
        <v>19</v>
      </c>
      <c r="C21" s="64" t="s">
        <v>156</v>
      </c>
      <c r="D21" s="64" t="s">
        <v>157</v>
      </c>
      <c r="E21" s="65">
        <v>40634</v>
      </c>
      <c r="F21" s="65">
        <v>40663</v>
      </c>
      <c r="G21" s="65">
        <v>40627</v>
      </c>
      <c r="H21" s="64">
        <v>45</v>
      </c>
      <c r="I21" s="64" t="s">
        <v>8</v>
      </c>
      <c r="J21" s="64">
        <v>0</v>
      </c>
      <c r="K21" s="64">
        <v>720</v>
      </c>
      <c r="L21" s="64">
        <v>0</v>
      </c>
      <c r="M21" s="64">
        <v>0</v>
      </c>
      <c r="N21" s="64">
        <v>0</v>
      </c>
      <c r="O21" s="64">
        <v>0</v>
      </c>
      <c r="P21" s="64">
        <v>0</v>
      </c>
      <c r="Q21" s="64">
        <v>0</v>
      </c>
      <c r="R21" s="64">
        <v>0</v>
      </c>
      <c r="S21" s="64">
        <v>0</v>
      </c>
      <c r="T21" s="64">
        <v>0</v>
      </c>
      <c r="U21" s="64">
        <v>0</v>
      </c>
      <c r="V21" s="64">
        <v>0</v>
      </c>
      <c r="W21" s="64">
        <v>7200</v>
      </c>
      <c r="X21" s="64">
        <v>7200</v>
      </c>
      <c r="Y21" s="64">
        <v>0</v>
      </c>
      <c r="Z21" s="64">
        <v>7200</v>
      </c>
      <c r="AA21" s="64">
        <v>7200</v>
      </c>
      <c r="AB21" s="64">
        <v>0</v>
      </c>
      <c r="AC21" s="64">
        <v>7200</v>
      </c>
      <c r="AD21" s="35"/>
      <c r="AE21" s="35"/>
      <c r="AF21" s="38">
        <v>1</v>
      </c>
      <c r="AG21" s="35">
        <v>1</v>
      </c>
      <c r="AH21" s="35">
        <f t="shared" si="21"/>
        <v>0</v>
      </c>
      <c r="AI21" s="35">
        <v>1</v>
      </c>
      <c r="AJ21" s="35">
        <v>0</v>
      </c>
      <c r="AK21" s="35" t="str">
        <f t="shared" si="22"/>
        <v>ICE TTF-EURP Apr-11 25-MAR-11 45.00</v>
      </c>
      <c r="AL21" s="3" t="str">
        <f t="shared" si="0"/>
        <v>P</v>
      </c>
      <c r="AM21" s="91">
        <f t="shared" si="23"/>
        <v>0</v>
      </c>
      <c r="AN21" s="93">
        <f t="shared" si="24"/>
        <v>0</v>
      </c>
      <c r="AO21" s="3">
        <f t="shared" si="25"/>
        <v>0</v>
      </c>
      <c r="AP21" s="94">
        <f t="shared" si="26"/>
        <v>0</v>
      </c>
      <c r="AQ21" s="94">
        <f t="shared" si="27"/>
        <v>0</v>
      </c>
      <c r="AR21" s="3">
        <f t="shared" si="28"/>
        <v>0</v>
      </c>
      <c r="AS21" s="3">
        <f t="shared" si="29"/>
        <v>0</v>
      </c>
      <c r="AT21" s="3">
        <f t="shared" si="1"/>
        <v>0</v>
      </c>
      <c r="AU21" s="3">
        <f t="shared" si="2"/>
        <v>0</v>
      </c>
      <c r="AV21" s="3">
        <f t="shared" si="3"/>
        <v>0</v>
      </c>
      <c r="AW21" s="3">
        <f t="shared" si="4"/>
        <v>0</v>
      </c>
      <c r="AX21" s="67">
        <f t="shared" si="30"/>
        <v>0</v>
      </c>
      <c r="AY21" s="3">
        <f t="shared" si="31"/>
        <v>0</v>
      </c>
      <c r="AZ21" s="3">
        <f t="shared" si="32"/>
        <v>0</v>
      </c>
      <c r="BA21" s="3">
        <f>1*10*720</f>
        <v>7200</v>
      </c>
      <c r="BB21" s="3">
        <f t="shared" si="45"/>
        <v>7200</v>
      </c>
      <c r="BC21" s="3">
        <f t="shared" si="46"/>
        <v>0</v>
      </c>
      <c r="BD21" s="3">
        <f t="shared" si="47"/>
        <v>7200</v>
      </c>
      <c r="BE21" s="3">
        <f t="shared" si="48"/>
        <v>7200</v>
      </c>
      <c r="BF21" s="3">
        <f t="shared" si="49"/>
        <v>0</v>
      </c>
      <c r="BG21" s="3">
        <f t="shared" si="50"/>
        <v>7200</v>
      </c>
      <c r="BH21" s="89">
        <f t="shared" si="5"/>
        <v>0</v>
      </c>
      <c r="BI21" s="41">
        <f t="shared" si="39"/>
        <v>0</v>
      </c>
      <c r="BJ21" s="41">
        <f t="shared" si="40"/>
        <v>0</v>
      </c>
      <c r="BK21" s="5">
        <f t="shared" si="6"/>
        <v>0</v>
      </c>
      <c r="BL21" s="5">
        <f t="shared" si="7"/>
        <v>0</v>
      </c>
      <c r="BM21" s="5">
        <f t="shared" si="8"/>
        <v>0</v>
      </c>
      <c r="BN21" s="5">
        <f t="shared" si="9"/>
        <v>0</v>
      </c>
      <c r="BO21" s="5">
        <f t="shared" si="10"/>
        <v>0</v>
      </c>
      <c r="BP21" s="5">
        <f t="shared" si="11"/>
        <v>0</v>
      </c>
      <c r="BQ21" s="5">
        <f t="shared" si="12"/>
        <v>0</v>
      </c>
      <c r="BR21" s="5">
        <f t="shared" si="13"/>
        <v>0</v>
      </c>
      <c r="BS21" s="5">
        <f t="shared" si="14"/>
        <v>0</v>
      </c>
      <c r="BT21" s="5">
        <f t="shared" si="15"/>
        <v>0</v>
      </c>
      <c r="BU21" s="5">
        <f t="shared" si="16"/>
        <v>0</v>
      </c>
      <c r="BV21" s="5">
        <f t="shared" si="17"/>
        <v>0</v>
      </c>
      <c r="BW21" s="5">
        <f t="shared" si="18"/>
        <v>0</v>
      </c>
      <c r="BX21" s="5">
        <f t="shared" si="19"/>
        <v>0</v>
      </c>
      <c r="BY21" s="5">
        <f t="shared" si="20"/>
        <v>0</v>
      </c>
      <c r="BZ21" s="95"/>
      <c r="CA21" s="96">
        <f t="shared" si="41"/>
        <v>0</v>
      </c>
      <c r="CB21" s="96">
        <f t="shared" si="42"/>
        <v>0</v>
      </c>
      <c r="CC21" s="96">
        <f t="shared" si="43"/>
        <v>0</v>
      </c>
      <c r="CD21" s="96">
        <f t="shared" si="44"/>
        <v>0</v>
      </c>
      <c r="CE21" s="80"/>
    </row>
    <row r="22" spans="2:83" x14ac:dyDescent="0.25">
      <c r="B22" s="64" t="s">
        <v>150</v>
      </c>
      <c r="C22" s="64" t="s">
        <v>158</v>
      </c>
      <c r="D22" s="64" t="s">
        <v>159</v>
      </c>
      <c r="E22" s="65">
        <v>40634</v>
      </c>
      <c r="F22" s="65">
        <v>40663</v>
      </c>
      <c r="G22" s="65">
        <v>40627</v>
      </c>
      <c r="H22" s="64">
        <v>45</v>
      </c>
      <c r="I22" s="64" t="s">
        <v>8</v>
      </c>
      <c r="J22" s="64">
        <v>0</v>
      </c>
      <c r="K22" s="64">
        <v>720</v>
      </c>
      <c r="L22" s="64">
        <v>0</v>
      </c>
      <c r="M22" s="64">
        <v>0</v>
      </c>
      <c r="N22" s="64">
        <v>0</v>
      </c>
      <c r="O22" s="64">
        <v>0</v>
      </c>
      <c r="P22" s="64">
        <v>0</v>
      </c>
      <c r="Q22" s="64">
        <v>0</v>
      </c>
      <c r="R22" s="64">
        <v>0</v>
      </c>
      <c r="S22" s="64">
        <v>0</v>
      </c>
      <c r="T22" s="64">
        <v>0</v>
      </c>
      <c r="U22" s="64">
        <v>0</v>
      </c>
      <c r="V22" s="64">
        <v>0</v>
      </c>
      <c r="W22" s="64">
        <v>341086.52313481999</v>
      </c>
      <c r="X22" s="64">
        <v>341086.52313481999</v>
      </c>
      <c r="Y22" s="64">
        <v>0</v>
      </c>
      <c r="Z22" s="64">
        <v>341086.52313481999</v>
      </c>
      <c r="AA22" s="64">
        <v>341086.52313481999</v>
      </c>
      <c r="AB22" s="64">
        <v>0</v>
      </c>
      <c r="AC22" s="64">
        <v>341086.52313481999</v>
      </c>
      <c r="AD22" s="35"/>
      <c r="AE22" s="35"/>
      <c r="AF22" s="35">
        <v>1.1369550771160699</v>
      </c>
      <c r="AG22" s="35">
        <v>1.1369076246774601</v>
      </c>
      <c r="AH22" s="35">
        <f t="shared" si="21"/>
        <v>0</v>
      </c>
      <c r="AI22" s="35">
        <v>0.01</v>
      </c>
      <c r="AJ22" s="35">
        <v>0</v>
      </c>
      <c r="AK22" s="35" t="str">
        <f t="shared" si="22"/>
        <v>ICE NBP-EURC Apr-11 25-MAR-11 45.00</v>
      </c>
      <c r="AL22" s="3" t="str">
        <f t="shared" si="0"/>
        <v>C</v>
      </c>
      <c r="AM22" s="91">
        <f t="shared" si="23"/>
        <v>0</v>
      </c>
      <c r="AN22" s="93">
        <f t="shared" si="24"/>
        <v>0</v>
      </c>
      <c r="AO22" s="3">
        <f t="shared" si="25"/>
        <v>0</v>
      </c>
      <c r="AP22" s="94">
        <f t="shared" si="26"/>
        <v>0</v>
      </c>
      <c r="AQ22" s="94">
        <f t="shared" si="27"/>
        <v>0</v>
      </c>
      <c r="AR22" s="3">
        <f t="shared" si="28"/>
        <v>0</v>
      </c>
      <c r="AS22" s="3">
        <f t="shared" si="29"/>
        <v>0</v>
      </c>
      <c r="AT22" s="3">
        <f t="shared" si="1"/>
        <v>0</v>
      </c>
      <c r="AU22" s="3">
        <f t="shared" si="2"/>
        <v>0</v>
      </c>
      <c r="AV22" s="3">
        <f t="shared" si="3"/>
        <v>0</v>
      </c>
      <c r="AW22" s="3">
        <f t="shared" si="4"/>
        <v>0</v>
      </c>
      <c r="AX22" s="67">
        <f t="shared" si="30"/>
        <v>0</v>
      </c>
      <c r="AY22" s="3">
        <f t="shared" si="31"/>
        <v>0</v>
      </c>
      <c r="AZ22" s="3">
        <f t="shared" si="32"/>
        <v>0</v>
      </c>
      <c r="BA22" s="3">
        <f>1*1000000*30*AF22/100</f>
        <v>341086.52313482098</v>
      </c>
      <c r="BB22" s="3">
        <f t="shared" si="45"/>
        <v>341086.52313482098</v>
      </c>
      <c r="BC22" s="3">
        <f t="shared" si="46"/>
        <v>0</v>
      </c>
      <c r="BD22" s="3">
        <f t="shared" si="47"/>
        <v>341086.52313482098</v>
      </c>
      <c r="BE22" s="3">
        <f t="shared" si="48"/>
        <v>341086.52313482098</v>
      </c>
      <c r="BF22" s="3">
        <f t="shared" si="49"/>
        <v>0</v>
      </c>
      <c r="BG22" s="3">
        <f t="shared" si="50"/>
        <v>341086.52313482098</v>
      </c>
      <c r="BH22" s="89">
        <f t="shared" si="5"/>
        <v>0</v>
      </c>
      <c r="BI22" s="41">
        <f t="shared" si="39"/>
        <v>0</v>
      </c>
      <c r="BJ22" s="41">
        <f t="shared" si="40"/>
        <v>0</v>
      </c>
      <c r="BK22" s="5">
        <f t="shared" si="6"/>
        <v>0</v>
      </c>
      <c r="BL22" s="5">
        <f t="shared" si="7"/>
        <v>0</v>
      </c>
      <c r="BM22" s="5">
        <f t="shared" si="8"/>
        <v>0</v>
      </c>
      <c r="BN22" s="5">
        <f t="shared" si="9"/>
        <v>0</v>
      </c>
      <c r="BO22" s="5">
        <f t="shared" si="10"/>
        <v>0</v>
      </c>
      <c r="BP22" s="5">
        <f t="shared" si="11"/>
        <v>0</v>
      </c>
      <c r="BQ22" s="5">
        <f t="shared" si="12"/>
        <v>0</v>
      </c>
      <c r="BR22" s="5">
        <f t="shared" si="13"/>
        <v>0</v>
      </c>
      <c r="BS22" s="5">
        <f t="shared" si="14"/>
        <v>0</v>
      </c>
      <c r="BT22" s="5">
        <f t="shared" si="15"/>
        <v>0</v>
      </c>
      <c r="BU22" s="5">
        <f t="shared" si="16"/>
        <v>0</v>
      </c>
      <c r="BV22" s="5">
        <f t="shared" si="17"/>
        <v>0</v>
      </c>
      <c r="BW22" s="5">
        <f t="shared" si="18"/>
        <v>0</v>
      </c>
      <c r="BX22" s="5">
        <f t="shared" si="19"/>
        <v>0</v>
      </c>
      <c r="BY22" s="5">
        <f t="shared" si="20"/>
        <v>0</v>
      </c>
      <c r="BZ22" s="95"/>
      <c r="CA22" s="96">
        <f t="shared" si="41"/>
        <v>0</v>
      </c>
      <c r="CB22" s="96">
        <f t="shared" si="42"/>
        <v>0</v>
      </c>
      <c r="CC22" s="96">
        <f t="shared" si="43"/>
        <v>0</v>
      </c>
      <c r="CD22" s="96">
        <f t="shared" si="44"/>
        <v>0</v>
      </c>
      <c r="CE22" s="80"/>
    </row>
    <row r="23" spans="2:83" x14ac:dyDescent="0.25">
      <c r="B23" s="64" t="s">
        <v>19</v>
      </c>
      <c r="C23" s="64" t="s">
        <v>23</v>
      </c>
      <c r="D23" s="64" t="s">
        <v>24</v>
      </c>
      <c r="E23" s="65">
        <v>40848</v>
      </c>
      <c r="F23" s="65">
        <v>40877</v>
      </c>
      <c r="G23" s="65">
        <v>40843</v>
      </c>
      <c r="H23" s="64">
        <v>45</v>
      </c>
      <c r="I23" s="64" t="s">
        <v>8</v>
      </c>
      <c r="J23" s="64">
        <v>10</v>
      </c>
      <c r="K23" s="64">
        <v>720</v>
      </c>
      <c r="L23" s="64">
        <v>3.57</v>
      </c>
      <c r="M23" s="64">
        <v>-25704</v>
      </c>
      <c r="N23" s="64">
        <v>0</v>
      </c>
      <c r="O23" s="64">
        <v>0</v>
      </c>
      <c r="P23" s="64">
        <v>0</v>
      </c>
      <c r="Q23" s="64">
        <v>0</v>
      </c>
      <c r="R23" s="64">
        <v>0</v>
      </c>
      <c r="S23" s="64">
        <v>0</v>
      </c>
      <c r="T23" s="64">
        <v>0.49793534882655699</v>
      </c>
      <c r="U23" s="64">
        <v>0</v>
      </c>
      <c r="V23" s="64">
        <v>0</v>
      </c>
      <c r="W23" s="64">
        <v>1980</v>
      </c>
      <c r="X23" s="64">
        <v>-23724</v>
      </c>
      <c r="Y23" s="64">
        <v>0</v>
      </c>
      <c r="Z23" s="64">
        <v>-23724</v>
      </c>
      <c r="AA23" s="64">
        <v>-23724</v>
      </c>
      <c r="AB23" s="64">
        <v>0</v>
      </c>
      <c r="AC23" s="64">
        <v>-23724</v>
      </c>
      <c r="AD23" s="35"/>
      <c r="AE23" s="35"/>
      <c r="AF23" s="38">
        <v>1</v>
      </c>
      <c r="AG23" s="35">
        <v>1</v>
      </c>
      <c r="AH23" s="35">
        <f t="shared" si="21"/>
        <v>7200</v>
      </c>
      <c r="AI23" s="35">
        <v>1</v>
      </c>
      <c r="AJ23" s="35">
        <v>3.57</v>
      </c>
      <c r="AK23" s="35" t="str">
        <f t="shared" si="22"/>
        <v>ICE TTF-EURC Nov-11 27-OCT-11 45.00</v>
      </c>
      <c r="AL23" s="3" t="str">
        <f t="shared" si="0"/>
        <v>C</v>
      </c>
      <c r="AM23" s="91">
        <f t="shared" si="23"/>
        <v>0</v>
      </c>
      <c r="AN23" s="93">
        <f t="shared" si="24"/>
        <v>0</v>
      </c>
      <c r="AO23" s="3">
        <f t="shared" si="25"/>
        <v>0</v>
      </c>
      <c r="AP23" s="94">
        <f t="shared" si="26"/>
        <v>0</v>
      </c>
      <c r="AQ23" s="94">
        <f t="shared" si="27"/>
        <v>0</v>
      </c>
      <c r="AR23" s="3">
        <f t="shared" si="28"/>
        <v>3.57</v>
      </c>
      <c r="AS23" s="3">
        <f t="shared" si="29"/>
        <v>0</v>
      </c>
      <c r="AT23" s="3">
        <f t="shared" si="1"/>
        <v>0</v>
      </c>
      <c r="AU23" s="3">
        <f t="shared" si="2"/>
        <v>0</v>
      </c>
      <c r="AV23" s="3">
        <f t="shared" si="3"/>
        <v>0</v>
      </c>
      <c r="AW23" s="3">
        <f t="shared" si="4"/>
        <v>0</v>
      </c>
      <c r="AX23" s="67">
        <f t="shared" si="30"/>
        <v>-25704</v>
      </c>
      <c r="AY23" s="3">
        <f t="shared" si="31"/>
        <v>0</v>
      </c>
      <c r="AZ23" s="3">
        <f t="shared" si="32"/>
        <v>0</v>
      </c>
      <c r="BA23" s="3">
        <f>(4.21-3.66)*5*K23</f>
        <v>1979.9999999999993</v>
      </c>
      <c r="BB23" s="3">
        <f t="shared" si="45"/>
        <v>-23724</v>
      </c>
      <c r="BC23" s="3">
        <f t="shared" si="46"/>
        <v>0</v>
      </c>
      <c r="BD23" s="3">
        <f t="shared" si="47"/>
        <v>-23724</v>
      </c>
      <c r="BE23" s="3">
        <f t="shared" si="48"/>
        <v>-23724</v>
      </c>
      <c r="BF23" s="3">
        <f t="shared" si="49"/>
        <v>0</v>
      </c>
      <c r="BG23" s="3">
        <f t="shared" si="50"/>
        <v>-23724</v>
      </c>
      <c r="BH23" s="89">
        <f t="shared" si="5"/>
        <v>0</v>
      </c>
      <c r="BI23" s="41" t="e">
        <f t="shared" si="39"/>
        <v>#VALUE!</v>
      </c>
      <c r="BJ23" s="41">
        <f t="shared" si="40"/>
        <v>0</v>
      </c>
      <c r="BK23" s="5">
        <f t="shared" si="6"/>
        <v>0</v>
      </c>
      <c r="BL23" s="5">
        <f t="shared" si="7"/>
        <v>0</v>
      </c>
      <c r="BM23" s="5">
        <f t="shared" si="8"/>
        <v>0</v>
      </c>
      <c r="BN23" s="5">
        <f t="shared" si="9"/>
        <v>0</v>
      </c>
      <c r="BO23" s="5">
        <f t="shared" si="10"/>
        <v>0</v>
      </c>
      <c r="BP23" s="5">
        <f t="shared" si="11"/>
        <v>0</v>
      </c>
      <c r="BQ23" s="5">
        <f t="shared" si="12"/>
        <v>0</v>
      </c>
      <c r="BR23" s="5">
        <f t="shared" si="13"/>
        <v>0</v>
      </c>
      <c r="BS23" s="5">
        <f t="shared" si="14"/>
        <v>0</v>
      </c>
      <c r="BT23" s="5">
        <f t="shared" si="15"/>
        <v>0</v>
      </c>
      <c r="BU23" s="5">
        <f t="shared" si="16"/>
        <v>0</v>
      </c>
      <c r="BV23" s="5">
        <f t="shared" si="17"/>
        <v>0</v>
      </c>
      <c r="BW23" s="5">
        <f t="shared" si="18"/>
        <v>0</v>
      </c>
      <c r="BX23" s="5">
        <f t="shared" si="19"/>
        <v>0</v>
      </c>
      <c r="BY23" s="5">
        <f t="shared" si="20"/>
        <v>0</v>
      </c>
      <c r="BZ23" s="95"/>
      <c r="CA23" s="96">
        <f t="shared" si="41"/>
        <v>0</v>
      </c>
      <c r="CB23" s="96">
        <f t="shared" si="42"/>
        <v>0</v>
      </c>
      <c r="CC23" s="96">
        <f t="shared" si="43"/>
        <v>0</v>
      </c>
      <c r="CD23" s="96">
        <f t="shared" si="44"/>
        <v>0</v>
      </c>
      <c r="CE23" s="80"/>
    </row>
    <row r="24" spans="2:83" x14ac:dyDescent="0.25">
      <c r="B24" s="64" t="s">
        <v>19</v>
      </c>
      <c r="C24" s="64" t="s">
        <v>23</v>
      </c>
      <c r="D24" s="64" t="s">
        <v>25</v>
      </c>
      <c r="E24" s="65">
        <v>40848</v>
      </c>
      <c r="F24" s="65">
        <v>40877</v>
      </c>
      <c r="G24" s="65">
        <v>40843</v>
      </c>
      <c r="H24" s="64">
        <v>45</v>
      </c>
      <c r="I24" s="64" t="s">
        <v>8</v>
      </c>
      <c r="J24" s="64">
        <v>10</v>
      </c>
      <c r="K24" s="64">
        <v>720</v>
      </c>
      <c r="L24" s="64">
        <v>3.57</v>
      </c>
      <c r="M24" s="64">
        <v>-25704</v>
      </c>
      <c r="N24" s="64">
        <v>0</v>
      </c>
      <c r="O24" s="64">
        <v>0</v>
      </c>
      <c r="P24" s="64">
        <v>0</v>
      </c>
      <c r="Q24" s="64">
        <v>0</v>
      </c>
      <c r="R24" s="64">
        <v>0</v>
      </c>
      <c r="S24" s="64">
        <v>0</v>
      </c>
      <c r="T24" s="64">
        <v>0.49793534882655699</v>
      </c>
      <c r="U24" s="64">
        <v>0</v>
      </c>
      <c r="V24" s="64">
        <v>0</v>
      </c>
      <c r="W24" s="64">
        <v>1980</v>
      </c>
      <c r="X24" s="64">
        <v>-23724</v>
      </c>
      <c r="Y24" s="64">
        <v>0</v>
      </c>
      <c r="Z24" s="64">
        <v>-23724</v>
      </c>
      <c r="AA24" s="64">
        <v>-23724</v>
      </c>
      <c r="AB24" s="64">
        <v>0</v>
      </c>
      <c r="AC24" s="64">
        <v>-23724</v>
      </c>
      <c r="AD24" s="35"/>
      <c r="AE24" s="35"/>
      <c r="AF24" s="38">
        <v>1</v>
      </c>
      <c r="AG24" s="35">
        <v>1</v>
      </c>
      <c r="AH24" s="35">
        <f t="shared" si="21"/>
        <v>7200</v>
      </c>
      <c r="AI24" s="35">
        <v>1</v>
      </c>
      <c r="AJ24" s="35">
        <v>3.57</v>
      </c>
      <c r="AK24" s="35" t="str">
        <f t="shared" si="22"/>
        <v>ICE TTF-EURP Nov-11 27-OCT-11 45.00</v>
      </c>
      <c r="AL24" s="3" t="str">
        <f t="shared" si="0"/>
        <v>P</v>
      </c>
      <c r="AM24" s="91">
        <f t="shared" si="23"/>
        <v>0</v>
      </c>
      <c r="AN24" s="93">
        <f t="shared" si="24"/>
        <v>0</v>
      </c>
      <c r="AO24" s="3">
        <f t="shared" si="25"/>
        <v>0</v>
      </c>
      <c r="AP24" s="94">
        <f t="shared" si="26"/>
        <v>0</v>
      </c>
      <c r="AQ24" s="94">
        <f t="shared" si="27"/>
        <v>0</v>
      </c>
      <c r="AR24" s="3">
        <f t="shared" si="28"/>
        <v>3.57</v>
      </c>
      <c r="AS24" s="3">
        <f t="shared" si="29"/>
        <v>0</v>
      </c>
      <c r="AT24" s="3">
        <f t="shared" si="1"/>
        <v>0</v>
      </c>
      <c r="AU24" s="3">
        <f t="shared" si="2"/>
        <v>0</v>
      </c>
      <c r="AV24" s="3">
        <f t="shared" si="3"/>
        <v>0</v>
      </c>
      <c r="AW24" s="3">
        <f t="shared" si="4"/>
        <v>0</v>
      </c>
      <c r="AX24" s="67">
        <f t="shared" si="30"/>
        <v>-25704</v>
      </c>
      <c r="AY24" s="3">
        <f t="shared" si="31"/>
        <v>0</v>
      </c>
      <c r="AZ24" s="3">
        <f t="shared" si="32"/>
        <v>0</v>
      </c>
      <c r="BA24" s="3">
        <f>(4.21-3.66)*5*K24</f>
        <v>1979.9999999999993</v>
      </c>
      <c r="BB24" s="3">
        <f t="shared" si="45"/>
        <v>-23724</v>
      </c>
      <c r="BC24" s="3">
        <f t="shared" si="46"/>
        <v>0</v>
      </c>
      <c r="BD24" s="3">
        <f t="shared" si="47"/>
        <v>-23724</v>
      </c>
      <c r="BE24" s="3">
        <f t="shared" si="48"/>
        <v>-23724</v>
      </c>
      <c r="BF24" s="3">
        <f t="shared" si="49"/>
        <v>0</v>
      </c>
      <c r="BG24" s="3">
        <f t="shared" si="50"/>
        <v>-23724</v>
      </c>
      <c r="BH24" s="89">
        <f t="shared" si="5"/>
        <v>0</v>
      </c>
      <c r="BI24" s="41" t="e">
        <f t="shared" si="39"/>
        <v>#VALUE!</v>
      </c>
      <c r="BJ24" s="41">
        <f t="shared" si="40"/>
        <v>0</v>
      </c>
      <c r="BK24" s="5">
        <f t="shared" si="6"/>
        <v>0</v>
      </c>
      <c r="BL24" s="5">
        <f t="shared" si="7"/>
        <v>0</v>
      </c>
      <c r="BM24" s="5">
        <f t="shared" si="8"/>
        <v>0</v>
      </c>
      <c r="BN24" s="5">
        <f t="shared" si="9"/>
        <v>0</v>
      </c>
      <c r="BO24" s="5">
        <f t="shared" si="10"/>
        <v>0</v>
      </c>
      <c r="BP24" s="5">
        <f t="shared" si="11"/>
        <v>0</v>
      </c>
      <c r="BQ24" s="5">
        <f t="shared" si="12"/>
        <v>0</v>
      </c>
      <c r="BR24" s="5">
        <f t="shared" si="13"/>
        <v>0</v>
      </c>
      <c r="BS24" s="5">
        <f t="shared" si="14"/>
        <v>0</v>
      </c>
      <c r="BT24" s="5">
        <f t="shared" si="15"/>
        <v>0</v>
      </c>
      <c r="BU24" s="5">
        <f t="shared" si="16"/>
        <v>0</v>
      </c>
      <c r="BV24" s="5">
        <f t="shared" si="17"/>
        <v>0</v>
      </c>
      <c r="BW24" s="5">
        <f t="shared" si="18"/>
        <v>0</v>
      </c>
      <c r="BX24" s="5">
        <f t="shared" si="19"/>
        <v>0</v>
      </c>
      <c r="BY24" s="5">
        <f t="shared" si="20"/>
        <v>0</v>
      </c>
      <c r="BZ24" s="95"/>
      <c r="CA24" s="96">
        <f t="shared" si="41"/>
        <v>0</v>
      </c>
      <c r="CB24" s="96">
        <f t="shared" si="42"/>
        <v>0</v>
      </c>
      <c r="CC24" s="96">
        <f t="shared" si="43"/>
        <v>0</v>
      </c>
      <c r="CD24" s="96">
        <f t="shared" si="44"/>
        <v>0</v>
      </c>
      <c r="CE24" s="80"/>
    </row>
    <row r="25" spans="2:83" x14ac:dyDescent="0.25">
      <c r="BZ25" s="95"/>
      <c r="CA25" s="95"/>
      <c r="CB25" s="95"/>
      <c r="CC25" s="95"/>
      <c r="CD25" s="95"/>
    </row>
    <row r="26" spans="2:83" ht="15.75" customHeight="1" x14ac:dyDescent="0.25">
      <c r="BZ26" s="95"/>
      <c r="CA26" s="95" t="s">
        <v>225</v>
      </c>
      <c r="CB26" s="95"/>
      <c r="CC26" s="95"/>
      <c r="CD26" s="95"/>
    </row>
    <row r="27" spans="2:83" x14ac:dyDescent="0.25">
      <c r="BZ27" s="95"/>
      <c r="CA27" s="95" t="s">
        <v>224</v>
      </c>
      <c r="CB27" s="95" t="s">
        <v>27</v>
      </c>
      <c r="CC27" s="95" t="s">
        <v>28</v>
      </c>
      <c r="CD27" s="95" t="s">
        <v>6</v>
      </c>
    </row>
    <row r="28" spans="2:83" x14ac:dyDescent="0.25">
      <c r="BZ28" s="97" t="s">
        <v>226</v>
      </c>
      <c r="CA28" s="95">
        <v>0</v>
      </c>
      <c r="CB28" s="95">
        <v>0</v>
      </c>
      <c r="CC28" s="95">
        <v>0</v>
      </c>
      <c r="CD28" s="95">
        <v>0</v>
      </c>
    </row>
    <row r="29" spans="2:83" ht="15" customHeight="1" x14ac:dyDescent="0.25">
      <c r="BZ29" s="97">
        <v>40848</v>
      </c>
      <c r="CA29" s="95">
        <v>0</v>
      </c>
      <c r="CB29" s="95">
        <v>0</v>
      </c>
      <c r="CC29" s="95">
        <v>0</v>
      </c>
      <c r="CD29" s="95">
        <v>0</v>
      </c>
    </row>
    <row r="30" spans="2:83" x14ac:dyDescent="0.25">
      <c r="AD30" s="80"/>
      <c r="BZ30" s="97">
        <v>40878</v>
      </c>
      <c r="CA30" s="95">
        <v>0</v>
      </c>
      <c r="CB30" s="95">
        <v>0</v>
      </c>
      <c r="CC30" s="95">
        <v>0</v>
      </c>
      <c r="CD30" s="95">
        <v>0</v>
      </c>
    </row>
    <row r="31" spans="2:83" x14ac:dyDescent="0.25">
      <c r="BZ31" s="97">
        <v>40909</v>
      </c>
      <c r="CA31" s="95">
        <v>0</v>
      </c>
      <c r="CB31" s="95">
        <v>0</v>
      </c>
      <c r="CC31" s="95">
        <v>0</v>
      </c>
      <c r="CD31" s="95">
        <v>0</v>
      </c>
    </row>
    <row r="32" spans="2:83" x14ac:dyDescent="0.25">
      <c r="BZ32" s="97">
        <v>40940</v>
      </c>
      <c r="CA32" s="95">
        <v>0</v>
      </c>
      <c r="CB32" s="95">
        <v>0</v>
      </c>
      <c r="CC32" s="95">
        <v>0</v>
      </c>
      <c r="CD32" s="95">
        <v>0</v>
      </c>
    </row>
    <row r="33" spans="78:82" x14ac:dyDescent="0.25">
      <c r="BZ33" s="97">
        <v>40969</v>
      </c>
      <c r="CA33" s="95">
        <v>0</v>
      </c>
      <c r="CB33" s="95">
        <v>0</v>
      </c>
      <c r="CC33" s="95">
        <v>0</v>
      </c>
      <c r="CD33" s="95">
        <v>0</v>
      </c>
    </row>
    <row r="34" spans="78:82" x14ac:dyDescent="0.25">
      <c r="BZ34" s="97">
        <v>41000</v>
      </c>
      <c r="CA34" s="95">
        <v>0</v>
      </c>
      <c r="CB34" s="95">
        <v>0</v>
      </c>
      <c r="CC34" s="95">
        <v>0</v>
      </c>
      <c r="CD34" s="95">
        <v>0</v>
      </c>
    </row>
    <row r="35" spans="78:82" x14ac:dyDescent="0.25">
      <c r="BZ35" s="97">
        <v>41030</v>
      </c>
      <c r="CA35" s="95">
        <v>0</v>
      </c>
      <c r="CB35" s="95">
        <v>0</v>
      </c>
      <c r="CC35" s="95">
        <v>0</v>
      </c>
      <c r="CD35" s="95">
        <v>0</v>
      </c>
    </row>
    <row r="36" spans="78:82" x14ac:dyDescent="0.25">
      <c r="BZ36" s="97">
        <v>41061</v>
      </c>
      <c r="CA36" s="98">
        <f>SUM(CA15:CA16)</f>
        <v>-7088.2906744623833</v>
      </c>
      <c r="CB36" s="98">
        <f t="shared" ref="CB36:CD36" si="51">SUM(CB15:CB16)</f>
        <v>21.253857654944881</v>
      </c>
      <c r="CC36" s="98">
        <f t="shared" si="51"/>
        <v>20.515259410133904</v>
      </c>
      <c r="CD36" s="98">
        <f t="shared" si="51"/>
        <v>5.9358808475536575</v>
      </c>
    </row>
    <row r="37" spans="78:82" x14ac:dyDescent="0.25">
      <c r="BZ37" s="95"/>
      <c r="CA37" s="95"/>
      <c r="CB37" s="95"/>
      <c r="CC37" s="95"/>
      <c r="CD37" s="95"/>
    </row>
    <row r="38" spans="78:82" x14ac:dyDescent="0.25">
      <c r="BZ38" s="95"/>
      <c r="CA38" s="95" t="s">
        <v>227</v>
      </c>
      <c r="CB38" s="95"/>
      <c r="CC38" s="95"/>
      <c r="CD38" s="95"/>
    </row>
    <row r="39" spans="78:82" x14ac:dyDescent="0.25">
      <c r="BZ39" s="95"/>
      <c r="CA39" s="95" t="s">
        <v>224</v>
      </c>
      <c r="CB39" s="95" t="s">
        <v>27</v>
      </c>
      <c r="CC39" s="95" t="s">
        <v>28</v>
      </c>
      <c r="CD39" s="95" t="s">
        <v>6</v>
      </c>
    </row>
    <row r="40" spans="78:82" x14ac:dyDescent="0.25">
      <c r="BZ40" s="97" t="s">
        <v>226</v>
      </c>
      <c r="CA40" s="95">
        <v>0</v>
      </c>
      <c r="CB40" s="95">
        <v>0</v>
      </c>
      <c r="CC40" s="95">
        <v>0</v>
      </c>
      <c r="CD40" s="95">
        <v>0</v>
      </c>
    </row>
    <row r="41" spans="78:82" x14ac:dyDescent="0.25">
      <c r="BZ41" s="97">
        <v>40848</v>
      </c>
      <c r="CA41" s="95">
        <v>0</v>
      </c>
      <c r="CB41" s="95">
        <v>0</v>
      </c>
      <c r="CC41" s="95">
        <v>0</v>
      </c>
      <c r="CD41" s="95">
        <v>0</v>
      </c>
    </row>
    <row r="42" spans="78:82" x14ac:dyDescent="0.25">
      <c r="BZ42" s="97">
        <v>40878</v>
      </c>
      <c r="CA42" s="95">
        <v>0</v>
      </c>
      <c r="CB42" s="95">
        <v>0</v>
      </c>
      <c r="CC42" s="95">
        <v>0</v>
      </c>
      <c r="CD42" s="95">
        <v>0</v>
      </c>
    </row>
    <row r="43" spans="78:82" x14ac:dyDescent="0.25">
      <c r="BZ43" s="97">
        <v>40909</v>
      </c>
      <c r="CA43" s="95">
        <v>0</v>
      </c>
      <c r="CB43" s="95">
        <v>0</v>
      </c>
      <c r="CC43" s="95">
        <v>0</v>
      </c>
      <c r="CD43" s="95">
        <v>0</v>
      </c>
    </row>
    <row r="44" spans="78:82" x14ac:dyDescent="0.25">
      <c r="BZ44" s="97">
        <v>40940</v>
      </c>
      <c r="CA44" s="95">
        <v>0</v>
      </c>
      <c r="CB44" s="95">
        <v>0</v>
      </c>
      <c r="CC44" s="95">
        <v>0</v>
      </c>
      <c r="CD44" s="95">
        <v>0</v>
      </c>
    </row>
    <row r="45" spans="78:82" x14ac:dyDescent="0.25">
      <c r="BZ45" s="97">
        <v>40969</v>
      </c>
      <c r="CA45" s="95">
        <v>0</v>
      </c>
      <c r="CB45" s="95">
        <v>0</v>
      </c>
      <c r="CC45" s="95">
        <v>0</v>
      </c>
      <c r="CD45" s="95">
        <v>0</v>
      </c>
    </row>
    <row r="46" spans="78:82" x14ac:dyDescent="0.25">
      <c r="BZ46" s="97">
        <v>41000</v>
      </c>
      <c r="CA46" s="95">
        <v>0</v>
      </c>
      <c r="CB46" s="95">
        <v>0</v>
      </c>
      <c r="CC46" s="95">
        <v>0</v>
      </c>
      <c r="CD46" s="95">
        <v>0</v>
      </c>
    </row>
    <row r="47" spans="78:82" x14ac:dyDescent="0.25">
      <c r="BZ47" s="97">
        <v>41030</v>
      </c>
      <c r="CA47" s="95">
        <v>0</v>
      </c>
      <c r="CB47" s="95">
        <v>0</v>
      </c>
      <c r="CC47" s="95">
        <v>0</v>
      </c>
      <c r="CD47" s="95">
        <v>0</v>
      </c>
    </row>
    <row r="48" spans="78:82" x14ac:dyDescent="0.25">
      <c r="BZ48" s="97">
        <v>41061</v>
      </c>
      <c r="CA48" s="98">
        <f>CA17*CD9</f>
        <v>-42201.844930953936</v>
      </c>
      <c r="CB48" s="98">
        <f>CB17*CD9</f>
        <v>7521.6542927496321</v>
      </c>
      <c r="CC48" s="98">
        <f>CC17*CD10/100</f>
        <v>15701.608106260552</v>
      </c>
      <c r="CD48" s="98">
        <f>CD17*CD10/100</f>
        <v>-935.29404310195468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B2:BY30"/>
  <sheetViews>
    <sheetView topLeftCell="T1" workbookViewId="0">
      <selection activeCell="AH28" sqref="AH28"/>
    </sheetView>
  </sheetViews>
  <sheetFormatPr baseColWidth="10" defaultColWidth="11.42578125" defaultRowHeight="15" x14ac:dyDescent="0.25"/>
  <cols>
    <col min="2" max="3" width="15.140625" bestFit="1" customWidth="1"/>
    <col min="4" max="4" width="27.42578125" bestFit="1" customWidth="1"/>
    <col min="6" max="6" width="22.85546875" customWidth="1"/>
    <col min="7" max="7" width="10.7109375" bestFit="1" customWidth="1"/>
    <col min="29" max="29" width="12" bestFit="1" customWidth="1"/>
    <col min="30" max="30" width="12.7109375" bestFit="1" customWidth="1"/>
    <col min="32" max="32" width="11.42578125" style="69"/>
    <col min="33" max="33" width="11.42578125" style="82"/>
    <col min="34" max="36" width="11.42578125" style="69"/>
    <col min="37" max="37" width="11.42578125" style="71"/>
    <col min="39" max="39" width="16.5703125" style="77" bestFit="1" customWidth="1"/>
    <col min="41" max="41" width="13.5703125" style="69" bestFit="1" customWidth="1"/>
    <col min="45" max="45" width="12.7109375" bestFit="1" customWidth="1"/>
    <col min="47" max="47" width="16.42578125" bestFit="1" customWidth="1"/>
    <col min="57" max="57" width="13.28515625" style="90" bestFit="1" customWidth="1"/>
    <col min="58" max="58" width="11.42578125" style="29"/>
    <col min="59" max="59" width="14.28515625" style="69" bestFit="1" customWidth="1"/>
    <col min="60" max="60" width="15" bestFit="1" customWidth="1"/>
    <col min="61" max="61" width="12.7109375" bestFit="1" customWidth="1"/>
    <col min="65" max="65" width="14.85546875" bestFit="1" customWidth="1"/>
    <col min="66" max="66" width="17.140625" bestFit="1" customWidth="1"/>
  </cols>
  <sheetData>
    <row r="2" spans="2:77" ht="13.5" customHeight="1" x14ac:dyDescent="0.25">
      <c r="B2" s="29"/>
      <c r="C2" s="29"/>
      <c r="D2" s="29"/>
      <c r="E2" s="29"/>
      <c r="F2" s="26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L2" s="29"/>
      <c r="AN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H2" s="29"/>
      <c r="BI2" s="29"/>
      <c r="BJ2" s="29"/>
      <c r="BK2" s="29"/>
      <c r="BL2" s="29"/>
      <c r="BM2" s="29"/>
      <c r="BN2" s="29"/>
      <c r="BO2" s="29"/>
      <c r="BP2" s="29"/>
      <c r="BQ2" s="29"/>
      <c r="BR2" s="29"/>
      <c r="BS2" s="29"/>
      <c r="BT2" s="29"/>
      <c r="BU2" s="29"/>
      <c r="BV2" s="29"/>
      <c r="BW2" s="29"/>
      <c r="BX2" s="29"/>
      <c r="BY2" s="29"/>
    </row>
    <row r="3" spans="2:77" x14ac:dyDescent="0.25">
      <c r="B3" s="29"/>
      <c r="C3" s="29"/>
      <c r="D3" s="28" t="s">
        <v>80</v>
      </c>
      <c r="E3" s="29"/>
      <c r="F3" s="26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53"/>
      <c r="AE3" s="29"/>
      <c r="AL3" s="29"/>
      <c r="AN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H3" s="29"/>
      <c r="BI3" s="29"/>
      <c r="BJ3" s="29"/>
      <c r="BK3" s="29"/>
      <c r="BL3" s="29"/>
      <c r="BM3" s="29"/>
      <c r="BN3" s="29"/>
      <c r="BO3" s="29"/>
      <c r="BP3" s="29"/>
      <c r="BQ3" s="29"/>
      <c r="BR3" s="29"/>
      <c r="BS3" s="29"/>
      <c r="BT3" s="29"/>
      <c r="BU3" s="29"/>
      <c r="BV3" s="29"/>
      <c r="BW3" s="29"/>
      <c r="BX3" s="29"/>
      <c r="BY3" s="29"/>
    </row>
    <row r="4" spans="2:77" x14ac:dyDescent="0.25">
      <c r="B4" s="29"/>
      <c r="C4" s="29"/>
      <c r="D4" s="35" t="s">
        <v>76</v>
      </c>
      <c r="E4" s="29"/>
      <c r="F4" s="26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L4" s="29"/>
      <c r="AN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H4" s="29"/>
      <c r="BI4" s="29"/>
      <c r="BJ4" s="29"/>
      <c r="BK4" s="29"/>
      <c r="BL4" s="29"/>
      <c r="BM4" s="29"/>
      <c r="BN4" s="29"/>
      <c r="BO4" s="29"/>
      <c r="BP4" s="29"/>
      <c r="BQ4" s="29"/>
      <c r="BR4" s="29"/>
      <c r="BS4" s="29"/>
      <c r="BT4" s="29"/>
      <c r="BU4" s="29"/>
      <c r="BV4" s="29"/>
      <c r="BW4" s="29"/>
      <c r="BX4" s="29"/>
      <c r="BY4" s="29"/>
    </row>
    <row r="5" spans="2:77" x14ac:dyDescent="0.25">
      <c r="B5" s="29"/>
      <c r="C5" s="29"/>
      <c r="D5" s="4" t="s">
        <v>78</v>
      </c>
      <c r="E5" s="29"/>
      <c r="F5" s="26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L5" s="29"/>
      <c r="AN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H5" s="29"/>
      <c r="BI5" s="29"/>
      <c r="BJ5" s="29"/>
      <c r="BK5" s="29"/>
      <c r="BL5" s="29"/>
      <c r="BM5" s="29"/>
      <c r="BN5" s="29"/>
      <c r="BO5" s="29"/>
      <c r="BP5" s="29"/>
      <c r="BQ5" s="29"/>
      <c r="BR5" s="29"/>
      <c r="BS5" s="29"/>
      <c r="BT5" s="29"/>
      <c r="BU5" s="29"/>
      <c r="BV5" s="29"/>
      <c r="BW5" s="29"/>
      <c r="BX5" s="29"/>
      <c r="BY5" s="29"/>
    </row>
    <row r="6" spans="2:77" x14ac:dyDescent="0.25">
      <c r="B6" s="29"/>
      <c r="C6" s="29"/>
      <c r="D6" s="6" t="s">
        <v>79</v>
      </c>
      <c r="E6" s="29"/>
      <c r="F6" s="26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L6" s="29"/>
      <c r="AN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H6" s="29"/>
      <c r="BI6" s="29"/>
      <c r="BJ6" s="29"/>
      <c r="BK6" s="29"/>
      <c r="BL6" s="29"/>
      <c r="BM6" s="29"/>
      <c r="BN6" s="29"/>
      <c r="BO6" s="29"/>
      <c r="BP6" s="29"/>
      <c r="BQ6" s="29"/>
      <c r="BR6" s="29"/>
      <c r="BS6" s="29"/>
      <c r="BT6" s="29"/>
      <c r="BU6" s="29"/>
      <c r="BV6" s="29"/>
      <c r="BW6" s="29"/>
      <c r="BX6" s="29"/>
      <c r="BY6" s="29"/>
    </row>
    <row r="7" spans="2:77" s="29" customFormat="1" x14ac:dyDescent="0.25">
      <c r="D7" s="66"/>
      <c r="F7" s="26"/>
      <c r="AF7" s="69"/>
      <c r="AG7" s="82"/>
      <c r="AH7" s="69"/>
      <c r="AI7" s="69"/>
      <c r="AJ7" s="69"/>
      <c r="AK7" s="71"/>
      <c r="AM7" s="77"/>
      <c r="AO7" s="69"/>
      <c r="BE7" s="90"/>
      <c r="BG7" s="69"/>
    </row>
    <row r="8" spans="2:77" s="29" customFormat="1" ht="93" customHeight="1" x14ac:dyDescent="0.25">
      <c r="D8" s="29" t="s">
        <v>74</v>
      </c>
      <c r="E8" s="42" t="s">
        <v>85</v>
      </c>
      <c r="F8" s="26"/>
      <c r="AD8" s="68"/>
      <c r="AF8" s="69"/>
      <c r="AH8" s="69"/>
      <c r="AI8" s="69"/>
      <c r="AJ8" s="69"/>
      <c r="AK8" s="71"/>
      <c r="AM8" s="77"/>
      <c r="AO8" s="69"/>
      <c r="BE8" s="90"/>
      <c r="BG8" s="69"/>
    </row>
    <row r="9" spans="2:77" s="29" customFormat="1" x14ac:dyDescent="0.25">
      <c r="D9" s="29" t="s">
        <v>77</v>
      </c>
      <c r="E9" s="26">
        <v>40844</v>
      </c>
      <c r="F9" s="26"/>
      <c r="AB9" s="70"/>
      <c r="AE9" s="71"/>
      <c r="AF9" s="69"/>
      <c r="AG9" s="82"/>
      <c r="AH9" s="69"/>
      <c r="AI9" s="69"/>
      <c r="AJ9" s="69"/>
      <c r="AK9" s="71"/>
      <c r="AM9" s="77"/>
      <c r="AO9" s="69"/>
      <c r="BE9" s="90"/>
      <c r="BG9" s="69"/>
    </row>
    <row r="10" spans="2:77" s="29" customFormat="1" x14ac:dyDescent="0.25">
      <c r="D10" s="66"/>
      <c r="F10" s="26"/>
      <c r="AF10" s="69"/>
      <c r="AG10" s="82"/>
      <c r="AH10" s="69"/>
      <c r="AI10" s="69"/>
      <c r="AJ10" s="69"/>
      <c r="AK10" s="71"/>
      <c r="AM10" s="77"/>
      <c r="AO10" s="69"/>
      <c r="BE10" s="90"/>
      <c r="BG10" s="69"/>
    </row>
    <row r="11" spans="2:77" x14ac:dyDescent="0.25"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L11" s="29"/>
      <c r="AN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</row>
    <row r="12" spans="2:77" x14ac:dyDescent="0.25">
      <c r="B12" s="59" t="s">
        <v>9</v>
      </c>
      <c r="C12" s="59" t="s">
        <v>18</v>
      </c>
      <c r="D12" s="59" t="s">
        <v>10</v>
      </c>
      <c r="E12" s="59" t="s">
        <v>11</v>
      </c>
      <c r="F12" s="59" t="s">
        <v>12</v>
      </c>
      <c r="G12" s="59" t="s">
        <v>1</v>
      </c>
      <c r="H12" s="59" t="s">
        <v>2</v>
      </c>
      <c r="I12" s="59" t="s">
        <v>13</v>
      </c>
      <c r="J12" s="59" t="s">
        <v>14</v>
      </c>
      <c r="K12" s="59" t="s">
        <v>0</v>
      </c>
      <c r="L12" s="59" t="s">
        <v>15</v>
      </c>
      <c r="M12" s="59" t="s">
        <v>16</v>
      </c>
      <c r="N12" s="59" t="s">
        <v>17</v>
      </c>
      <c r="O12" s="59" t="s">
        <v>26</v>
      </c>
      <c r="P12" s="59" t="s">
        <v>27</v>
      </c>
      <c r="Q12" s="59" t="s">
        <v>28</v>
      </c>
      <c r="R12" s="59" t="s">
        <v>6</v>
      </c>
      <c r="S12" s="59" t="s">
        <v>7</v>
      </c>
      <c r="T12" s="59" t="s">
        <v>4</v>
      </c>
      <c r="U12" s="59" t="s">
        <v>29</v>
      </c>
      <c r="V12" s="59" t="s">
        <v>30</v>
      </c>
      <c r="W12" s="59" t="s">
        <v>31</v>
      </c>
      <c r="X12" s="59" t="s">
        <v>32</v>
      </c>
      <c r="Y12" s="59" t="s">
        <v>33</v>
      </c>
      <c r="Z12" s="59" t="s">
        <v>34</v>
      </c>
      <c r="AA12" s="59" t="s">
        <v>35</v>
      </c>
      <c r="AB12" s="59" t="s">
        <v>36</v>
      </c>
      <c r="AC12" s="59" t="s">
        <v>37</v>
      </c>
      <c r="AD12" s="34" t="s">
        <v>5</v>
      </c>
      <c r="AE12" s="37" t="s">
        <v>40</v>
      </c>
      <c r="AF12" s="37" t="s">
        <v>161</v>
      </c>
      <c r="AG12" s="37" t="s">
        <v>212</v>
      </c>
      <c r="AH12" s="37" t="s">
        <v>162</v>
      </c>
      <c r="AI12" s="37" t="s">
        <v>163</v>
      </c>
      <c r="AJ12" s="37" t="s">
        <v>164</v>
      </c>
      <c r="AK12" s="37" t="s">
        <v>10</v>
      </c>
      <c r="AL12" s="36" t="s">
        <v>39</v>
      </c>
      <c r="AM12" s="36" t="s">
        <v>214</v>
      </c>
      <c r="AN12" s="3" t="s">
        <v>38</v>
      </c>
      <c r="AO12" s="3" t="s">
        <v>167</v>
      </c>
      <c r="AP12" s="3" t="s">
        <v>41</v>
      </c>
      <c r="AQ12" s="3" t="s">
        <v>42</v>
      </c>
      <c r="AR12" s="3" t="s">
        <v>43</v>
      </c>
      <c r="AS12" s="3" t="s">
        <v>44</v>
      </c>
      <c r="AT12" s="3" t="s">
        <v>45</v>
      </c>
      <c r="AU12" s="40" t="s">
        <v>46</v>
      </c>
      <c r="AV12" s="40" t="s">
        <v>47</v>
      </c>
      <c r="AW12" s="40" t="s">
        <v>48</v>
      </c>
      <c r="AX12" s="40" t="s">
        <v>49</v>
      </c>
      <c r="AY12" s="40" t="s">
        <v>50</v>
      </c>
      <c r="AZ12" s="40" t="s">
        <v>51</v>
      </c>
      <c r="BA12" s="40" t="s">
        <v>52</v>
      </c>
      <c r="BB12" s="40" t="s">
        <v>53</v>
      </c>
      <c r="BC12" s="40" t="s">
        <v>54</v>
      </c>
      <c r="BD12" s="40" t="s">
        <v>55</v>
      </c>
      <c r="BE12" s="40" t="s">
        <v>218</v>
      </c>
      <c r="BF12" s="41" t="s">
        <v>160</v>
      </c>
      <c r="BG12" s="41" t="s">
        <v>65</v>
      </c>
      <c r="BH12" s="41" t="s">
        <v>56</v>
      </c>
      <c r="BI12" s="41" t="s">
        <v>57</v>
      </c>
      <c r="BJ12" s="41" t="s">
        <v>58</v>
      </c>
      <c r="BK12" s="41" t="s">
        <v>66</v>
      </c>
      <c r="BL12" s="41" t="s">
        <v>59</v>
      </c>
      <c r="BM12" s="41" t="s">
        <v>60</v>
      </c>
      <c r="BN12" s="41" t="s">
        <v>61</v>
      </c>
      <c r="BO12" s="41" t="s">
        <v>62</v>
      </c>
      <c r="BP12" s="41" t="s">
        <v>63</v>
      </c>
      <c r="BQ12" s="41" t="s">
        <v>64</v>
      </c>
      <c r="BR12" s="41" t="s">
        <v>165</v>
      </c>
      <c r="BS12" s="41" t="s">
        <v>69</v>
      </c>
      <c r="BT12" s="41" t="s">
        <v>166</v>
      </c>
      <c r="BU12" s="41" t="s">
        <v>71</v>
      </c>
      <c r="BV12" s="41" t="s">
        <v>72</v>
      </c>
      <c r="BW12" s="29"/>
      <c r="BX12" s="29"/>
      <c r="BY12" s="29"/>
    </row>
    <row r="13" spans="2:77" x14ac:dyDescent="0.25">
      <c r="B13" s="59" t="s">
        <v>19</v>
      </c>
      <c r="C13" s="59" t="s">
        <v>148</v>
      </c>
      <c r="D13" s="59" t="s">
        <v>149</v>
      </c>
      <c r="E13" s="60">
        <v>41000</v>
      </c>
      <c r="F13" s="60">
        <v>41029</v>
      </c>
      <c r="G13" s="60">
        <v>40995</v>
      </c>
      <c r="H13" s="59">
        <v>45</v>
      </c>
      <c r="I13" s="59" t="s">
        <v>3</v>
      </c>
      <c r="J13" s="59">
        <v>0</v>
      </c>
      <c r="K13" s="59">
        <v>720</v>
      </c>
      <c r="L13" s="59">
        <v>0</v>
      </c>
      <c r="M13" s="59">
        <v>0</v>
      </c>
      <c r="N13" s="59">
        <v>1E-3</v>
      </c>
      <c r="O13" s="59">
        <v>8.4990275757246595E-4</v>
      </c>
      <c r="P13" s="59">
        <v>6.4424139965463896E-4</v>
      </c>
      <c r="Q13" s="59">
        <v>4.7596259521466101E-2</v>
      </c>
      <c r="R13" s="61">
        <v>-4.2836965040134997E-5</v>
      </c>
      <c r="S13" s="59">
        <v>-4.1682569577402602E-4</v>
      </c>
      <c r="T13" s="59">
        <v>0.27390369908019901</v>
      </c>
      <c r="U13" s="59">
        <v>0</v>
      </c>
      <c r="V13" s="59">
        <v>0</v>
      </c>
      <c r="W13" s="59">
        <v>7200</v>
      </c>
      <c r="X13" s="59">
        <v>7200</v>
      </c>
      <c r="Y13" s="59">
        <v>0</v>
      </c>
      <c r="Z13" s="59">
        <v>7200</v>
      </c>
      <c r="AA13" s="59">
        <v>7200</v>
      </c>
      <c r="AB13" s="59">
        <v>0</v>
      </c>
      <c r="AC13" s="59">
        <v>7200</v>
      </c>
      <c r="AD13" s="38">
        <v>1.7218437163059052E-2</v>
      </c>
      <c r="AE13" s="38">
        <v>25.45</v>
      </c>
      <c r="AF13" s="35">
        <v>1</v>
      </c>
      <c r="AG13" s="35">
        <v>1</v>
      </c>
      <c r="AH13" s="35">
        <f>J13*K13</f>
        <v>0</v>
      </c>
      <c r="AI13" s="35">
        <v>1</v>
      </c>
      <c r="AJ13" s="35">
        <v>0</v>
      </c>
      <c r="AK13" s="35" t="str">
        <f>B13&amp;"-"&amp;D13</f>
        <v>ICE TTF-EURC Apr-12 27-MAR-12 45.00</v>
      </c>
      <c r="AL13" s="3" t="str">
        <f t="shared" ref="AL13:AL24" si="0">MID(D13,4,1)</f>
        <v>C</v>
      </c>
      <c r="AM13" s="3">
        <f>B76Future($E$9,AL13,AE13,H13,G13,T13,AD13)</f>
        <v>1.0009301428211769E-3</v>
      </c>
      <c r="AN13" s="3">
        <f>B76Future($E$9,AL13,AE13,H13,G13,T13,AD13)*AG13</f>
        <v>1.0009301428211769E-3</v>
      </c>
      <c r="AO13" s="3">
        <f>AJ13*AF13</f>
        <v>0</v>
      </c>
      <c r="AP13" s="3">
        <f t="shared" ref="AP13:AP24" si="1">B76Delta($E$9,AL13,AE13,H13,G13,T13,AD13)</f>
        <v>8.4990275899500349E-4</v>
      </c>
      <c r="AQ13" s="3">
        <f t="shared" ref="AQ13:AQ24" si="2">B76Gamma($E$9,AL13,AE13,H13,G13,T13,AD13)</f>
        <v>6.4424139988480695E-4</v>
      </c>
      <c r="AR13" s="3">
        <f t="shared" ref="AR13:AR24" si="3">B76Vega($E$9,AL13,AE13,H13,G13,T13,AD13)</f>
        <v>4.7596259542096904E-2</v>
      </c>
      <c r="AS13" s="3">
        <f t="shared" ref="AS13:AS24" si="4">B76Theta($E$9,AL13,AE13,H13,G13,T13,AD13)</f>
        <v>-4.2836965054607619E-5</v>
      </c>
      <c r="AT13" s="3">
        <f t="shared" ref="AT13:AT24" si="5">B76Rho($E$9,AL13,AE13,H13,G13,T13,AD13)</f>
        <v>-4.1682570331183255E-4</v>
      </c>
      <c r="AU13" s="67">
        <f>-AO13*AH13*AI13</f>
        <v>0</v>
      </c>
      <c r="AV13" s="3">
        <f>AN13*AH13*AI13</f>
        <v>0</v>
      </c>
      <c r="AW13" s="3">
        <f>AV13</f>
        <v>0</v>
      </c>
      <c r="AX13" s="3">
        <f>1*10*720</f>
        <v>7200</v>
      </c>
      <c r="AY13" s="3">
        <f>AU13+AX13</f>
        <v>7200</v>
      </c>
      <c r="AZ13" s="3">
        <f>AW13</f>
        <v>0</v>
      </c>
      <c r="BA13" s="3">
        <f>AY13+AZ13</f>
        <v>7200</v>
      </c>
      <c r="BB13" s="3">
        <f>AX13+AU13</f>
        <v>7200</v>
      </c>
      <c r="BC13" s="3">
        <f>AW13</f>
        <v>0</v>
      </c>
      <c r="BD13" s="3">
        <f>BB13+BC13</f>
        <v>7200</v>
      </c>
      <c r="BE13" s="89">
        <f t="shared" ref="BE13:BE24" si="6">AP13*AH13</f>
        <v>0</v>
      </c>
      <c r="BF13" s="41">
        <f t="shared" ref="BF13:BF24" si="7">QaAssert(N13,AN13)</f>
        <v>-9.2927845948886922E-4</v>
      </c>
      <c r="BG13" s="41">
        <f>QaAssert(L13,AO13)</f>
        <v>0</v>
      </c>
      <c r="BH13" s="5">
        <f t="shared" ref="BH13:BH24" si="8">QaAssert(AU13,M13)</f>
        <v>0</v>
      </c>
      <c r="BI13" s="5">
        <f t="shared" ref="BI13:BI24" si="9">QaAssert(AV13,U13)</f>
        <v>0</v>
      </c>
      <c r="BJ13" s="5">
        <f t="shared" ref="BJ13:BJ24" si="10">QaAssert(AW13, V13)</f>
        <v>0</v>
      </c>
      <c r="BK13" s="5">
        <f t="shared" ref="BK13:BK24" si="11">QaAssert(W13,AX13)</f>
        <v>0</v>
      </c>
      <c r="BL13" s="5">
        <f t="shared" ref="BL13:BL24" si="12">QaAssert(X13,AY13)</f>
        <v>0</v>
      </c>
      <c r="BM13" s="5">
        <f t="shared" ref="BM13:BM24" si="13">QaAssert(Y13,AZ13)</f>
        <v>0</v>
      </c>
      <c r="BN13" s="5">
        <f t="shared" ref="BN13:BN24" si="14">QaAssert(Z13,BA13)</f>
        <v>0</v>
      </c>
      <c r="BO13" s="5">
        <f t="shared" ref="BO13:BO24" si="15">QaAssert(AA13,BB13)</f>
        <v>0</v>
      </c>
      <c r="BP13" s="5">
        <f t="shared" ref="BP13:BP24" si="16">QaAssert(AB13,BC13)</f>
        <v>0</v>
      </c>
      <c r="BQ13" s="5">
        <f t="shared" ref="BQ13:BQ24" si="17">QaAssert(AC13,BD13)</f>
        <v>0</v>
      </c>
      <c r="BR13" s="5">
        <f t="shared" ref="BR13:BR24" si="18">QaAssert(O13,AP13)</f>
        <v>0</v>
      </c>
      <c r="BS13" s="5">
        <f t="shared" ref="BS13:BS24" si="19">QaAssert(P13,AQ13)</f>
        <v>0</v>
      </c>
      <c r="BT13" s="5">
        <f t="shared" ref="BT13:BT24" si="20">QaAssert(Q13,AR13)</f>
        <v>0</v>
      </c>
      <c r="BU13" s="5">
        <f t="shared" ref="BU13:BU24" si="21">QaAssert(S13,AT13)</f>
        <v>-1.8083833319693099E-8</v>
      </c>
      <c r="BV13" s="5">
        <f t="shared" ref="BV13:BV24" si="22">QaAssert(R13,AS13)</f>
        <v>0</v>
      </c>
      <c r="BW13" s="29"/>
      <c r="BX13" s="29"/>
      <c r="BY13" s="29"/>
    </row>
    <row r="14" spans="2:77" x14ac:dyDescent="0.25">
      <c r="B14" s="59" t="s">
        <v>150</v>
      </c>
      <c r="C14" s="59" t="s">
        <v>151</v>
      </c>
      <c r="D14" s="59" t="s">
        <v>149</v>
      </c>
      <c r="E14" s="60">
        <v>41000</v>
      </c>
      <c r="F14" s="60">
        <v>41029</v>
      </c>
      <c r="G14" s="60">
        <v>40995</v>
      </c>
      <c r="H14" s="59">
        <v>45</v>
      </c>
      <c r="I14" s="59" t="s">
        <v>3</v>
      </c>
      <c r="J14" s="59">
        <v>0</v>
      </c>
      <c r="K14" s="59">
        <v>720</v>
      </c>
      <c r="L14" s="59">
        <v>0</v>
      </c>
      <c r="M14" s="59">
        <v>0</v>
      </c>
      <c r="N14" s="59">
        <v>23.875060118226699</v>
      </c>
      <c r="O14" s="59">
        <v>0.91718938033854003</v>
      </c>
      <c r="P14" s="59">
        <v>7.5789075167207202E-3</v>
      </c>
      <c r="Q14" s="59">
        <v>6.1369065537398502</v>
      </c>
      <c r="R14" s="59">
        <v>-8.5102028818989893E-3</v>
      </c>
      <c r="S14" s="59">
        <v>-8.7509230550708104</v>
      </c>
      <c r="T14" s="59">
        <v>0.455303507545049</v>
      </c>
      <c r="U14" s="59">
        <v>0</v>
      </c>
      <c r="V14" s="59">
        <v>0</v>
      </c>
      <c r="W14" s="59">
        <v>341086.52313481999</v>
      </c>
      <c r="X14" s="59">
        <v>341086.52313481999</v>
      </c>
      <c r="Y14" s="59">
        <v>0</v>
      </c>
      <c r="Z14" s="59">
        <v>341086.52313481999</v>
      </c>
      <c r="AA14" s="59">
        <v>341086.52313481999</v>
      </c>
      <c r="AB14" s="59">
        <v>0</v>
      </c>
      <c r="AC14" s="59">
        <v>341086.52313481999</v>
      </c>
      <c r="AD14" s="38">
        <v>1.1830375046759814E-2</v>
      </c>
      <c r="AE14" s="38">
        <v>65.349999999999994</v>
      </c>
      <c r="AF14" s="35">
        <v>1.1369550771160699</v>
      </c>
      <c r="AG14" s="82">
        <v>1.1369076246774601</v>
      </c>
      <c r="AH14" s="35">
        <f t="shared" ref="AH14:AH24" si="23">J14*K14</f>
        <v>0</v>
      </c>
      <c r="AI14" s="35">
        <v>0.01</v>
      </c>
      <c r="AJ14" s="35">
        <v>0</v>
      </c>
      <c r="AK14" s="35" t="str">
        <f t="shared" ref="AK14:AK24" si="24">B14&amp;"-"&amp;D14</f>
        <v>ICE NBP-EURC Apr-12 27-MAR-12 45.00</v>
      </c>
      <c r="AL14" s="3" t="str">
        <f t="shared" si="0"/>
        <v>C</v>
      </c>
      <c r="AM14" s="3">
        <f t="shared" ref="AM14:AM24" si="25">B76Future($E$9,AL14,AE14,H14,G14,T14,AD14)</f>
        <v>21.013729746094725</v>
      </c>
      <c r="AN14" s="3">
        <f t="shared" ref="AN14:AN24" si="26">B76Future($E$9,AL14,AE14,H14,G14,T14,AD14)*AG14</f>
        <v>23.89066957124664</v>
      </c>
      <c r="AO14" s="3">
        <f t="shared" ref="AO14:AO24" si="27">AJ14*AF14</f>
        <v>0</v>
      </c>
      <c r="AP14" s="3">
        <f t="shared" si="1"/>
        <v>0.91718938071984668</v>
      </c>
      <c r="AQ14" s="3">
        <f t="shared" si="2"/>
        <v>7.5789074930557058E-3</v>
      </c>
      <c r="AR14" s="3">
        <f t="shared" si="3"/>
        <v>6.1369065416743371</v>
      </c>
      <c r="AS14" s="3">
        <f t="shared" si="4"/>
        <v>-8.5102028618357951E-3</v>
      </c>
      <c r="AT14" s="3">
        <f t="shared" si="5"/>
        <v>-8.7509230723462963</v>
      </c>
      <c r="AU14" s="67">
        <f t="shared" ref="AU14:AU24" si="28">-AO14*AH14*AI14</f>
        <v>0</v>
      </c>
      <c r="AV14" s="3">
        <f t="shared" ref="AV14:AV24" si="29">AN14*AH14*AI14</f>
        <v>0</v>
      </c>
      <c r="AW14" s="3">
        <f t="shared" ref="AW14:AW24" si="30">AV14</f>
        <v>0</v>
      </c>
      <c r="AX14" s="3">
        <f>1*1000000*30*AF14/100</f>
        <v>341086.52313482098</v>
      </c>
      <c r="AY14" s="3">
        <f t="shared" ref="AY14:AY18" si="31">AU14+AX14</f>
        <v>341086.52313482098</v>
      </c>
      <c r="AZ14" s="3">
        <f t="shared" ref="AZ14:AZ18" si="32">AW14</f>
        <v>0</v>
      </c>
      <c r="BA14" s="3">
        <f t="shared" ref="BA14:BA18" si="33">AY14+AZ14</f>
        <v>341086.52313482098</v>
      </c>
      <c r="BB14" s="3">
        <f t="shared" ref="BB14:BB18" si="34">AX14+AU14</f>
        <v>341086.52313482098</v>
      </c>
      <c r="BC14" s="3">
        <f t="shared" ref="BC14:BC18" si="35">AW14</f>
        <v>0</v>
      </c>
      <c r="BD14" s="3">
        <f t="shared" ref="BD14:BD18" si="36">BB14+BC14</f>
        <v>341086.52313482098</v>
      </c>
      <c r="BE14" s="89">
        <f t="shared" si="6"/>
        <v>0</v>
      </c>
      <c r="BF14" s="41">
        <f t="shared" si="7"/>
        <v>-6.5337026128087228E-4</v>
      </c>
      <c r="BG14" s="41">
        <f t="shared" ref="BG14:BG24" si="37">QaAssert(L14,AO14)</f>
        <v>0</v>
      </c>
      <c r="BH14" s="5">
        <f t="shared" si="8"/>
        <v>0</v>
      </c>
      <c r="BI14" s="5">
        <f t="shared" si="9"/>
        <v>0</v>
      </c>
      <c r="BJ14" s="5">
        <f t="shared" si="10"/>
        <v>0</v>
      </c>
      <c r="BK14" s="5">
        <f t="shared" si="11"/>
        <v>0</v>
      </c>
      <c r="BL14" s="5">
        <f t="shared" si="12"/>
        <v>0</v>
      </c>
      <c r="BM14" s="5">
        <f t="shared" si="13"/>
        <v>0</v>
      </c>
      <c r="BN14" s="5">
        <f t="shared" si="14"/>
        <v>0</v>
      </c>
      <c r="BO14" s="5">
        <f t="shared" si="15"/>
        <v>0</v>
      </c>
      <c r="BP14" s="5">
        <f t="shared" si="16"/>
        <v>0</v>
      </c>
      <c r="BQ14" s="5">
        <f t="shared" si="17"/>
        <v>0</v>
      </c>
      <c r="BR14" s="5">
        <f t="shared" si="18"/>
        <v>0</v>
      </c>
      <c r="BS14" s="5">
        <f t="shared" si="19"/>
        <v>0</v>
      </c>
      <c r="BT14" s="5">
        <f t="shared" si="20"/>
        <v>0</v>
      </c>
      <c r="BU14" s="5">
        <f t="shared" si="21"/>
        <v>0</v>
      </c>
      <c r="BV14" s="5">
        <f t="shared" si="22"/>
        <v>0</v>
      </c>
      <c r="BW14" s="29"/>
      <c r="BX14" s="29"/>
      <c r="BY14" s="29"/>
    </row>
    <row r="15" spans="2:77" x14ac:dyDescent="0.25">
      <c r="B15" s="59" t="s">
        <v>19</v>
      </c>
      <c r="C15" s="59" t="s">
        <v>20</v>
      </c>
      <c r="D15" s="59" t="s">
        <v>152</v>
      </c>
      <c r="E15" s="60">
        <v>41061</v>
      </c>
      <c r="F15" s="60">
        <v>41090</v>
      </c>
      <c r="G15" s="60">
        <v>41054</v>
      </c>
      <c r="H15" s="59">
        <v>45</v>
      </c>
      <c r="I15" s="59" t="s">
        <v>3</v>
      </c>
      <c r="J15" s="59">
        <v>10</v>
      </c>
      <c r="K15" s="59">
        <v>720</v>
      </c>
      <c r="L15" s="59">
        <v>3.57</v>
      </c>
      <c r="M15" s="59">
        <v>-25704</v>
      </c>
      <c r="N15" s="59">
        <v>2E-3</v>
      </c>
      <c r="O15" s="59">
        <v>1.5308736844508401E-3</v>
      </c>
      <c r="P15" s="59">
        <v>1.0328638609828E-3</v>
      </c>
      <c r="Q15" s="59">
        <v>9.4478944220857994E-2</v>
      </c>
      <c r="R15" s="61">
        <v>-5.6489645072591501E-5</v>
      </c>
      <c r="S15" s="59">
        <v>-1.1574468738457099E-3</v>
      </c>
      <c r="T15" s="59">
        <v>0.25277129176244401</v>
      </c>
      <c r="U15" s="59">
        <v>14.4</v>
      </c>
      <c r="V15" s="59">
        <v>14.4</v>
      </c>
      <c r="W15" s="59">
        <v>1980</v>
      </c>
      <c r="X15" s="59">
        <v>-23724</v>
      </c>
      <c r="Y15" s="59">
        <v>14.4</v>
      </c>
      <c r="Z15" s="59">
        <v>-23709.599999999999</v>
      </c>
      <c r="AA15" s="59">
        <v>-23724</v>
      </c>
      <c r="AB15" s="59">
        <v>14.4</v>
      </c>
      <c r="AC15" s="59">
        <v>-23709.599999999999</v>
      </c>
      <c r="AD15" s="38">
        <v>1.8547095638830498E-2</v>
      </c>
      <c r="AE15" s="38">
        <v>25.02</v>
      </c>
      <c r="AF15" s="38">
        <v>1</v>
      </c>
      <c r="AG15" s="35">
        <v>1</v>
      </c>
      <c r="AH15" s="35">
        <f t="shared" si="23"/>
        <v>7200</v>
      </c>
      <c r="AI15" s="35">
        <v>1</v>
      </c>
      <c r="AJ15" s="35">
        <v>3.57</v>
      </c>
      <c r="AK15" s="35" t="str">
        <f t="shared" si="24"/>
        <v>ICE TTF-EURC Jun-12 25-MAY-12 45.00</v>
      </c>
      <c r="AL15" s="3" t="str">
        <f t="shared" si="0"/>
        <v>C</v>
      </c>
      <c r="AM15" s="3">
        <f t="shared" si="25"/>
        <v>2.0022185208774133E-3</v>
      </c>
      <c r="AN15" s="3">
        <f t="shared" si="26"/>
        <v>2.0022185208774133E-3</v>
      </c>
      <c r="AO15" s="3">
        <f t="shared" si="27"/>
        <v>3.57</v>
      </c>
      <c r="AP15" s="3">
        <f t="shared" si="1"/>
        <v>1.5308736863120353E-3</v>
      </c>
      <c r="AQ15" s="3">
        <f t="shared" si="2"/>
        <v>1.0328638612173786E-3</v>
      </c>
      <c r="AR15" s="3">
        <f t="shared" si="3"/>
        <v>9.4478944247491384E-2</v>
      </c>
      <c r="AS15" s="3">
        <f t="shared" si="4"/>
        <v>-5.6489645085698401E-5</v>
      </c>
      <c r="AT15" s="3">
        <f t="shared" si="5"/>
        <v>-1.1574468709729703E-3</v>
      </c>
      <c r="AU15" s="67">
        <f t="shared" si="28"/>
        <v>-25704</v>
      </c>
      <c r="AV15" s="3">
        <f t="shared" si="29"/>
        <v>14.415973350317376</v>
      </c>
      <c r="AW15" s="3">
        <f t="shared" si="30"/>
        <v>14.415973350317376</v>
      </c>
      <c r="AX15" s="3">
        <f>(4.21-3.66)*5*K15</f>
        <v>1979.9999999999993</v>
      </c>
      <c r="AY15" s="3">
        <f t="shared" si="31"/>
        <v>-23724</v>
      </c>
      <c r="AZ15" s="3">
        <f t="shared" si="32"/>
        <v>14.415973350317376</v>
      </c>
      <c r="BA15" s="3">
        <f t="shared" si="33"/>
        <v>-23709.584026649682</v>
      </c>
      <c r="BB15" s="3">
        <f t="shared" si="34"/>
        <v>-23724</v>
      </c>
      <c r="BC15" s="3">
        <f t="shared" si="35"/>
        <v>14.415973350317376</v>
      </c>
      <c r="BD15" s="3">
        <f t="shared" si="36"/>
        <v>-23709.584026649682</v>
      </c>
      <c r="BE15" s="89">
        <f>AP15*AH15</f>
        <v>11.022290541446655</v>
      </c>
      <c r="BF15" s="41">
        <f t="shared" si="7"/>
        <v>-1.1080313433725619E-3</v>
      </c>
      <c r="BG15" s="41">
        <f t="shared" si="37"/>
        <v>0</v>
      </c>
      <c r="BH15" s="5">
        <f t="shared" si="8"/>
        <v>0</v>
      </c>
      <c r="BI15" s="5">
        <f t="shared" si="9"/>
        <v>1.1092604387066274E-3</v>
      </c>
      <c r="BJ15" s="5">
        <f t="shared" si="10"/>
        <v>1.1092604387066274E-3</v>
      </c>
      <c r="BK15" s="5">
        <f t="shared" si="11"/>
        <v>0</v>
      </c>
      <c r="BL15" s="5">
        <f t="shared" si="12"/>
        <v>0</v>
      </c>
      <c r="BM15" s="5">
        <f t="shared" si="13"/>
        <v>-1.1080313433725619E-3</v>
      </c>
      <c r="BN15" s="5">
        <f t="shared" si="14"/>
        <v>6.7370858558568614E-7</v>
      </c>
      <c r="BO15" s="5">
        <f t="shared" si="15"/>
        <v>0</v>
      </c>
      <c r="BP15" s="5">
        <f t="shared" si="16"/>
        <v>-1.1080313433725619E-3</v>
      </c>
      <c r="BQ15" s="5">
        <f t="shared" si="17"/>
        <v>6.7370858558568614E-7</v>
      </c>
      <c r="BR15" s="5">
        <f t="shared" si="18"/>
        <v>0</v>
      </c>
      <c r="BS15" s="5">
        <f t="shared" si="19"/>
        <v>0</v>
      </c>
      <c r="BT15" s="5">
        <f t="shared" si="20"/>
        <v>0</v>
      </c>
      <c r="BU15" s="5">
        <f t="shared" si="21"/>
        <v>0</v>
      </c>
      <c r="BV15" s="5">
        <f t="shared" si="22"/>
        <v>0</v>
      </c>
      <c r="BW15" s="29"/>
      <c r="BX15" s="29"/>
      <c r="BY15" s="29"/>
    </row>
    <row r="16" spans="2:77" x14ac:dyDescent="0.25">
      <c r="B16" s="59" t="s">
        <v>19</v>
      </c>
      <c r="C16" s="59" t="s">
        <v>20</v>
      </c>
      <c r="D16" s="59" t="s">
        <v>153</v>
      </c>
      <c r="E16" s="60">
        <v>41061</v>
      </c>
      <c r="F16" s="60">
        <v>41090</v>
      </c>
      <c r="G16" s="60">
        <v>41054</v>
      </c>
      <c r="H16" s="59">
        <v>45</v>
      </c>
      <c r="I16" s="59" t="s">
        <v>3</v>
      </c>
      <c r="J16" s="59">
        <v>10</v>
      </c>
      <c r="K16" s="59">
        <v>720</v>
      </c>
      <c r="L16" s="59">
        <v>3.57</v>
      </c>
      <c r="M16" s="59">
        <v>-25704</v>
      </c>
      <c r="N16" s="59">
        <v>19.75</v>
      </c>
      <c r="O16" s="59">
        <v>-0.98601568958200403</v>
      </c>
      <c r="P16" s="59">
        <v>1.9190608133150999E-3</v>
      </c>
      <c r="Q16" s="59">
        <v>0.19045521425322401</v>
      </c>
      <c r="R16" s="59">
        <v>8.8091754056615504E-4</v>
      </c>
      <c r="S16" s="59">
        <v>-11.4297878792256</v>
      </c>
      <c r="T16" s="59">
        <v>0.274245764083487</v>
      </c>
      <c r="U16" s="59">
        <v>142200</v>
      </c>
      <c r="V16" s="59">
        <v>142200</v>
      </c>
      <c r="W16" s="59">
        <v>1980</v>
      </c>
      <c r="X16" s="59">
        <v>-23724</v>
      </c>
      <c r="Y16" s="59">
        <v>142200</v>
      </c>
      <c r="Z16" s="59">
        <v>118476</v>
      </c>
      <c r="AA16" s="59">
        <v>-23724</v>
      </c>
      <c r="AB16" s="59">
        <v>142200</v>
      </c>
      <c r="AC16" s="59">
        <v>118476</v>
      </c>
      <c r="AD16" s="38">
        <v>1.8547095638830498E-2</v>
      </c>
      <c r="AE16" s="38">
        <v>25.02</v>
      </c>
      <c r="AF16" s="38">
        <v>1</v>
      </c>
      <c r="AG16" s="35">
        <v>1</v>
      </c>
      <c r="AH16" s="35">
        <f t="shared" si="23"/>
        <v>7200</v>
      </c>
      <c r="AI16" s="35">
        <v>1</v>
      </c>
      <c r="AJ16" s="35">
        <v>3.57</v>
      </c>
      <c r="AK16" s="35" t="str">
        <f t="shared" si="24"/>
        <v>ICE TTF-EURP Jun-12 25-MAY-12 45.00</v>
      </c>
      <c r="AL16" s="3" t="str">
        <f t="shared" si="0"/>
        <v>P</v>
      </c>
      <c r="AM16" s="3">
        <f t="shared" si="25"/>
        <v>19.771907943836464</v>
      </c>
      <c r="AN16" s="3">
        <f t="shared" si="26"/>
        <v>19.771907943836464</v>
      </c>
      <c r="AO16" s="3">
        <f t="shared" si="27"/>
        <v>3.57</v>
      </c>
      <c r="AP16" s="3">
        <f t="shared" si="1"/>
        <v>-0.98601568957589236</v>
      </c>
      <c r="AQ16" s="3">
        <f t="shared" si="2"/>
        <v>1.9190608136771426E-3</v>
      </c>
      <c r="AR16" s="3">
        <f t="shared" si="3"/>
        <v>0.19045521429958948</v>
      </c>
      <c r="AS16" s="3">
        <f t="shared" si="4"/>
        <v>8.8091754054360971E-4</v>
      </c>
      <c r="AT16" s="3">
        <f t="shared" si="5"/>
        <v>-11.429787879861626</v>
      </c>
      <c r="AU16" s="67">
        <f t="shared" si="28"/>
        <v>-25704</v>
      </c>
      <c r="AV16" s="3">
        <f t="shared" si="29"/>
        <v>142357.73719562253</v>
      </c>
      <c r="AW16" s="3">
        <f t="shared" si="30"/>
        <v>142357.73719562253</v>
      </c>
      <c r="AX16" s="3">
        <f>(4.21-3.66)*5*K16</f>
        <v>1979.9999999999993</v>
      </c>
      <c r="AY16" s="3">
        <f t="shared" si="31"/>
        <v>-23724</v>
      </c>
      <c r="AZ16" s="3">
        <f t="shared" si="32"/>
        <v>142357.73719562253</v>
      </c>
      <c r="BA16" s="3">
        <f t="shared" si="33"/>
        <v>118633.73719562253</v>
      </c>
      <c r="BB16" s="3">
        <f t="shared" si="34"/>
        <v>-23724</v>
      </c>
      <c r="BC16" s="3">
        <f t="shared" si="35"/>
        <v>142357.73719562253</v>
      </c>
      <c r="BD16" s="3">
        <f t="shared" si="36"/>
        <v>118633.73719562253</v>
      </c>
      <c r="BE16" s="89">
        <f t="shared" si="6"/>
        <v>-7099.3129649464254</v>
      </c>
      <c r="BF16" s="41">
        <f t="shared" si="7"/>
        <v>-1.1080338781008781E-3</v>
      </c>
      <c r="BG16" s="41">
        <f t="shared" si="37"/>
        <v>0</v>
      </c>
      <c r="BH16" s="5">
        <f t="shared" si="8"/>
        <v>0</v>
      </c>
      <c r="BI16" s="5">
        <f t="shared" si="9"/>
        <v>1.1092629790614428E-3</v>
      </c>
      <c r="BJ16" s="5">
        <f t="shared" si="10"/>
        <v>1.1092629790614428E-3</v>
      </c>
      <c r="BK16" s="5">
        <f t="shared" si="11"/>
        <v>0</v>
      </c>
      <c r="BL16" s="5">
        <f t="shared" si="12"/>
        <v>0</v>
      </c>
      <c r="BM16" s="5">
        <f t="shared" si="13"/>
        <v>-1.1080338781008781E-3</v>
      </c>
      <c r="BN16" s="5">
        <f t="shared" si="14"/>
        <v>-1.3296149927606304E-3</v>
      </c>
      <c r="BO16" s="5">
        <f t="shared" si="15"/>
        <v>0</v>
      </c>
      <c r="BP16" s="5">
        <f t="shared" si="16"/>
        <v>-1.1080338781008781E-3</v>
      </c>
      <c r="BQ16" s="5">
        <f t="shared" si="17"/>
        <v>-1.3296149927606304E-3</v>
      </c>
      <c r="BR16" s="5">
        <f t="shared" si="18"/>
        <v>0</v>
      </c>
      <c r="BS16" s="5">
        <f t="shared" si="19"/>
        <v>0</v>
      </c>
      <c r="BT16" s="5">
        <f t="shared" si="20"/>
        <v>0</v>
      </c>
      <c r="BU16" s="5">
        <f t="shared" si="21"/>
        <v>0</v>
      </c>
      <c r="BV16" s="5">
        <f t="shared" si="22"/>
        <v>0</v>
      </c>
      <c r="BW16" s="29"/>
      <c r="BX16" s="29"/>
      <c r="BY16" s="29"/>
    </row>
    <row r="17" spans="2:77" x14ac:dyDescent="0.25">
      <c r="B17" s="59" t="s">
        <v>150</v>
      </c>
      <c r="C17" s="59" t="s">
        <v>154</v>
      </c>
      <c r="D17" s="59" t="s">
        <v>153</v>
      </c>
      <c r="E17" s="60">
        <v>41061</v>
      </c>
      <c r="F17" s="60">
        <v>41090</v>
      </c>
      <c r="G17" s="60">
        <v>41054</v>
      </c>
      <c r="H17" s="59">
        <v>45</v>
      </c>
      <c r="I17" s="59" t="s">
        <v>3</v>
      </c>
      <c r="J17" s="59">
        <v>1000000</v>
      </c>
      <c r="K17" s="59">
        <v>720</v>
      </c>
      <c r="L17" s="59">
        <v>4.0589296253043603</v>
      </c>
      <c r="M17" s="59">
        <v>-1217678.8882490301</v>
      </c>
      <c r="N17" s="59">
        <v>0.28422690616936602</v>
      </c>
      <c r="O17" s="59">
        <v>-4.7999557363519303E-2</v>
      </c>
      <c r="P17" s="59">
        <v>8.5549832545019095E-3</v>
      </c>
      <c r="Q17" s="59">
        <v>4.6036012558525696</v>
      </c>
      <c r="R17" s="59">
        <v>-2.74221646743228E-3</v>
      </c>
      <c r="S17" s="59">
        <v>-0.144641320175843</v>
      </c>
      <c r="T17" s="59">
        <v>0.25222979167256898</v>
      </c>
      <c r="U17" s="59">
        <v>85268.071850809705</v>
      </c>
      <c r="V17" s="59">
        <v>85268.071850809705</v>
      </c>
      <c r="W17" s="59">
        <v>0</v>
      </c>
      <c r="X17" s="59">
        <v>-1217678.8882490301</v>
      </c>
      <c r="Y17" s="59">
        <v>85268.071850809705</v>
      </c>
      <c r="Z17" s="59">
        <v>-1132410.8163982199</v>
      </c>
      <c r="AA17" s="59">
        <v>-1217678.8882490301</v>
      </c>
      <c r="AB17" s="59">
        <v>85268.071850809705</v>
      </c>
      <c r="AC17" s="62">
        <v>-1132410.8163982199</v>
      </c>
      <c r="AD17" s="38">
        <v>1.3654592302963252E-2</v>
      </c>
      <c r="AE17" s="38">
        <v>60.75</v>
      </c>
      <c r="AF17" s="35">
        <v>1.1369550771160699</v>
      </c>
      <c r="AG17" s="82">
        <v>1.1369076246774601</v>
      </c>
      <c r="AH17" s="35">
        <f>J17*30</f>
        <v>30000000</v>
      </c>
      <c r="AI17" s="35">
        <v>0.01</v>
      </c>
      <c r="AJ17" s="35">
        <v>3.57</v>
      </c>
      <c r="AK17" s="35" t="str">
        <f t="shared" si="24"/>
        <v>ICE NBP-EURP Jun-12 25-MAY-12 45.00</v>
      </c>
      <c r="AL17" s="3" t="str">
        <f t="shared" si="0"/>
        <v>P</v>
      </c>
      <c r="AM17" s="3">
        <f t="shared" si="25"/>
        <v>0.25020891889506375</v>
      </c>
      <c r="AN17" s="3">
        <f t="shared" si="26"/>
        <v>0.28446442765410218</v>
      </c>
      <c r="AO17" s="3">
        <f t="shared" si="27"/>
        <v>4.0589296253043692</v>
      </c>
      <c r="AP17" s="3">
        <f t="shared" si="1"/>
        <v>-4.7999557043552611E-2</v>
      </c>
      <c r="AQ17" s="3">
        <f t="shared" si="2"/>
        <v>8.5549832101965914E-3</v>
      </c>
      <c r="AR17" s="3">
        <f t="shared" si="3"/>
        <v>4.6036012372369024</v>
      </c>
      <c r="AS17" s="3">
        <f t="shared" si="4"/>
        <v>-2.7422164561512353E-3</v>
      </c>
      <c r="AT17" s="3">
        <f t="shared" si="5"/>
        <v>-0.14464132023796836</v>
      </c>
      <c r="AU17" s="67">
        <f t="shared" si="28"/>
        <v>-1217678.8875913108</v>
      </c>
      <c r="AV17" s="3">
        <f t="shared" si="29"/>
        <v>85339.328296230655</v>
      </c>
      <c r="AW17" s="3">
        <f t="shared" si="30"/>
        <v>85339.328296230655</v>
      </c>
      <c r="AX17" s="3">
        <v>0</v>
      </c>
      <c r="AY17" s="3">
        <f t="shared" si="31"/>
        <v>-1217678.8875913108</v>
      </c>
      <c r="AZ17" s="3">
        <f t="shared" si="32"/>
        <v>85339.328296230655</v>
      </c>
      <c r="BA17" s="3">
        <f t="shared" si="33"/>
        <v>-1132339.5592950801</v>
      </c>
      <c r="BB17" s="3">
        <f t="shared" si="34"/>
        <v>-1217678.8875913108</v>
      </c>
      <c r="BC17" s="3">
        <f t="shared" si="35"/>
        <v>85339.328296230655</v>
      </c>
      <c r="BD17" s="3">
        <f t="shared" si="36"/>
        <v>-1132339.5592950801</v>
      </c>
      <c r="BE17" s="89">
        <f>AP17*AH17</f>
        <v>-1439986.7113065782</v>
      </c>
      <c r="BF17" s="41">
        <f t="shared" si="7"/>
        <v>-8.3497780968588842E-4</v>
      </c>
      <c r="BG17" s="41">
        <f t="shared" si="37"/>
        <v>0</v>
      </c>
      <c r="BH17" s="5">
        <f t="shared" si="8"/>
        <v>0</v>
      </c>
      <c r="BI17" s="5">
        <f t="shared" si="9"/>
        <v>8.356755802525484E-4</v>
      </c>
      <c r="BJ17" s="5">
        <f t="shared" si="10"/>
        <v>8.356755802525484E-4</v>
      </c>
      <c r="BK17" s="5">
        <f t="shared" si="11"/>
        <v>0</v>
      </c>
      <c r="BL17" s="5">
        <f t="shared" si="12"/>
        <v>0</v>
      </c>
      <c r="BM17" s="5">
        <f t="shared" si="13"/>
        <v>-8.3497780968699864E-4</v>
      </c>
      <c r="BN17" s="5">
        <f t="shared" si="14"/>
        <v>6.292909450600348E-5</v>
      </c>
      <c r="BO17" s="5">
        <f t="shared" si="15"/>
        <v>0</v>
      </c>
      <c r="BP17" s="5">
        <f t="shared" si="16"/>
        <v>-8.3497780968699864E-4</v>
      </c>
      <c r="BQ17" s="5">
        <f t="shared" si="17"/>
        <v>6.292909450600348E-5</v>
      </c>
      <c r="BR17" s="5">
        <f t="shared" si="18"/>
        <v>0</v>
      </c>
      <c r="BS17" s="5">
        <f t="shared" si="19"/>
        <v>0</v>
      </c>
      <c r="BT17" s="5">
        <f t="shared" si="20"/>
        <v>0</v>
      </c>
      <c r="BU17" s="5">
        <f t="shared" si="21"/>
        <v>0</v>
      </c>
      <c r="BV17" s="5">
        <f t="shared" si="22"/>
        <v>0</v>
      </c>
      <c r="BW17" s="29"/>
      <c r="BX17" s="29"/>
      <c r="BY17" s="29"/>
    </row>
    <row r="18" spans="2:77" x14ac:dyDescent="0.25">
      <c r="B18" s="62" t="s">
        <v>19</v>
      </c>
      <c r="C18" s="62" t="s">
        <v>82</v>
      </c>
      <c r="D18" s="62" t="s">
        <v>83</v>
      </c>
      <c r="E18" s="60">
        <v>40603</v>
      </c>
      <c r="F18" s="60">
        <v>40633</v>
      </c>
      <c r="G18" s="60">
        <v>40598</v>
      </c>
      <c r="H18" s="59">
        <v>45</v>
      </c>
      <c r="I18" s="63" t="s">
        <v>8</v>
      </c>
      <c r="J18" s="59">
        <v>10</v>
      </c>
      <c r="K18" s="59">
        <v>743</v>
      </c>
      <c r="L18" s="59">
        <v>3.57</v>
      </c>
      <c r="M18" s="59">
        <v>-26525.1</v>
      </c>
      <c r="N18" s="59">
        <v>0</v>
      </c>
      <c r="O18" s="59">
        <v>0</v>
      </c>
      <c r="P18" s="59">
        <v>0</v>
      </c>
      <c r="Q18" s="59">
        <v>0</v>
      </c>
      <c r="R18" s="59">
        <v>0</v>
      </c>
      <c r="S18" s="59">
        <v>0</v>
      </c>
      <c r="T18" s="59">
        <v>0</v>
      </c>
      <c r="U18" s="59">
        <v>0</v>
      </c>
      <c r="V18" s="59">
        <v>0</v>
      </c>
      <c r="W18" s="59">
        <v>2043.25</v>
      </c>
      <c r="X18" s="59">
        <v>-24481.85</v>
      </c>
      <c r="Y18" s="59">
        <v>0</v>
      </c>
      <c r="Z18" s="59">
        <v>-24481.85</v>
      </c>
      <c r="AA18" s="59">
        <v>-24481.85</v>
      </c>
      <c r="AB18" s="59">
        <v>0</v>
      </c>
      <c r="AC18" s="59">
        <v>-24481.85</v>
      </c>
      <c r="AD18" s="35"/>
      <c r="AE18" s="35"/>
      <c r="AF18" s="38">
        <v>1</v>
      </c>
      <c r="AG18" s="35">
        <v>1</v>
      </c>
      <c r="AH18" s="35">
        <f t="shared" si="23"/>
        <v>7430</v>
      </c>
      <c r="AI18" s="35">
        <v>1</v>
      </c>
      <c r="AJ18" s="35">
        <v>3.57</v>
      </c>
      <c r="AK18" s="35" t="str">
        <f t="shared" si="24"/>
        <v>ICE TTF-EURC Mar-11 24-FEB-11 45.00</v>
      </c>
      <c r="AL18" s="3" t="str">
        <f t="shared" si="0"/>
        <v>C</v>
      </c>
      <c r="AM18" s="3">
        <f t="shared" si="25"/>
        <v>0</v>
      </c>
      <c r="AN18" s="3">
        <f t="shared" si="26"/>
        <v>0</v>
      </c>
      <c r="AO18" s="3">
        <f t="shared" si="27"/>
        <v>3.57</v>
      </c>
      <c r="AP18" s="3">
        <f t="shared" si="1"/>
        <v>0</v>
      </c>
      <c r="AQ18" s="3">
        <f t="shared" si="2"/>
        <v>0</v>
      </c>
      <c r="AR18" s="3">
        <f t="shared" si="3"/>
        <v>0</v>
      </c>
      <c r="AS18" s="3">
        <f t="shared" si="4"/>
        <v>0</v>
      </c>
      <c r="AT18" s="3">
        <f t="shared" si="5"/>
        <v>0</v>
      </c>
      <c r="AU18" s="67">
        <f t="shared" si="28"/>
        <v>-26525.1</v>
      </c>
      <c r="AV18" s="3">
        <f t="shared" si="29"/>
        <v>0</v>
      </c>
      <c r="AW18" s="3">
        <f t="shared" si="30"/>
        <v>0</v>
      </c>
      <c r="AX18" s="3">
        <f>(4.21-3.66)*5*K18</f>
        <v>2043.2499999999993</v>
      </c>
      <c r="AY18" s="3">
        <f t="shared" si="31"/>
        <v>-24481.85</v>
      </c>
      <c r="AZ18" s="3">
        <f t="shared" si="32"/>
        <v>0</v>
      </c>
      <c r="BA18" s="3">
        <f t="shared" si="33"/>
        <v>-24481.85</v>
      </c>
      <c r="BB18" s="3">
        <f t="shared" si="34"/>
        <v>-24481.85</v>
      </c>
      <c r="BC18" s="3">
        <f t="shared" si="35"/>
        <v>0</v>
      </c>
      <c r="BD18" s="3">
        <f t="shared" si="36"/>
        <v>-24481.85</v>
      </c>
      <c r="BE18" s="89">
        <f t="shared" si="6"/>
        <v>0</v>
      </c>
      <c r="BF18" s="41">
        <f t="shared" si="7"/>
        <v>0</v>
      </c>
      <c r="BG18" s="41">
        <f t="shared" si="37"/>
        <v>0</v>
      </c>
      <c r="BH18" s="5">
        <f t="shared" si="8"/>
        <v>0</v>
      </c>
      <c r="BI18" s="5">
        <f t="shared" si="9"/>
        <v>0</v>
      </c>
      <c r="BJ18" s="5">
        <f t="shared" si="10"/>
        <v>0</v>
      </c>
      <c r="BK18" s="5">
        <f t="shared" si="11"/>
        <v>0</v>
      </c>
      <c r="BL18" s="5">
        <f t="shared" si="12"/>
        <v>0</v>
      </c>
      <c r="BM18" s="5">
        <f t="shared" si="13"/>
        <v>0</v>
      </c>
      <c r="BN18" s="5">
        <f t="shared" si="14"/>
        <v>0</v>
      </c>
      <c r="BO18" s="5">
        <f t="shared" si="15"/>
        <v>0</v>
      </c>
      <c r="BP18" s="5">
        <f t="shared" si="16"/>
        <v>0</v>
      </c>
      <c r="BQ18" s="5">
        <f t="shared" si="17"/>
        <v>0</v>
      </c>
      <c r="BR18" s="5">
        <f t="shared" si="18"/>
        <v>0</v>
      </c>
      <c r="BS18" s="5">
        <f t="shared" si="19"/>
        <v>0</v>
      </c>
      <c r="BT18" s="5">
        <f t="shared" si="20"/>
        <v>0</v>
      </c>
      <c r="BU18" s="5">
        <f t="shared" si="21"/>
        <v>0</v>
      </c>
      <c r="BV18" s="5">
        <f t="shared" si="22"/>
        <v>0</v>
      </c>
      <c r="BW18" s="29"/>
      <c r="BX18" s="29"/>
      <c r="BY18" s="29"/>
    </row>
    <row r="19" spans="2:77" x14ac:dyDescent="0.25">
      <c r="B19" s="64" t="s">
        <v>19</v>
      </c>
      <c r="C19" s="64" t="s">
        <v>82</v>
      </c>
      <c r="D19" s="64" t="s">
        <v>84</v>
      </c>
      <c r="E19" s="65">
        <v>40603</v>
      </c>
      <c r="F19" s="65">
        <v>40633</v>
      </c>
      <c r="G19" s="65">
        <v>40598</v>
      </c>
      <c r="H19" s="64">
        <v>45</v>
      </c>
      <c r="I19" s="64" t="s">
        <v>8</v>
      </c>
      <c r="J19" s="64">
        <v>10</v>
      </c>
      <c r="K19" s="64">
        <v>743</v>
      </c>
      <c r="L19" s="64">
        <v>3.57</v>
      </c>
      <c r="M19" s="64">
        <v>-26525.1</v>
      </c>
      <c r="N19" s="64">
        <v>0</v>
      </c>
      <c r="O19" s="64">
        <v>0</v>
      </c>
      <c r="P19" s="64">
        <v>0</v>
      </c>
      <c r="Q19" s="64">
        <v>0</v>
      </c>
      <c r="R19" s="64">
        <v>0</v>
      </c>
      <c r="S19" s="64">
        <v>0</v>
      </c>
      <c r="T19" s="64">
        <v>0</v>
      </c>
      <c r="U19" s="64">
        <v>0</v>
      </c>
      <c r="V19" s="64">
        <v>0</v>
      </c>
      <c r="W19" s="64">
        <v>2043.25</v>
      </c>
      <c r="X19" s="64">
        <v>-24481.85</v>
      </c>
      <c r="Y19" s="64">
        <v>0</v>
      </c>
      <c r="Z19" s="64">
        <v>-24481.85</v>
      </c>
      <c r="AA19" s="64">
        <v>-24481.85</v>
      </c>
      <c r="AB19" s="64">
        <v>0</v>
      </c>
      <c r="AC19" s="64">
        <v>-24481.85</v>
      </c>
      <c r="AD19" s="35"/>
      <c r="AE19" s="35"/>
      <c r="AF19" s="38">
        <v>1</v>
      </c>
      <c r="AG19" s="35">
        <v>1</v>
      </c>
      <c r="AH19" s="35">
        <f t="shared" si="23"/>
        <v>7430</v>
      </c>
      <c r="AI19" s="35">
        <v>1</v>
      </c>
      <c r="AJ19" s="35">
        <v>3.57</v>
      </c>
      <c r="AK19" s="35" t="str">
        <f t="shared" si="24"/>
        <v>ICE TTF-EURP Mar-11 24-FEB-11 45.00</v>
      </c>
      <c r="AL19" s="3" t="str">
        <f t="shared" si="0"/>
        <v>P</v>
      </c>
      <c r="AM19" s="3">
        <f t="shared" si="25"/>
        <v>0</v>
      </c>
      <c r="AN19" s="3">
        <f t="shared" si="26"/>
        <v>0</v>
      </c>
      <c r="AO19" s="3">
        <f t="shared" si="27"/>
        <v>3.57</v>
      </c>
      <c r="AP19" s="3">
        <f t="shared" si="1"/>
        <v>0</v>
      </c>
      <c r="AQ19" s="3">
        <f t="shared" si="2"/>
        <v>0</v>
      </c>
      <c r="AR19" s="3">
        <f t="shared" si="3"/>
        <v>0</v>
      </c>
      <c r="AS19" s="3">
        <f t="shared" si="4"/>
        <v>0</v>
      </c>
      <c r="AT19" s="3">
        <f t="shared" si="5"/>
        <v>0</v>
      </c>
      <c r="AU19" s="67">
        <f t="shared" si="28"/>
        <v>-26525.1</v>
      </c>
      <c r="AV19" s="3">
        <f t="shared" si="29"/>
        <v>0</v>
      </c>
      <c r="AW19" s="3">
        <f t="shared" si="30"/>
        <v>0</v>
      </c>
      <c r="AX19" s="3">
        <f>(4.21-3.66)*5*K19</f>
        <v>2043.2499999999993</v>
      </c>
      <c r="AY19" s="3">
        <f>AU19+AX19</f>
        <v>-24481.85</v>
      </c>
      <c r="AZ19" s="3">
        <f>AW19</f>
        <v>0</v>
      </c>
      <c r="BA19" s="3">
        <f>AY19+AZ19</f>
        <v>-24481.85</v>
      </c>
      <c r="BB19" s="3">
        <f>AX19+AU19</f>
        <v>-24481.85</v>
      </c>
      <c r="BC19" s="3">
        <f>AW19</f>
        <v>0</v>
      </c>
      <c r="BD19" s="3">
        <f>BB19+BC19</f>
        <v>-24481.85</v>
      </c>
      <c r="BE19" s="89">
        <f t="shared" si="6"/>
        <v>0</v>
      </c>
      <c r="BF19" s="41">
        <f t="shared" si="7"/>
        <v>0</v>
      </c>
      <c r="BG19" s="41">
        <f t="shared" si="37"/>
        <v>0</v>
      </c>
      <c r="BH19" s="5">
        <f t="shared" si="8"/>
        <v>0</v>
      </c>
      <c r="BI19" s="5">
        <f t="shared" si="9"/>
        <v>0</v>
      </c>
      <c r="BJ19" s="5">
        <f t="shared" si="10"/>
        <v>0</v>
      </c>
      <c r="BK19" s="5">
        <f t="shared" si="11"/>
        <v>0</v>
      </c>
      <c r="BL19" s="5">
        <f t="shared" si="12"/>
        <v>0</v>
      </c>
      <c r="BM19" s="5">
        <f t="shared" si="13"/>
        <v>0</v>
      </c>
      <c r="BN19" s="5">
        <f t="shared" si="14"/>
        <v>0</v>
      </c>
      <c r="BO19" s="5">
        <f t="shared" si="15"/>
        <v>0</v>
      </c>
      <c r="BP19" s="5">
        <f t="shared" si="16"/>
        <v>0</v>
      </c>
      <c r="BQ19" s="5">
        <f t="shared" si="17"/>
        <v>0</v>
      </c>
      <c r="BR19" s="5">
        <f t="shared" si="18"/>
        <v>0</v>
      </c>
      <c r="BS19" s="5">
        <f t="shared" si="19"/>
        <v>0</v>
      </c>
      <c r="BT19" s="5">
        <f t="shared" si="20"/>
        <v>0</v>
      </c>
      <c r="BU19" s="5">
        <f t="shared" si="21"/>
        <v>0</v>
      </c>
      <c r="BV19" s="5">
        <f t="shared" si="22"/>
        <v>0</v>
      </c>
    </row>
    <row r="20" spans="2:77" s="29" customFormat="1" x14ac:dyDescent="0.25">
      <c r="B20" s="64" t="s">
        <v>150</v>
      </c>
      <c r="C20" s="64" t="s">
        <v>155</v>
      </c>
      <c r="D20" s="64" t="s">
        <v>84</v>
      </c>
      <c r="E20" s="65">
        <v>40603</v>
      </c>
      <c r="F20" s="65">
        <v>40633</v>
      </c>
      <c r="G20" s="65">
        <v>40598</v>
      </c>
      <c r="H20" s="64">
        <v>45</v>
      </c>
      <c r="I20" s="64" t="s">
        <v>8</v>
      </c>
      <c r="J20" s="64">
        <v>1000000</v>
      </c>
      <c r="K20" s="64">
        <v>743</v>
      </c>
      <c r="L20" s="64">
        <v>4.0589296253043603</v>
      </c>
      <c r="M20" s="64">
        <v>-1258268.1845239899</v>
      </c>
      <c r="N20" s="64">
        <v>0</v>
      </c>
      <c r="O20" s="64">
        <v>0</v>
      </c>
      <c r="P20" s="64">
        <v>0</v>
      </c>
      <c r="Q20" s="64">
        <v>0</v>
      </c>
      <c r="R20" s="64">
        <v>0</v>
      </c>
      <c r="S20" s="64">
        <v>0</v>
      </c>
      <c r="T20" s="64">
        <v>0</v>
      </c>
      <c r="U20" s="64">
        <v>0</v>
      </c>
      <c r="V20" s="64">
        <v>0</v>
      </c>
      <c r="W20" s="64">
        <v>0</v>
      </c>
      <c r="X20" s="64">
        <v>-1258268.1845239899</v>
      </c>
      <c r="Y20" s="64">
        <v>0</v>
      </c>
      <c r="Z20" s="64">
        <v>-1258268.1845239899</v>
      </c>
      <c r="AA20" s="64">
        <v>-1258268.1845239899</v>
      </c>
      <c r="AB20" s="64">
        <v>0</v>
      </c>
      <c r="AC20" s="64">
        <v>-1258268.1845239899</v>
      </c>
      <c r="AD20" s="35"/>
      <c r="AE20" s="35"/>
      <c r="AF20" s="35">
        <v>1.1369550771160699</v>
      </c>
      <c r="AG20" s="82">
        <v>1.1369076246774601</v>
      </c>
      <c r="AH20" s="35">
        <f>J20*31</f>
        <v>31000000</v>
      </c>
      <c r="AI20" s="35">
        <v>0.01</v>
      </c>
      <c r="AJ20" s="35">
        <v>3.57</v>
      </c>
      <c r="AK20" s="35" t="str">
        <f t="shared" si="24"/>
        <v>ICE NBP-EURP Mar-11 24-FEB-11 45.00</v>
      </c>
      <c r="AL20" s="3" t="str">
        <f t="shared" si="0"/>
        <v>P</v>
      </c>
      <c r="AM20" s="3">
        <f t="shared" si="25"/>
        <v>0</v>
      </c>
      <c r="AN20" s="3">
        <f t="shared" si="26"/>
        <v>0</v>
      </c>
      <c r="AO20" s="3">
        <f t="shared" si="27"/>
        <v>4.0589296253043692</v>
      </c>
      <c r="AP20" s="3">
        <f t="shared" si="1"/>
        <v>0</v>
      </c>
      <c r="AQ20" s="3">
        <f t="shared" si="2"/>
        <v>0</v>
      </c>
      <c r="AR20" s="3">
        <f t="shared" si="3"/>
        <v>0</v>
      </c>
      <c r="AS20" s="3">
        <f t="shared" si="4"/>
        <v>0</v>
      </c>
      <c r="AT20" s="3">
        <f t="shared" si="5"/>
        <v>0</v>
      </c>
      <c r="AU20" s="67">
        <f t="shared" si="28"/>
        <v>-1258268.1838443545</v>
      </c>
      <c r="AV20" s="3">
        <f t="shared" si="29"/>
        <v>0</v>
      </c>
      <c r="AW20" s="3">
        <f t="shared" si="30"/>
        <v>0</v>
      </c>
      <c r="AX20" s="3"/>
      <c r="AY20" s="3">
        <f t="shared" ref="AY20:AY24" si="38">AU20+AX20</f>
        <v>-1258268.1838443545</v>
      </c>
      <c r="AZ20" s="3">
        <f t="shared" ref="AZ20:AZ24" si="39">AW20</f>
        <v>0</v>
      </c>
      <c r="BA20" s="3">
        <f t="shared" ref="BA20:BA24" si="40">AY20+AZ20</f>
        <v>-1258268.1838443545</v>
      </c>
      <c r="BB20" s="3">
        <f t="shared" ref="BB20:BB24" si="41">AX20+AU20</f>
        <v>-1258268.1838443545</v>
      </c>
      <c r="BC20" s="3">
        <f t="shared" ref="BC20:BC24" si="42">AW20</f>
        <v>0</v>
      </c>
      <c r="BD20" s="3">
        <f t="shared" ref="BD20:BD24" si="43">BB20+BC20</f>
        <v>-1258268.1838443545</v>
      </c>
      <c r="BE20" s="89">
        <f t="shared" si="6"/>
        <v>0</v>
      </c>
      <c r="BF20" s="41">
        <f t="shared" si="7"/>
        <v>0</v>
      </c>
      <c r="BG20" s="41">
        <f t="shared" si="37"/>
        <v>0</v>
      </c>
      <c r="BH20" s="5">
        <f t="shared" si="8"/>
        <v>0</v>
      </c>
      <c r="BI20" s="5">
        <f t="shared" si="9"/>
        <v>0</v>
      </c>
      <c r="BJ20" s="5">
        <f t="shared" si="10"/>
        <v>0</v>
      </c>
      <c r="BK20" s="5">
        <f t="shared" si="11"/>
        <v>0</v>
      </c>
      <c r="BL20" s="5">
        <f t="shared" si="12"/>
        <v>0</v>
      </c>
      <c r="BM20" s="5">
        <f t="shared" si="13"/>
        <v>0</v>
      </c>
      <c r="BN20" s="5">
        <f t="shared" si="14"/>
        <v>0</v>
      </c>
      <c r="BO20" s="5">
        <f t="shared" si="15"/>
        <v>0</v>
      </c>
      <c r="BP20" s="5">
        <f t="shared" si="16"/>
        <v>0</v>
      </c>
      <c r="BQ20" s="5">
        <f t="shared" si="17"/>
        <v>0</v>
      </c>
      <c r="BR20" s="5">
        <f t="shared" si="18"/>
        <v>0</v>
      </c>
      <c r="BS20" s="5">
        <f t="shared" si="19"/>
        <v>0</v>
      </c>
      <c r="BT20" s="5">
        <f t="shared" si="20"/>
        <v>0</v>
      </c>
      <c r="BU20" s="5">
        <f t="shared" si="21"/>
        <v>0</v>
      </c>
      <c r="BV20" s="5">
        <f t="shared" si="22"/>
        <v>0</v>
      </c>
    </row>
    <row r="21" spans="2:77" s="29" customFormat="1" x14ac:dyDescent="0.25">
      <c r="B21" s="64" t="s">
        <v>19</v>
      </c>
      <c r="C21" s="64" t="s">
        <v>156</v>
      </c>
      <c r="D21" s="64" t="s">
        <v>157</v>
      </c>
      <c r="E21" s="65">
        <v>40634</v>
      </c>
      <c r="F21" s="65">
        <v>40663</v>
      </c>
      <c r="G21" s="65">
        <v>40627</v>
      </c>
      <c r="H21" s="64">
        <v>45</v>
      </c>
      <c r="I21" s="64" t="s">
        <v>8</v>
      </c>
      <c r="J21" s="64">
        <v>0</v>
      </c>
      <c r="K21" s="64">
        <v>720</v>
      </c>
      <c r="L21" s="64">
        <v>0</v>
      </c>
      <c r="M21" s="64">
        <v>0</v>
      </c>
      <c r="N21" s="64">
        <v>0</v>
      </c>
      <c r="O21" s="64">
        <v>0</v>
      </c>
      <c r="P21" s="64">
        <v>0</v>
      </c>
      <c r="Q21" s="64">
        <v>0</v>
      </c>
      <c r="R21" s="64">
        <v>0</v>
      </c>
      <c r="S21" s="64">
        <v>0</v>
      </c>
      <c r="T21" s="64">
        <v>0</v>
      </c>
      <c r="U21" s="64">
        <v>0</v>
      </c>
      <c r="V21" s="64">
        <v>0</v>
      </c>
      <c r="W21" s="64">
        <v>7200</v>
      </c>
      <c r="X21" s="64">
        <v>7200</v>
      </c>
      <c r="Y21" s="64">
        <v>0</v>
      </c>
      <c r="Z21" s="64">
        <v>7200</v>
      </c>
      <c r="AA21" s="64">
        <v>7200</v>
      </c>
      <c r="AB21" s="64">
        <v>0</v>
      </c>
      <c r="AC21" s="64">
        <v>7200</v>
      </c>
      <c r="AD21" s="35"/>
      <c r="AE21" s="35"/>
      <c r="AF21" s="38">
        <v>1</v>
      </c>
      <c r="AG21" s="35">
        <v>1</v>
      </c>
      <c r="AH21" s="35">
        <f t="shared" si="23"/>
        <v>0</v>
      </c>
      <c r="AI21" s="35">
        <v>1</v>
      </c>
      <c r="AJ21" s="35">
        <v>0</v>
      </c>
      <c r="AK21" s="35" t="str">
        <f t="shared" si="24"/>
        <v>ICE TTF-EURP Apr-11 25-MAR-11 45.00</v>
      </c>
      <c r="AL21" s="3" t="str">
        <f t="shared" si="0"/>
        <v>P</v>
      </c>
      <c r="AM21" s="3">
        <f t="shared" si="25"/>
        <v>0</v>
      </c>
      <c r="AN21" s="3">
        <f t="shared" si="26"/>
        <v>0</v>
      </c>
      <c r="AO21" s="3">
        <f t="shared" si="27"/>
        <v>0</v>
      </c>
      <c r="AP21" s="3">
        <f t="shared" si="1"/>
        <v>0</v>
      </c>
      <c r="AQ21" s="3">
        <f t="shared" si="2"/>
        <v>0</v>
      </c>
      <c r="AR21" s="3">
        <f t="shared" si="3"/>
        <v>0</v>
      </c>
      <c r="AS21" s="3">
        <f t="shared" si="4"/>
        <v>0</v>
      </c>
      <c r="AT21" s="3">
        <f t="shared" si="5"/>
        <v>0</v>
      </c>
      <c r="AU21" s="67">
        <f t="shared" si="28"/>
        <v>0</v>
      </c>
      <c r="AV21" s="3">
        <f t="shared" si="29"/>
        <v>0</v>
      </c>
      <c r="AW21" s="3">
        <f t="shared" si="30"/>
        <v>0</v>
      </c>
      <c r="AX21" s="3">
        <f>1*10*720</f>
        <v>7200</v>
      </c>
      <c r="AY21" s="3">
        <f t="shared" si="38"/>
        <v>7200</v>
      </c>
      <c r="AZ21" s="3">
        <f t="shared" si="39"/>
        <v>0</v>
      </c>
      <c r="BA21" s="3">
        <f t="shared" si="40"/>
        <v>7200</v>
      </c>
      <c r="BB21" s="3">
        <f t="shared" si="41"/>
        <v>7200</v>
      </c>
      <c r="BC21" s="3">
        <f t="shared" si="42"/>
        <v>0</v>
      </c>
      <c r="BD21" s="3">
        <f t="shared" si="43"/>
        <v>7200</v>
      </c>
      <c r="BE21" s="89">
        <f t="shared" si="6"/>
        <v>0</v>
      </c>
      <c r="BF21" s="41">
        <f t="shared" si="7"/>
        <v>0</v>
      </c>
      <c r="BG21" s="41">
        <f t="shared" si="37"/>
        <v>0</v>
      </c>
      <c r="BH21" s="5">
        <f t="shared" si="8"/>
        <v>0</v>
      </c>
      <c r="BI21" s="5">
        <f t="shared" si="9"/>
        <v>0</v>
      </c>
      <c r="BJ21" s="5">
        <f t="shared" si="10"/>
        <v>0</v>
      </c>
      <c r="BK21" s="5">
        <f t="shared" si="11"/>
        <v>0</v>
      </c>
      <c r="BL21" s="5">
        <f t="shared" si="12"/>
        <v>0</v>
      </c>
      <c r="BM21" s="5">
        <f t="shared" si="13"/>
        <v>0</v>
      </c>
      <c r="BN21" s="5">
        <f t="shared" si="14"/>
        <v>0</v>
      </c>
      <c r="BO21" s="5">
        <f t="shared" si="15"/>
        <v>0</v>
      </c>
      <c r="BP21" s="5">
        <f t="shared" si="16"/>
        <v>0</v>
      </c>
      <c r="BQ21" s="5">
        <f t="shared" si="17"/>
        <v>0</v>
      </c>
      <c r="BR21" s="5">
        <f t="shared" si="18"/>
        <v>0</v>
      </c>
      <c r="BS21" s="5">
        <f t="shared" si="19"/>
        <v>0</v>
      </c>
      <c r="BT21" s="5">
        <f t="shared" si="20"/>
        <v>0</v>
      </c>
      <c r="BU21" s="5">
        <f t="shared" si="21"/>
        <v>0</v>
      </c>
      <c r="BV21" s="5">
        <f t="shared" si="22"/>
        <v>0</v>
      </c>
    </row>
    <row r="22" spans="2:77" s="29" customFormat="1" x14ac:dyDescent="0.25">
      <c r="B22" s="64" t="s">
        <v>150</v>
      </c>
      <c r="C22" s="64" t="s">
        <v>158</v>
      </c>
      <c r="D22" s="64" t="s">
        <v>159</v>
      </c>
      <c r="E22" s="65">
        <v>40634</v>
      </c>
      <c r="F22" s="65">
        <v>40663</v>
      </c>
      <c r="G22" s="65">
        <v>40627</v>
      </c>
      <c r="H22" s="64">
        <v>45</v>
      </c>
      <c r="I22" s="64" t="s">
        <v>8</v>
      </c>
      <c r="J22" s="64">
        <v>0</v>
      </c>
      <c r="K22" s="64">
        <v>720</v>
      </c>
      <c r="L22" s="64">
        <v>0</v>
      </c>
      <c r="M22" s="64">
        <v>0</v>
      </c>
      <c r="N22" s="64">
        <v>0</v>
      </c>
      <c r="O22" s="64">
        <v>0</v>
      </c>
      <c r="P22" s="64">
        <v>0</v>
      </c>
      <c r="Q22" s="64">
        <v>0</v>
      </c>
      <c r="R22" s="64">
        <v>0</v>
      </c>
      <c r="S22" s="64">
        <v>0</v>
      </c>
      <c r="T22" s="64">
        <v>0</v>
      </c>
      <c r="U22" s="64">
        <v>0</v>
      </c>
      <c r="V22" s="64">
        <v>0</v>
      </c>
      <c r="W22" s="64">
        <v>341086.52313481999</v>
      </c>
      <c r="X22" s="64">
        <v>341086.52313481999</v>
      </c>
      <c r="Y22" s="64">
        <v>0</v>
      </c>
      <c r="Z22" s="64">
        <v>341086.52313481999</v>
      </c>
      <c r="AA22" s="64">
        <v>341086.52313481999</v>
      </c>
      <c r="AB22" s="64">
        <v>0</v>
      </c>
      <c r="AC22" s="64">
        <v>341086.52313481999</v>
      </c>
      <c r="AD22" s="35"/>
      <c r="AE22" s="35"/>
      <c r="AF22" s="35">
        <v>1.1369550771160699</v>
      </c>
      <c r="AG22" s="82">
        <v>1.1369076246774601</v>
      </c>
      <c r="AH22" s="35">
        <f t="shared" si="23"/>
        <v>0</v>
      </c>
      <c r="AI22" s="35">
        <v>0.01</v>
      </c>
      <c r="AJ22" s="35">
        <v>0</v>
      </c>
      <c r="AK22" s="35" t="str">
        <f t="shared" si="24"/>
        <v>ICE NBP-EURC Apr-11 25-MAR-11 45.00</v>
      </c>
      <c r="AL22" s="3" t="str">
        <f t="shared" si="0"/>
        <v>C</v>
      </c>
      <c r="AM22" s="3">
        <f t="shared" si="25"/>
        <v>0</v>
      </c>
      <c r="AN22" s="3">
        <f t="shared" si="26"/>
        <v>0</v>
      </c>
      <c r="AO22" s="3">
        <f t="shared" si="27"/>
        <v>0</v>
      </c>
      <c r="AP22" s="3">
        <f t="shared" si="1"/>
        <v>0</v>
      </c>
      <c r="AQ22" s="3">
        <f t="shared" si="2"/>
        <v>0</v>
      </c>
      <c r="AR22" s="3">
        <f t="shared" si="3"/>
        <v>0</v>
      </c>
      <c r="AS22" s="3">
        <f t="shared" si="4"/>
        <v>0</v>
      </c>
      <c r="AT22" s="3">
        <f t="shared" si="5"/>
        <v>0</v>
      </c>
      <c r="AU22" s="67">
        <f t="shared" si="28"/>
        <v>0</v>
      </c>
      <c r="AV22" s="3">
        <f t="shared" si="29"/>
        <v>0</v>
      </c>
      <c r="AW22" s="3">
        <f t="shared" si="30"/>
        <v>0</v>
      </c>
      <c r="AX22" s="3">
        <f>1*1000000*30*AF22/100</f>
        <v>341086.52313482098</v>
      </c>
      <c r="AY22" s="3">
        <f t="shared" si="38"/>
        <v>341086.52313482098</v>
      </c>
      <c r="AZ22" s="3">
        <f t="shared" si="39"/>
        <v>0</v>
      </c>
      <c r="BA22" s="3">
        <f t="shared" si="40"/>
        <v>341086.52313482098</v>
      </c>
      <c r="BB22" s="3">
        <f t="shared" si="41"/>
        <v>341086.52313482098</v>
      </c>
      <c r="BC22" s="3">
        <f t="shared" si="42"/>
        <v>0</v>
      </c>
      <c r="BD22" s="3">
        <f t="shared" si="43"/>
        <v>341086.52313482098</v>
      </c>
      <c r="BE22" s="89">
        <f t="shared" si="6"/>
        <v>0</v>
      </c>
      <c r="BF22" s="41">
        <f t="shared" si="7"/>
        <v>0</v>
      </c>
      <c r="BG22" s="41">
        <f t="shared" si="37"/>
        <v>0</v>
      </c>
      <c r="BH22" s="5">
        <f t="shared" si="8"/>
        <v>0</v>
      </c>
      <c r="BI22" s="5">
        <f t="shared" si="9"/>
        <v>0</v>
      </c>
      <c r="BJ22" s="5">
        <f t="shared" si="10"/>
        <v>0</v>
      </c>
      <c r="BK22" s="5">
        <f t="shared" si="11"/>
        <v>0</v>
      </c>
      <c r="BL22" s="5">
        <f t="shared" si="12"/>
        <v>0</v>
      </c>
      <c r="BM22" s="5">
        <f t="shared" si="13"/>
        <v>0</v>
      </c>
      <c r="BN22" s="5">
        <f t="shared" si="14"/>
        <v>0</v>
      </c>
      <c r="BO22" s="5">
        <f t="shared" si="15"/>
        <v>0</v>
      </c>
      <c r="BP22" s="5">
        <f t="shared" si="16"/>
        <v>0</v>
      </c>
      <c r="BQ22" s="5">
        <f t="shared" si="17"/>
        <v>0</v>
      </c>
      <c r="BR22" s="5">
        <f t="shared" si="18"/>
        <v>0</v>
      </c>
      <c r="BS22" s="5">
        <f t="shared" si="19"/>
        <v>0</v>
      </c>
      <c r="BT22" s="5">
        <f t="shared" si="20"/>
        <v>0</v>
      </c>
      <c r="BU22" s="5">
        <f t="shared" si="21"/>
        <v>0</v>
      </c>
      <c r="BV22" s="5">
        <f t="shared" si="22"/>
        <v>0</v>
      </c>
    </row>
    <row r="23" spans="2:77" s="29" customFormat="1" x14ac:dyDescent="0.25">
      <c r="B23" s="64" t="s">
        <v>19</v>
      </c>
      <c r="C23" s="64" t="s">
        <v>23</v>
      </c>
      <c r="D23" s="64" t="s">
        <v>24</v>
      </c>
      <c r="E23" s="65">
        <v>40848</v>
      </c>
      <c r="F23" s="65">
        <v>40877</v>
      </c>
      <c r="G23" s="65">
        <v>40843</v>
      </c>
      <c r="H23" s="64">
        <v>45</v>
      </c>
      <c r="I23" s="64" t="s">
        <v>8</v>
      </c>
      <c r="J23" s="64">
        <v>10</v>
      </c>
      <c r="K23" s="64">
        <v>720</v>
      </c>
      <c r="L23" s="64">
        <v>3.57</v>
      </c>
      <c r="M23" s="64">
        <v>-25704</v>
      </c>
      <c r="N23" s="64">
        <v>0</v>
      </c>
      <c r="O23" s="64">
        <v>0</v>
      </c>
      <c r="P23" s="64">
        <v>0</v>
      </c>
      <c r="Q23" s="64">
        <v>0</v>
      </c>
      <c r="R23" s="64">
        <v>0</v>
      </c>
      <c r="S23" s="64">
        <v>0</v>
      </c>
      <c r="T23" s="64">
        <v>0.49793534882655699</v>
      </c>
      <c r="U23" s="64">
        <v>0</v>
      </c>
      <c r="V23" s="64">
        <v>0</v>
      </c>
      <c r="W23" s="64">
        <v>1980</v>
      </c>
      <c r="X23" s="64">
        <v>-23724</v>
      </c>
      <c r="Y23" s="64">
        <v>0</v>
      </c>
      <c r="Z23" s="64">
        <v>-23724</v>
      </c>
      <c r="AA23" s="64">
        <v>-23724</v>
      </c>
      <c r="AB23" s="64">
        <v>0</v>
      </c>
      <c r="AC23" s="64">
        <v>-23724</v>
      </c>
      <c r="AD23" s="35"/>
      <c r="AE23" s="35"/>
      <c r="AF23" s="38">
        <v>1</v>
      </c>
      <c r="AG23" s="35">
        <v>1</v>
      </c>
      <c r="AH23" s="35">
        <f t="shared" si="23"/>
        <v>7200</v>
      </c>
      <c r="AI23" s="35">
        <v>1</v>
      </c>
      <c r="AJ23" s="35">
        <v>3.57</v>
      </c>
      <c r="AK23" s="35" t="str">
        <f t="shared" si="24"/>
        <v>ICE TTF-EURC Nov-11 27-OCT-11 45.00</v>
      </c>
      <c r="AL23" s="3" t="str">
        <f t="shared" si="0"/>
        <v>C</v>
      </c>
      <c r="AM23" s="3">
        <f t="shared" si="25"/>
        <v>0</v>
      </c>
      <c r="AN23" s="3">
        <f t="shared" si="26"/>
        <v>0</v>
      </c>
      <c r="AO23" s="3">
        <f t="shared" si="27"/>
        <v>3.57</v>
      </c>
      <c r="AP23" s="3">
        <f t="shared" si="1"/>
        <v>0</v>
      </c>
      <c r="AQ23" s="3">
        <f t="shared" si="2"/>
        <v>0</v>
      </c>
      <c r="AR23" s="3">
        <f t="shared" si="3"/>
        <v>0</v>
      </c>
      <c r="AS23" s="3">
        <f t="shared" si="4"/>
        <v>0</v>
      </c>
      <c r="AT23" s="3">
        <f t="shared" si="5"/>
        <v>0</v>
      </c>
      <c r="AU23" s="67">
        <f t="shared" si="28"/>
        <v>-25704</v>
      </c>
      <c r="AV23" s="3">
        <f t="shared" si="29"/>
        <v>0</v>
      </c>
      <c r="AW23" s="3">
        <f t="shared" si="30"/>
        <v>0</v>
      </c>
      <c r="AX23" s="3">
        <f>(4.21-3.66)*5*K23</f>
        <v>1979.9999999999993</v>
      </c>
      <c r="AY23" s="3">
        <f t="shared" si="38"/>
        <v>-23724</v>
      </c>
      <c r="AZ23" s="3">
        <f t="shared" si="39"/>
        <v>0</v>
      </c>
      <c r="BA23" s="3">
        <f t="shared" si="40"/>
        <v>-23724</v>
      </c>
      <c r="BB23" s="3">
        <f t="shared" si="41"/>
        <v>-23724</v>
      </c>
      <c r="BC23" s="3">
        <f t="shared" si="42"/>
        <v>0</v>
      </c>
      <c r="BD23" s="3">
        <f t="shared" si="43"/>
        <v>-23724</v>
      </c>
      <c r="BE23" s="89">
        <f t="shared" si="6"/>
        <v>0</v>
      </c>
      <c r="BF23" s="41">
        <f t="shared" si="7"/>
        <v>0</v>
      </c>
      <c r="BG23" s="41">
        <f t="shared" si="37"/>
        <v>0</v>
      </c>
      <c r="BH23" s="5">
        <f t="shared" si="8"/>
        <v>0</v>
      </c>
      <c r="BI23" s="5">
        <f t="shared" si="9"/>
        <v>0</v>
      </c>
      <c r="BJ23" s="5">
        <f t="shared" si="10"/>
        <v>0</v>
      </c>
      <c r="BK23" s="5">
        <f t="shared" si="11"/>
        <v>0</v>
      </c>
      <c r="BL23" s="5">
        <f t="shared" si="12"/>
        <v>0</v>
      </c>
      <c r="BM23" s="5">
        <f t="shared" si="13"/>
        <v>0</v>
      </c>
      <c r="BN23" s="5">
        <f t="shared" si="14"/>
        <v>0</v>
      </c>
      <c r="BO23" s="5">
        <f t="shared" si="15"/>
        <v>0</v>
      </c>
      <c r="BP23" s="5">
        <f t="shared" si="16"/>
        <v>0</v>
      </c>
      <c r="BQ23" s="5">
        <f t="shared" si="17"/>
        <v>0</v>
      </c>
      <c r="BR23" s="5">
        <f t="shared" si="18"/>
        <v>0</v>
      </c>
      <c r="BS23" s="5">
        <f t="shared" si="19"/>
        <v>0</v>
      </c>
      <c r="BT23" s="5">
        <f t="shared" si="20"/>
        <v>0</v>
      </c>
      <c r="BU23" s="5">
        <f t="shared" si="21"/>
        <v>0</v>
      </c>
      <c r="BV23" s="5">
        <f t="shared" si="22"/>
        <v>0</v>
      </c>
    </row>
    <row r="24" spans="2:77" s="29" customFormat="1" x14ac:dyDescent="0.25">
      <c r="B24" s="64" t="s">
        <v>19</v>
      </c>
      <c r="C24" s="64" t="s">
        <v>23</v>
      </c>
      <c r="D24" s="64" t="s">
        <v>25</v>
      </c>
      <c r="E24" s="65">
        <v>40848</v>
      </c>
      <c r="F24" s="65">
        <v>40877</v>
      </c>
      <c r="G24" s="65">
        <v>40843</v>
      </c>
      <c r="H24" s="64">
        <v>45</v>
      </c>
      <c r="I24" s="64" t="s">
        <v>8</v>
      </c>
      <c r="J24" s="64">
        <v>10</v>
      </c>
      <c r="K24" s="64">
        <v>720</v>
      </c>
      <c r="L24" s="64">
        <v>3.57</v>
      </c>
      <c r="M24" s="64">
        <v>-25704</v>
      </c>
      <c r="N24" s="64">
        <v>0</v>
      </c>
      <c r="O24" s="64">
        <v>0</v>
      </c>
      <c r="P24" s="64">
        <v>0</v>
      </c>
      <c r="Q24" s="64">
        <v>0</v>
      </c>
      <c r="R24" s="64">
        <v>0</v>
      </c>
      <c r="S24" s="64">
        <v>0</v>
      </c>
      <c r="T24" s="64">
        <v>0.49793534882655699</v>
      </c>
      <c r="U24" s="64">
        <v>0</v>
      </c>
      <c r="V24" s="64">
        <v>0</v>
      </c>
      <c r="W24" s="64">
        <v>1980</v>
      </c>
      <c r="X24" s="64">
        <v>-23724</v>
      </c>
      <c r="Y24" s="64">
        <v>0</v>
      </c>
      <c r="Z24" s="64">
        <v>-23724</v>
      </c>
      <c r="AA24" s="64">
        <v>-23724</v>
      </c>
      <c r="AB24" s="64">
        <v>0</v>
      </c>
      <c r="AC24" s="64">
        <v>-23724</v>
      </c>
      <c r="AD24" s="35"/>
      <c r="AE24" s="35"/>
      <c r="AF24" s="38">
        <v>1</v>
      </c>
      <c r="AG24" s="35">
        <v>1</v>
      </c>
      <c r="AH24" s="35">
        <f t="shared" si="23"/>
        <v>7200</v>
      </c>
      <c r="AI24" s="35">
        <v>1</v>
      </c>
      <c r="AJ24" s="35">
        <v>3.57</v>
      </c>
      <c r="AK24" s="35" t="str">
        <f t="shared" si="24"/>
        <v>ICE TTF-EURP Nov-11 27-OCT-11 45.00</v>
      </c>
      <c r="AL24" s="3" t="str">
        <f t="shared" si="0"/>
        <v>P</v>
      </c>
      <c r="AM24" s="3">
        <f t="shared" si="25"/>
        <v>0</v>
      </c>
      <c r="AN24" s="3">
        <f t="shared" si="26"/>
        <v>0</v>
      </c>
      <c r="AO24" s="3">
        <f t="shared" si="27"/>
        <v>3.57</v>
      </c>
      <c r="AP24" s="3">
        <f t="shared" si="1"/>
        <v>0</v>
      </c>
      <c r="AQ24" s="3">
        <f t="shared" si="2"/>
        <v>0</v>
      </c>
      <c r="AR24" s="3">
        <f t="shared" si="3"/>
        <v>0</v>
      </c>
      <c r="AS24" s="3">
        <f t="shared" si="4"/>
        <v>0</v>
      </c>
      <c r="AT24" s="3">
        <f t="shared" si="5"/>
        <v>0</v>
      </c>
      <c r="AU24" s="67">
        <f t="shared" si="28"/>
        <v>-25704</v>
      </c>
      <c r="AV24" s="3">
        <f t="shared" si="29"/>
        <v>0</v>
      </c>
      <c r="AW24" s="3">
        <f t="shared" si="30"/>
        <v>0</v>
      </c>
      <c r="AX24" s="3">
        <f>(4.21-3.66)*5*K24</f>
        <v>1979.9999999999993</v>
      </c>
      <c r="AY24" s="3">
        <f t="shared" si="38"/>
        <v>-23724</v>
      </c>
      <c r="AZ24" s="3">
        <f t="shared" si="39"/>
        <v>0</v>
      </c>
      <c r="BA24" s="3">
        <f t="shared" si="40"/>
        <v>-23724</v>
      </c>
      <c r="BB24" s="3">
        <f t="shared" si="41"/>
        <v>-23724</v>
      </c>
      <c r="BC24" s="3">
        <f t="shared" si="42"/>
        <v>0</v>
      </c>
      <c r="BD24" s="3">
        <f t="shared" si="43"/>
        <v>-23724</v>
      </c>
      <c r="BE24" s="89">
        <f t="shared" si="6"/>
        <v>0</v>
      </c>
      <c r="BF24" s="41">
        <f t="shared" si="7"/>
        <v>0</v>
      </c>
      <c r="BG24" s="41">
        <f t="shared" si="37"/>
        <v>0</v>
      </c>
      <c r="BH24" s="5">
        <f t="shared" si="8"/>
        <v>0</v>
      </c>
      <c r="BI24" s="5">
        <f t="shared" si="9"/>
        <v>0</v>
      </c>
      <c r="BJ24" s="5">
        <f t="shared" si="10"/>
        <v>0</v>
      </c>
      <c r="BK24" s="5">
        <f t="shared" si="11"/>
        <v>0</v>
      </c>
      <c r="BL24" s="5">
        <f t="shared" si="12"/>
        <v>0</v>
      </c>
      <c r="BM24" s="5">
        <f t="shared" si="13"/>
        <v>0</v>
      </c>
      <c r="BN24" s="5">
        <f t="shared" si="14"/>
        <v>0</v>
      </c>
      <c r="BO24" s="5">
        <f t="shared" si="15"/>
        <v>0</v>
      </c>
      <c r="BP24" s="5">
        <f t="shared" si="16"/>
        <v>0</v>
      </c>
      <c r="BQ24" s="5">
        <f t="shared" si="17"/>
        <v>0</v>
      </c>
      <c r="BR24" s="5">
        <f t="shared" si="18"/>
        <v>0</v>
      </c>
      <c r="BS24" s="5">
        <f t="shared" si="19"/>
        <v>0</v>
      </c>
      <c r="BT24" s="5">
        <f t="shared" si="20"/>
        <v>0</v>
      </c>
      <c r="BU24" s="5">
        <f t="shared" si="21"/>
        <v>0</v>
      </c>
      <c r="BV24" s="5">
        <f t="shared" si="22"/>
        <v>0</v>
      </c>
    </row>
    <row r="25" spans="2:77" s="29" customFormat="1" x14ac:dyDescent="0.25">
      <c r="AF25" s="69"/>
      <c r="AG25" s="82"/>
      <c r="AH25" s="69"/>
      <c r="AI25" s="69"/>
      <c r="AJ25" s="69"/>
      <c r="AK25" s="71"/>
      <c r="AM25" s="77"/>
      <c r="AO25" s="69"/>
      <c r="BE25" s="90"/>
      <c r="BG25" s="69"/>
    </row>
    <row r="26" spans="2:77" ht="15.75" customHeight="1" x14ac:dyDescent="0.25"/>
    <row r="29" spans="2:77" ht="15" customHeight="1" x14ac:dyDescent="0.25"/>
    <row r="30" spans="2:77" x14ac:dyDescent="0.25">
      <c r="AD30" s="68"/>
    </row>
  </sheetData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W84"/>
  <sheetViews>
    <sheetView topLeftCell="A13" workbookViewId="0">
      <selection activeCell="C11" sqref="C11"/>
    </sheetView>
  </sheetViews>
  <sheetFormatPr baseColWidth="10" defaultColWidth="11.42578125" defaultRowHeight="15" x14ac:dyDescent="0.25"/>
  <cols>
    <col min="2" max="2" width="22.5703125" bestFit="1" customWidth="1"/>
    <col min="3" max="3" width="35.28515625" bestFit="1" customWidth="1"/>
    <col min="4" max="4" width="13.5703125" bestFit="1" customWidth="1"/>
    <col min="10" max="10" width="38.85546875" bestFit="1" customWidth="1"/>
    <col min="11" max="11" width="22.42578125" bestFit="1" customWidth="1"/>
    <col min="12" max="12" width="14.28515625" bestFit="1" customWidth="1"/>
  </cols>
  <sheetData>
    <row r="3" spans="2:23" ht="27.75" customHeight="1" x14ac:dyDescent="0.25">
      <c r="B3" s="29"/>
      <c r="C3" s="29"/>
      <c r="D3" s="29" t="s">
        <v>210</v>
      </c>
      <c r="E3" s="42" t="s">
        <v>211</v>
      </c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2:23" ht="15" customHeight="1" x14ac:dyDescent="0.25">
      <c r="B4" s="28" t="s">
        <v>80</v>
      </c>
      <c r="C4" s="29"/>
      <c r="D4" s="29" t="s">
        <v>74</v>
      </c>
      <c r="E4" s="42" t="s">
        <v>168</v>
      </c>
      <c r="F4" s="29"/>
      <c r="G4" s="29"/>
      <c r="H4" s="29"/>
      <c r="I4" s="29"/>
      <c r="J4" s="29"/>
      <c r="K4" s="29"/>
      <c r="L4" s="29"/>
      <c r="M4" s="29"/>
      <c r="N4" s="29"/>
      <c r="O4" s="29"/>
    </row>
    <row r="5" spans="2:23" x14ac:dyDescent="0.25">
      <c r="B5" s="35" t="s">
        <v>76</v>
      </c>
      <c r="C5" s="29"/>
      <c r="D5" s="29" t="s">
        <v>77</v>
      </c>
      <c r="E5" s="26">
        <v>40844</v>
      </c>
      <c r="F5" s="29"/>
      <c r="G5" s="29"/>
      <c r="H5" s="29"/>
      <c r="I5" s="29"/>
      <c r="J5" s="29"/>
      <c r="K5" s="29"/>
      <c r="L5" s="35" t="s">
        <v>130</v>
      </c>
      <c r="M5" s="35"/>
      <c r="O5" s="29"/>
    </row>
    <row r="6" spans="2:23" x14ac:dyDescent="0.25">
      <c r="B6" s="4" t="s">
        <v>78</v>
      </c>
      <c r="C6" s="29"/>
      <c r="D6" s="29"/>
      <c r="E6" s="29"/>
      <c r="F6" s="29"/>
      <c r="G6" s="29"/>
      <c r="H6" s="29"/>
      <c r="I6" s="29"/>
      <c r="J6" s="29"/>
      <c r="K6" s="29"/>
      <c r="L6" s="35" t="s">
        <v>141</v>
      </c>
      <c r="M6" s="35"/>
      <c r="O6" s="29"/>
    </row>
    <row r="7" spans="2:23" x14ac:dyDescent="0.25">
      <c r="B7" s="6" t="s">
        <v>79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2:23" s="71" customFormat="1" x14ac:dyDescent="0.25">
      <c r="B8" s="66"/>
    </row>
    <row r="9" spans="2:23" s="71" customFormat="1" x14ac:dyDescent="0.25">
      <c r="B9" s="35"/>
      <c r="C9" s="35" t="s">
        <v>206</v>
      </c>
      <c r="D9" s="35" t="s">
        <v>207</v>
      </c>
    </row>
    <row r="10" spans="2:23" s="71" customFormat="1" x14ac:dyDescent="0.25">
      <c r="B10" s="35" t="s">
        <v>145</v>
      </c>
      <c r="C10" s="35">
        <v>8.2560000000000002</v>
      </c>
      <c r="D10" s="35">
        <v>7.6783200000000003</v>
      </c>
    </row>
    <row r="11" spans="2:23" x14ac:dyDescent="0.25">
      <c r="B11" s="35" t="s">
        <v>188</v>
      </c>
      <c r="C11" s="35">
        <v>9.3064808725901607</v>
      </c>
      <c r="D11" s="35">
        <v>8.7299051003775805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spans="2:23" x14ac:dyDescent="0.25">
      <c r="B12" s="29"/>
      <c r="C12" s="29"/>
      <c r="D12" s="29"/>
      <c r="E12" s="29"/>
      <c r="F12" s="29"/>
      <c r="G12" s="29"/>
      <c r="H12" s="29"/>
      <c r="I12" s="29"/>
      <c r="J12" s="29"/>
      <c r="R12" s="29"/>
      <c r="S12" s="29"/>
      <c r="T12" s="29"/>
      <c r="U12" s="29"/>
      <c r="V12" s="29"/>
      <c r="W12" s="29"/>
    </row>
    <row r="13" spans="2:23" x14ac:dyDescent="0.25">
      <c r="B13" s="35" t="s">
        <v>97</v>
      </c>
      <c r="C13" s="35" t="s">
        <v>187</v>
      </c>
      <c r="D13" s="35" t="s">
        <v>189</v>
      </c>
      <c r="E13" s="35" t="s">
        <v>190</v>
      </c>
      <c r="F13" s="35" t="s">
        <v>92</v>
      </c>
      <c r="G13" s="35" t="s">
        <v>205</v>
      </c>
      <c r="H13" s="4" t="s">
        <v>191</v>
      </c>
      <c r="I13" s="4" t="s">
        <v>48</v>
      </c>
      <c r="J13" s="4" t="s">
        <v>204</v>
      </c>
      <c r="R13" s="29"/>
      <c r="S13" s="29"/>
      <c r="T13" s="29"/>
      <c r="U13" s="29"/>
      <c r="V13" s="29"/>
      <c r="W13" s="29"/>
    </row>
    <row r="14" spans="2:23" x14ac:dyDescent="0.25">
      <c r="B14" s="35" t="s">
        <v>103</v>
      </c>
      <c r="C14" s="35" t="s">
        <v>192</v>
      </c>
      <c r="D14" s="74">
        <v>3600</v>
      </c>
      <c r="E14" s="35">
        <v>3.66</v>
      </c>
      <c r="F14" s="35" t="s">
        <v>145</v>
      </c>
      <c r="G14" s="35">
        <f>IF(F14="EUR",1,0.01)</f>
        <v>1</v>
      </c>
      <c r="H14" s="4">
        <f>VLOOKUP(C14,'PosMon-EUR-MtM'!$AK$12:$AN$24,3,FALSE)</f>
        <v>0</v>
      </c>
      <c r="I14" s="4">
        <f>H14*D14*G14*VLOOKUP(F14,$B$9:$D$11,3,FALSE)</f>
        <v>0</v>
      </c>
      <c r="J14" s="4">
        <f>E14*-D14*G14*VLOOKUP(F14,$B$9:$D$11,2,FALSE)</f>
        <v>-108781.056</v>
      </c>
      <c r="R14" s="29"/>
      <c r="S14" s="29"/>
      <c r="T14" s="29"/>
      <c r="U14" s="29"/>
      <c r="V14" s="29"/>
      <c r="W14" s="29"/>
    </row>
    <row r="15" spans="2:23" x14ac:dyDescent="0.25">
      <c r="B15" s="35" t="s">
        <v>104</v>
      </c>
      <c r="C15" s="35" t="s">
        <v>192</v>
      </c>
      <c r="D15" s="74">
        <v>-3600</v>
      </c>
      <c r="E15" s="35">
        <v>4.21</v>
      </c>
      <c r="F15" s="35" t="s">
        <v>145</v>
      </c>
      <c r="G15" s="35">
        <f t="shared" ref="G15:G41" si="0">IF(F15="EUR",1,0.01)</f>
        <v>1</v>
      </c>
      <c r="H15" s="4">
        <f>VLOOKUP(C15,'PosMon-EUR-MtM'!$AK$12:$AN$24,3,FALSE)</f>
        <v>0</v>
      </c>
      <c r="I15" s="4">
        <f t="shared" ref="I15:I41" si="1">H15*D15*G15*VLOOKUP(F15,$B$9:$D$11,3,FALSE)</f>
        <v>0</v>
      </c>
      <c r="J15" s="4">
        <f t="shared" ref="J15:J41" si="2">E15*-D15*G15*VLOOKUP(F15,$B$9:$D$11,2,FALSE)</f>
        <v>125127.936</v>
      </c>
      <c r="R15" s="29"/>
      <c r="S15" s="29"/>
      <c r="T15" s="29"/>
      <c r="U15" s="29"/>
      <c r="V15" s="29"/>
      <c r="W15" s="29"/>
    </row>
    <row r="16" spans="2:23" x14ac:dyDescent="0.25">
      <c r="B16" s="35" t="s">
        <v>105</v>
      </c>
      <c r="C16" s="35" t="s">
        <v>192</v>
      </c>
      <c r="D16" s="74">
        <v>7200</v>
      </c>
      <c r="E16" s="35">
        <v>3.57</v>
      </c>
      <c r="F16" s="35" t="s">
        <v>145</v>
      </c>
      <c r="G16" s="35">
        <f t="shared" si="0"/>
        <v>1</v>
      </c>
      <c r="H16" s="4">
        <f>VLOOKUP(C16,'PosMon-EUR-MtM'!$AK$12:$AN$24,3,FALSE)</f>
        <v>0</v>
      </c>
      <c r="I16" s="4">
        <f t="shared" si="1"/>
        <v>0</v>
      </c>
      <c r="J16" s="4">
        <f t="shared" si="2"/>
        <v>-212212.22400000002</v>
      </c>
      <c r="R16" s="29"/>
      <c r="S16" s="29"/>
      <c r="T16" s="29"/>
      <c r="U16" s="29"/>
      <c r="V16" s="29"/>
      <c r="W16" s="29"/>
    </row>
    <row r="17" spans="2:23" x14ac:dyDescent="0.25">
      <c r="B17" s="35" t="s">
        <v>107</v>
      </c>
      <c r="C17" s="35" t="s">
        <v>193</v>
      </c>
      <c r="D17" s="74">
        <v>3600</v>
      </c>
      <c r="E17" s="35">
        <v>3.66</v>
      </c>
      <c r="F17" s="35" t="s">
        <v>145</v>
      </c>
      <c r="G17" s="35">
        <f t="shared" si="0"/>
        <v>1</v>
      </c>
      <c r="H17" s="4">
        <f>VLOOKUP(C17,'PosMon-EUR-MtM'!$AK$12:$AN$24,3,FALSE)</f>
        <v>0</v>
      </c>
      <c r="I17" s="4">
        <f t="shared" si="1"/>
        <v>0</v>
      </c>
      <c r="J17" s="4">
        <f t="shared" si="2"/>
        <v>-108781.056</v>
      </c>
      <c r="R17" s="29"/>
      <c r="S17" s="29"/>
      <c r="T17" s="29"/>
      <c r="U17" s="29"/>
      <c r="V17" s="29"/>
      <c r="W17" s="29"/>
    </row>
    <row r="18" spans="2:23" x14ac:dyDescent="0.25">
      <c r="B18" s="35" t="s">
        <v>108</v>
      </c>
      <c r="C18" s="35" t="s">
        <v>193</v>
      </c>
      <c r="D18" s="74">
        <v>-3600</v>
      </c>
      <c r="E18" s="35">
        <v>4.21</v>
      </c>
      <c r="F18" s="35" t="s">
        <v>145</v>
      </c>
      <c r="G18" s="35">
        <f t="shared" si="0"/>
        <v>1</v>
      </c>
      <c r="H18" s="4">
        <f>VLOOKUP(C18,'PosMon-EUR-MtM'!$AK$12:$AN$24,3,FALSE)</f>
        <v>0</v>
      </c>
      <c r="I18" s="4">
        <f t="shared" si="1"/>
        <v>0</v>
      </c>
      <c r="J18" s="4">
        <f t="shared" si="2"/>
        <v>125127.936</v>
      </c>
      <c r="R18" s="29"/>
      <c r="S18" s="29"/>
      <c r="T18" s="29"/>
      <c r="U18" s="29"/>
      <c r="V18" s="29"/>
      <c r="W18" s="29"/>
    </row>
    <row r="19" spans="2:23" x14ac:dyDescent="0.25">
      <c r="B19" s="35" t="s">
        <v>109</v>
      </c>
      <c r="C19" s="35" t="s">
        <v>193</v>
      </c>
      <c r="D19" s="74">
        <v>7200</v>
      </c>
      <c r="E19" s="35">
        <v>3.57</v>
      </c>
      <c r="F19" s="35" t="s">
        <v>145</v>
      </c>
      <c r="G19" s="35">
        <f t="shared" si="0"/>
        <v>1</v>
      </c>
      <c r="H19" s="4">
        <f>VLOOKUP(C19,'PosMon-EUR-MtM'!$AK$12:$AN$24,3,FALSE)</f>
        <v>0</v>
      </c>
      <c r="I19" s="4">
        <f t="shared" si="1"/>
        <v>0</v>
      </c>
      <c r="J19" s="4">
        <f t="shared" si="2"/>
        <v>-212212.22400000002</v>
      </c>
      <c r="R19" s="29"/>
      <c r="S19" s="29"/>
      <c r="T19" s="29"/>
      <c r="U19" s="29"/>
      <c r="V19" s="29"/>
      <c r="W19" s="29"/>
    </row>
    <row r="20" spans="2:23" x14ac:dyDescent="0.25">
      <c r="B20" s="35" t="s">
        <v>111</v>
      </c>
      <c r="C20" s="35" t="s">
        <v>194</v>
      </c>
      <c r="D20" s="74">
        <v>3600</v>
      </c>
      <c r="E20" s="35">
        <v>3.66</v>
      </c>
      <c r="F20" s="35" t="s">
        <v>145</v>
      </c>
      <c r="G20" s="35">
        <f t="shared" si="0"/>
        <v>1</v>
      </c>
      <c r="H20" s="4">
        <f>VLOOKUP(C20,'PosMon-EUR-MtM'!$AK$12:$AN$24,3,FALSE)</f>
        <v>2.0022185208774133E-3</v>
      </c>
      <c r="I20" s="4">
        <f t="shared" si="1"/>
        <v>55.34522824760446</v>
      </c>
      <c r="J20" s="4">
        <f t="shared" si="2"/>
        <v>-108781.056</v>
      </c>
      <c r="R20" s="29"/>
      <c r="S20" s="29"/>
      <c r="T20" s="29"/>
      <c r="U20" s="29"/>
      <c r="V20" s="29"/>
      <c r="W20" s="29"/>
    </row>
    <row r="21" spans="2:23" x14ac:dyDescent="0.25">
      <c r="B21" s="35" t="s">
        <v>112</v>
      </c>
      <c r="C21" s="35" t="s">
        <v>194</v>
      </c>
      <c r="D21" s="74">
        <v>-3600</v>
      </c>
      <c r="E21" s="35">
        <v>4.21</v>
      </c>
      <c r="F21" s="35" t="s">
        <v>145</v>
      </c>
      <c r="G21" s="35">
        <f t="shared" si="0"/>
        <v>1</v>
      </c>
      <c r="H21" s="4">
        <f>VLOOKUP(C21,'PosMon-EUR-MtM'!$AK$12:$AN$24,3,FALSE)</f>
        <v>2.0022185208774133E-3</v>
      </c>
      <c r="I21" s="4">
        <f t="shared" si="1"/>
        <v>-55.34522824760446</v>
      </c>
      <c r="J21" s="4">
        <f t="shared" si="2"/>
        <v>125127.936</v>
      </c>
      <c r="R21" s="29"/>
      <c r="S21" s="29"/>
      <c r="T21" s="29"/>
      <c r="U21" s="29"/>
      <c r="V21" s="29"/>
      <c r="W21" s="29"/>
    </row>
    <row r="22" spans="2:23" x14ac:dyDescent="0.25">
      <c r="B22" s="35" t="s">
        <v>113</v>
      </c>
      <c r="C22" s="35" t="s">
        <v>194</v>
      </c>
      <c r="D22" s="74">
        <v>7200</v>
      </c>
      <c r="E22" s="35">
        <v>3.57</v>
      </c>
      <c r="F22" s="35" t="s">
        <v>145</v>
      </c>
      <c r="G22" s="35">
        <f t="shared" si="0"/>
        <v>1</v>
      </c>
      <c r="H22" s="4">
        <f>VLOOKUP(C22,'PosMon-EUR-MtM'!$AK$12:$AN$24,3,FALSE)</f>
        <v>2.0022185208774133E-3</v>
      </c>
      <c r="I22" s="4">
        <f t="shared" si="1"/>
        <v>110.69045649520892</v>
      </c>
      <c r="J22" s="4">
        <f t="shared" si="2"/>
        <v>-212212.22400000002</v>
      </c>
      <c r="R22" s="29"/>
      <c r="S22" s="29"/>
      <c r="T22" s="29"/>
      <c r="U22" s="29"/>
      <c r="V22" s="29"/>
      <c r="W22" s="29"/>
    </row>
    <row r="23" spans="2:23" x14ac:dyDescent="0.25">
      <c r="B23" s="35" t="s">
        <v>115</v>
      </c>
      <c r="C23" s="35" t="s">
        <v>195</v>
      </c>
      <c r="D23" s="74">
        <v>3600</v>
      </c>
      <c r="E23" s="35">
        <v>3.66</v>
      </c>
      <c r="F23" s="35" t="s">
        <v>145</v>
      </c>
      <c r="G23" s="35">
        <f t="shared" si="0"/>
        <v>1</v>
      </c>
      <c r="H23" s="4">
        <f>VLOOKUP(C23,'PosMon-EUR-MtM'!$AK$12:$AN$24,3,FALSE)</f>
        <v>19.771907943836464</v>
      </c>
      <c r="I23" s="4">
        <f t="shared" si="1"/>
        <v>546534.13033194619</v>
      </c>
      <c r="J23" s="4">
        <f t="shared" si="2"/>
        <v>-108781.056</v>
      </c>
      <c r="R23" s="29"/>
      <c r="S23" s="29"/>
      <c r="T23" s="29"/>
      <c r="U23" s="29"/>
      <c r="V23" s="29"/>
      <c r="W23" s="29"/>
    </row>
    <row r="24" spans="2:23" x14ac:dyDescent="0.25">
      <c r="B24" s="35" t="s">
        <v>118</v>
      </c>
      <c r="C24" s="35" t="s">
        <v>195</v>
      </c>
      <c r="D24" s="74">
        <v>-3600</v>
      </c>
      <c r="E24" s="35">
        <v>4.21</v>
      </c>
      <c r="F24" s="35" t="s">
        <v>145</v>
      </c>
      <c r="G24" s="35">
        <f t="shared" si="0"/>
        <v>1</v>
      </c>
      <c r="H24" s="4">
        <f>VLOOKUP(C24,'PosMon-EUR-MtM'!$AK$12:$AN$24,3,FALSE)</f>
        <v>19.771907943836464</v>
      </c>
      <c r="I24" s="4">
        <f t="shared" si="1"/>
        <v>-546534.13033194619</v>
      </c>
      <c r="J24" s="4">
        <f t="shared" si="2"/>
        <v>125127.936</v>
      </c>
      <c r="R24" s="29"/>
      <c r="S24" s="29"/>
      <c r="T24" s="29"/>
      <c r="U24" s="29"/>
      <c r="V24" s="29"/>
      <c r="W24" s="29"/>
    </row>
    <row r="25" spans="2:23" x14ac:dyDescent="0.25">
      <c r="B25" s="35" t="s">
        <v>119</v>
      </c>
      <c r="C25" s="35" t="s">
        <v>195</v>
      </c>
      <c r="D25" s="74">
        <v>7200</v>
      </c>
      <c r="E25" s="35">
        <v>3.57</v>
      </c>
      <c r="F25" s="35" t="s">
        <v>145</v>
      </c>
      <c r="G25" s="35">
        <f t="shared" si="0"/>
        <v>1</v>
      </c>
      <c r="H25" s="4">
        <f>VLOOKUP(C25,'PosMon-EUR-MtM'!$AK$12:$AN$24,3,FALSE)</f>
        <v>19.771907943836464</v>
      </c>
      <c r="I25" s="4">
        <f t="shared" si="1"/>
        <v>1093068.2606638924</v>
      </c>
      <c r="J25" s="4">
        <f t="shared" si="2"/>
        <v>-212212.22400000002</v>
      </c>
      <c r="R25" s="29"/>
      <c r="S25" s="29"/>
      <c r="T25" s="29"/>
      <c r="U25" s="29"/>
      <c r="V25" s="29"/>
      <c r="W25" s="29"/>
    </row>
    <row r="26" spans="2:23" x14ac:dyDescent="0.25">
      <c r="B26" s="35" t="s">
        <v>121</v>
      </c>
      <c r="C26" s="35" t="s">
        <v>196</v>
      </c>
      <c r="D26" s="74">
        <v>3715</v>
      </c>
      <c r="E26" s="35">
        <v>3.66</v>
      </c>
      <c r="F26" s="35" t="s">
        <v>145</v>
      </c>
      <c r="G26" s="35">
        <f t="shared" si="0"/>
        <v>1</v>
      </c>
      <c r="H26" s="4">
        <f>VLOOKUP(C26,'PosMon-EUR-MtM'!$AK$12:$AN$24,3,FALSE)</f>
        <v>0</v>
      </c>
      <c r="I26" s="4">
        <f t="shared" si="1"/>
        <v>0</v>
      </c>
      <c r="J26" s="4">
        <f t="shared" si="2"/>
        <v>-112256.0064</v>
      </c>
      <c r="R26" s="29"/>
      <c r="S26" s="29"/>
      <c r="T26" s="29"/>
      <c r="U26" s="29"/>
      <c r="V26" s="29"/>
      <c r="W26" s="29"/>
    </row>
    <row r="27" spans="2:23" x14ac:dyDescent="0.25">
      <c r="B27" s="35" t="s">
        <v>122</v>
      </c>
      <c r="C27" s="35" t="s">
        <v>196</v>
      </c>
      <c r="D27" s="74">
        <v>-3715</v>
      </c>
      <c r="E27" s="35">
        <v>4.21</v>
      </c>
      <c r="F27" s="35" t="s">
        <v>145</v>
      </c>
      <c r="G27" s="35">
        <f t="shared" si="0"/>
        <v>1</v>
      </c>
      <c r="H27" s="4">
        <f>VLOOKUP(C27,'PosMon-EUR-MtM'!$AK$12:$AN$24,3,FALSE)</f>
        <v>0</v>
      </c>
      <c r="I27" s="4">
        <f t="shared" si="1"/>
        <v>0</v>
      </c>
      <c r="J27" s="4">
        <f t="shared" si="2"/>
        <v>129125.0784</v>
      </c>
      <c r="R27" s="29"/>
      <c r="S27" s="29"/>
      <c r="T27" s="29"/>
      <c r="U27" s="29"/>
      <c r="V27" s="29"/>
      <c r="W27" s="29"/>
    </row>
    <row r="28" spans="2:23" x14ac:dyDescent="0.25">
      <c r="B28" s="35" t="s">
        <v>123</v>
      </c>
      <c r="C28" s="35" t="s">
        <v>196</v>
      </c>
      <c r="D28" s="74">
        <v>7430</v>
      </c>
      <c r="E28" s="35">
        <v>3.57</v>
      </c>
      <c r="F28" s="35" t="s">
        <v>145</v>
      </c>
      <c r="G28" s="35">
        <f t="shared" si="0"/>
        <v>1</v>
      </c>
      <c r="H28" s="4">
        <f>VLOOKUP(C28,'PosMon-EUR-MtM'!$AK$12:$AN$24,3,FALSE)</f>
        <v>0</v>
      </c>
      <c r="I28" s="4">
        <f t="shared" si="1"/>
        <v>0</v>
      </c>
      <c r="J28" s="4">
        <f t="shared" si="2"/>
        <v>-218991.22560000001</v>
      </c>
      <c r="R28" s="29"/>
      <c r="S28" s="29"/>
      <c r="T28" s="29"/>
      <c r="U28" s="29"/>
      <c r="V28" s="29"/>
      <c r="W28" s="29"/>
    </row>
    <row r="29" spans="2:23" x14ac:dyDescent="0.25">
      <c r="B29" s="35" t="s">
        <v>125</v>
      </c>
      <c r="C29" s="35" t="s">
        <v>197</v>
      </c>
      <c r="D29" s="74">
        <v>3715</v>
      </c>
      <c r="E29" s="35">
        <v>3.66</v>
      </c>
      <c r="F29" s="35" t="s">
        <v>145</v>
      </c>
      <c r="G29" s="35">
        <f t="shared" si="0"/>
        <v>1</v>
      </c>
      <c r="H29" s="4">
        <f>VLOOKUP(C29,'PosMon-EUR-MtM'!$AK$12:$AN$24,3,FALSE)</f>
        <v>0</v>
      </c>
      <c r="I29" s="4">
        <f t="shared" si="1"/>
        <v>0</v>
      </c>
      <c r="J29" s="4">
        <f t="shared" si="2"/>
        <v>-112256.0064</v>
      </c>
      <c r="R29" s="29"/>
      <c r="S29" s="29"/>
      <c r="T29" s="29"/>
      <c r="U29" s="29"/>
      <c r="V29" s="29"/>
      <c r="W29" s="29"/>
    </row>
    <row r="30" spans="2:23" x14ac:dyDescent="0.25">
      <c r="B30" s="35" t="s">
        <v>126</v>
      </c>
      <c r="C30" s="35" t="s">
        <v>197</v>
      </c>
      <c r="D30" s="74">
        <v>-3715</v>
      </c>
      <c r="E30" s="35">
        <v>4.21</v>
      </c>
      <c r="F30" s="35" t="s">
        <v>145</v>
      </c>
      <c r="G30" s="35">
        <f t="shared" si="0"/>
        <v>1</v>
      </c>
      <c r="H30" s="4">
        <f>VLOOKUP(C30,'PosMon-EUR-MtM'!$AK$12:$AN$24,3,FALSE)</f>
        <v>0</v>
      </c>
      <c r="I30" s="4">
        <f t="shared" si="1"/>
        <v>0</v>
      </c>
      <c r="J30" s="4">
        <f t="shared" si="2"/>
        <v>129125.0784</v>
      </c>
      <c r="R30" s="29"/>
      <c r="S30" s="29"/>
      <c r="T30" s="29"/>
      <c r="U30" s="29"/>
      <c r="V30" s="29"/>
      <c r="W30" s="29"/>
    </row>
    <row r="31" spans="2:23" x14ac:dyDescent="0.25">
      <c r="B31" s="35" t="s">
        <v>127</v>
      </c>
      <c r="C31" s="35" t="s">
        <v>197</v>
      </c>
      <c r="D31" s="74">
        <v>7430</v>
      </c>
      <c r="E31" s="35">
        <v>3.57</v>
      </c>
      <c r="F31" s="35" t="s">
        <v>145</v>
      </c>
      <c r="G31" s="35">
        <f t="shared" si="0"/>
        <v>1</v>
      </c>
      <c r="H31" s="4">
        <f>VLOOKUP(C31,'PosMon-EUR-MtM'!$AK$12:$AN$24,3,FALSE)</f>
        <v>0</v>
      </c>
      <c r="I31" s="4">
        <f t="shared" si="1"/>
        <v>0</v>
      </c>
      <c r="J31" s="4">
        <f t="shared" si="2"/>
        <v>-218991.22560000001</v>
      </c>
      <c r="R31" s="29"/>
      <c r="S31" s="29"/>
      <c r="T31" s="29"/>
      <c r="U31" s="29"/>
      <c r="V31" s="29"/>
      <c r="W31" s="29"/>
    </row>
    <row r="32" spans="2:23" x14ac:dyDescent="0.25">
      <c r="B32" s="35" t="s">
        <v>173</v>
      </c>
      <c r="C32" s="35" t="s">
        <v>198</v>
      </c>
      <c r="D32" s="74">
        <v>30000000</v>
      </c>
      <c r="E32" s="35">
        <v>3.57</v>
      </c>
      <c r="F32" s="35" t="s">
        <v>188</v>
      </c>
      <c r="G32" s="35">
        <f t="shared" si="0"/>
        <v>0.01</v>
      </c>
      <c r="H32" s="4">
        <f>VLOOKUP(C32,'PosMon-EUR-MtM'!$AK$12:$AN$24,3,FALSE)</f>
        <v>0.25020891889506375</v>
      </c>
      <c r="I32" s="4">
        <f t="shared" si="1"/>
        <v>655290.03516659315</v>
      </c>
      <c r="J32" s="4">
        <f t="shared" si="2"/>
        <v>-9967241.0145440623</v>
      </c>
      <c r="K32" s="72"/>
      <c r="L32" s="72"/>
      <c r="R32" s="29"/>
      <c r="S32" s="29"/>
      <c r="T32" s="29"/>
      <c r="U32" s="29"/>
      <c r="V32" s="29"/>
      <c r="W32" s="29"/>
    </row>
    <row r="33" spans="2:23" x14ac:dyDescent="0.25">
      <c r="B33" s="35" t="s">
        <v>174</v>
      </c>
      <c r="C33" s="35" t="s">
        <v>199</v>
      </c>
      <c r="D33" s="74">
        <v>31000000</v>
      </c>
      <c r="E33" s="35">
        <v>3.57</v>
      </c>
      <c r="F33" s="35" t="s">
        <v>188</v>
      </c>
      <c r="G33" s="35">
        <f t="shared" si="0"/>
        <v>0.01</v>
      </c>
      <c r="H33" s="4">
        <f>VLOOKUP(C33,'PosMon-EUR-MtM'!$AK$12:$AN$24,3,FALSE)</f>
        <v>0</v>
      </c>
      <c r="I33" s="4">
        <f t="shared" si="1"/>
        <v>0</v>
      </c>
      <c r="J33" s="4">
        <f t="shared" si="2"/>
        <v>-10299482.381695531</v>
      </c>
      <c r="R33" s="29"/>
      <c r="S33" s="29"/>
      <c r="T33" s="29"/>
      <c r="U33" s="29"/>
      <c r="V33" s="29"/>
      <c r="W33" s="29"/>
    </row>
    <row r="34" spans="2:23" x14ac:dyDescent="0.25">
      <c r="B34" s="35" t="s">
        <v>176</v>
      </c>
      <c r="C34" s="35" t="s">
        <v>200</v>
      </c>
      <c r="D34" s="74">
        <v>7200</v>
      </c>
      <c r="E34" s="35">
        <v>4</v>
      </c>
      <c r="F34" s="35" t="s">
        <v>145</v>
      </c>
      <c r="G34" s="35">
        <f t="shared" si="0"/>
        <v>1</v>
      </c>
      <c r="H34" s="4">
        <f>VLOOKUP(C34,'PosMon-EUR-MtM'!$AK$12:$AN$24,3,FALSE)</f>
        <v>0</v>
      </c>
      <c r="I34" s="4">
        <f t="shared" si="1"/>
        <v>0</v>
      </c>
      <c r="J34" s="4">
        <f t="shared" si="2"/>
        <v>-237772.80000000002</v>
      </c>
      <c r="R34" s="29"/>
      <c r="S34" s="29"/>
      <c r="T34" s="29"/>
      <c r="U34" s="29"/>
      <c r="V34" s="29"/>
      <c r="W34" s="29"/>
    </row>
    <row r="35" spans="2:23" x14ac:dyDescent="0.25">
      <c r="B35" s="35" t="s">
        <v>177</v>
      </c>
      <c r="C35" s="35" t="s">
        <v>200</v>
      </c>
      <c r="D35" s="74">
        <v>-7200</v>
      </c>
      <c r="E35" s="35">
        <v>5</v>
      </c>
      <c r="F35" s="35" t="s">
        <v>145</v>
      </c>
      <c r="G35" s="35">
        <f t="shared" si="0"/>
        <v>1</v>
      </c>
      <c r="H35" s="4">
        <f>VLOOKUP(C35,'PosMon-EUR-MtM'!$AK$12:$AN$24,3,FALSE)</f>
        <v>0</v>
      </c>
      <c r="I35" s="4">
        <f t="shared" si="1"/>
        <v>0</v>
      </c>
      <c r="J35" s="4">
        <f t="shared" si="2"/>
        <v>297216</v>
      </c>
      <c r="R35" s="29"/>
      <c r="S35" s="29"/>
      <c r="T35" s="29"/>
      <c r="U35" s="29"/>
      <c r="V35" s="29"/>
      <c r="W35" s="29"/>
    </row>
    <row r="36" spans="2:23" x14ac:dyDescent="0.25">
      <c r="B36" s="35" t="s">
        <v>179</v>
      </c>
      <c r="C36" s="35" t="s">
        <v>201</v>
      </c>
      <c r="D36" s="74">
        <v>7200</v>
      </c>
      <c r="E36" s="35">
        <v>4</v>
      </c>
      <c r="F36" s="35" t="s">
        <v>145</v>
      </c>
      <c r="G36" s="35">
        <f t="shared" si="0"/>
        <v>1</v>
      </c>
      <c r="H36" s="4">
        <f>VLOOKUP(C36,'PosMon-EUR-MtM'!$AK$12:$AN$24,3,FALSE)</f>
        <v>1.0009301428211769E-3</v>
      </c>
      <c r="I36" s="4">
        <f t="shared" si="1"/>
        <v>55.335325926432233</v>
      </c>
      <c r="J36" s="4">
        <f t="shared" si="2"/>
        <v>-237772.80000000002</v>
      </c>
      <c r="R36" s="29"/>
      <c r="S36" s="29"/>
      <c r="T36" s="29"/>
      <c r="U36" s="29"/>
      <c r="V36" s="29"/>
      <c r="W36" s="29"/>
    </row>
    <row r="37" spans="2:23" x14ac:dyDescent="0.25">
      <c r="B37" s="35" t="s">
        <v>181</v>
      </c>
      <c r="C37" s="35" t="s">
        <v>201</v>
      </c>
      <c r="D37" s="74">
        <v>-7200</v>
      </c>
      <c r="E37" s="35">
        <v>5</v>
      </c>
      <c r="F37" s="35" t="s">
        <v>145</v>
      </c>
      <c r="G37" s="35">
        <f t="shared" si="0"/>
        <v>1</v>
      </c>
      <c r="H37" s="4">
        <f>VLOOKUP(C37,'PosMon-EUR-MtM'!$AK$12:$AN$24,3,FALSE)</f>
        <v>1.0009301428211769E-3</v>
      </c>
      <c r="I37" s="4">
        <f t="shared" si="1"/>
        <v>-55.335325926432233</v>
      </c>
      <c r="J37" s="4">
        <f t="shared" si="2"/>
        <v>297216</v>
      </c>
      <c r="R37" s="29"/>
      <c r="S37" s="29"/>
      <c r="T37" s="29"/>
      <c r="U37" s="29"/>
      <c r="V37" s="29"/>
      <c r="W37" s="29"/>
    </row>
    <row r="38" spans="2:23" x14ac:dyDescent="0.25">
      <c r="B38" s="35" t="s">
        <v>182</v>
      </c>
      <c r="C38" s="35" t="s">
        <v>202</v>
      </c>
      <c r="D38" s="74">
        <v>30000000</v>
      </c>
      <c r="E38" s="35">
        <v>4</v>
      </c>
      <c r="F38" s="35" t="s">
        <v>188</v>
      </c>
      <c r="G38" s="35">
        <f t="shared" si="0"/>
        <v>0.01</v>
      </c>
      <c r="H38" s="4">
        <f>VLOOKUP(C38,'PosMon-EUR-MtM'!$AK$12:$AN$24,3,FALSE)</f>
        <v>21.013729746094725</v>
      </c>
      <c r="I38" s="4">
        <f t="shared" si="1"/>
        <v>55034359.946516529</v>
      </c>
      <c r="J38" s="4">
        <f t="shared" si="2"/>
        <v>-11167777.047108192</v>
      </c>
      <c r="R38" s="29"/>
      <c r="S38" s="29"/>
      <c r="T38" s="29"/>
      <c r="U38" s="29"/>
      <c r="V38" s="29"/>
      <c r="W38" s="29"/>
    </row>
    <row r="39" spans="2:23" x14ac:dyDescent="0.25">
      <c r="B39" s="35" t="s">
        <v>183</v>
      </c>
      <c r="C39" s="35" t="s">
        <v>202</v>
      </c>
      <c r="D39" s="74">
        <v>-30000000</v>
      </c>
      <c r="E39" s="35">
        <v>5</v>
      </c>
      <c r="F39" s="35" t="s">
        <v>188</v>
      </c>
      <c r="G39" s="35">
        <f t="shared" si="0"/>
        <v>0.01</v>
      </c>
      <c r="H39" s="4">
        <f>VLOOKUP(C39,'PosMon-EUR-MtM'!$AK$12:$AN$24,3,FALSE)</f>
        <v>21.013729746094725</v>
      </c>
      <c r="I39" s="4">
        <f t="shared" si="1"/>
        <v>-55034359.946516529</v>
      </c>
      <c r="J39" s="4">
        <f t="shared" si="2"/>
        <v>13959721.308885241</v>
      </c>
      <c r="R39" s="29"/>
      <c r="S39" s="29"/>
      <c r="T39" s="29"/>
      <c r="U39" s="29"/>
      <c r="V39" s="29"/>
      <c r="W39" s="29"/>
    </row>
    <row r="40" spans="2:23" x14ac:dyDescent="0.25">
      <c r="B40" s="35" t="s">
        <v>185</v>
      </c>
      <c r="C40" s="35" t="s">
        <v>203</v>
      </c>
      <c r="D40" s="74">
        <v>30000000</v>
      </c>
      <c r="E40" s="35">
        <v>4</v>
      </c>
      <c r="F40" s="35" t="s">
        <v>188</v>
      </c>
      <c r="G40" s="35">
        <f t="shared" si="0"/>
        <v>0.01</v>
      </c>
      <c r="H40" s="4">
        <f>VLOOKUP(C40,'PosMon-EUR-MtM'!$AK$12:$AN$24,3,FALSE)</f>
        <v>0</v>
      </c>
      <c r="I40" s="4">
        <f t="shared" si="1"/>
        <v>0</v>
      </c>
      <c r="J40" s="4">
        <f t="shared" si="2"/>
        <v>-11167777.047108192</v>
      </c>
      <c r="R40" s="29"/>
      <c r="S40" s="29"/>
      <c r="T40" s="29"/>
      <c r="U40" s="29"/>
      <c r="V40" s="29"/>
      <c r="W40" s="29"/>
    </row>
    <row r="41" spans="2:23" x14ac:dyDescent="0.25">
      <c r="B41" s="35" t="s">
        <v>186</v>
      </c>
      <c r="C41" s="35" t="s">
        <v>203</v>
      </c>
      <c r="D41" s="74">
        <v>-30000000</v>
      </c>
      <c r="E41" s="35">
        <v>5</v>
      </c>
      <c r="F41" s="35" t="s">
        <v>188</v>
      </c>
      <c r="G41" s="35">
        <f t="shared" si="0"/>
        <v>0.01</v>
      </c>
      <c r="H41" s="4">
        <f>VLOOKUP(C41,'PosMon-EUR-MtM'!$AK$12:$AN$24,3,FALSE)</f>
        <v>0</v>
      </c>
      <c r="I41" s="4">
        <f t="shared" si="1"/>
        <v>0</v>
      </c>
      <c r="J41" s="4">
        <f t="shared" si="2"/>
        <v>13959721.308885241</v>
      </c>
      <c r="R41" s="29"/>
      <c r="S41" s="29"/>
      <c r="T41" s="29"/>
      <c r="U41" s="29"/>
      <c r="V41" s="29"/>
      <c r="W41" s="29"/>
    </row>
    <row r="43" spans="2:23" s="76" customFormat="1" x14ac:dyDescent="0.25"/>
    <row r="45" spans="2:23" x14ac:dyDescent="0.25">
      <c r="B45" s="28" t="s">
        <v>88</v>
      </c>
      <c r="C45" s="28" t="s">
        <v>89</v>
      </c>
      <c r="D45" s="28" t="s">
        <v>90</v>
      </c>
      <c r="E45" s="28" t="s">
        <v>91</v>
      </c>
      <c r="F45" s="28" t="s">
        <v>92</v>
      </c>
      <c r="G45" s="28" t="s">
        <v>93</v>
      </c>
      <c r="H45" s="28" t="s">
        <v>94</v>
      </c>
      <c r="I45" s="28" t="s">
        <v>95</v>
      </c>
      <c r="J45" s="28" t="s">
        <v>96</v>
      </c>
      <c r="K45" s="28" t="s">
        <v>97</v>
      </c>
      <c r="L45" s="73" t="s">
        <v>208</v>
      </c>
      <c r="M45" s="41" t="s">
        <v>209</v>
      </c>
    </row>
    <row r="46" spans="2:23" x14ac:dyDescent="0.25">
      <c r="B46" s="55">
        <v>40179</v>
      </c>
      <c r="C46" s="28">
        <v>0</v>
      </c>
      <c r="D46" s="28" t="s">
        <v>98</v>
      </c>
      <c r="E46" s="28">
        <v>165</v>
      </c>
      <c r="F46" s="28" t="s">
        <v>99</v>
      </c>
      <c r="G46" s="28">
        <v>-108781.05655288701</v>
      </c>
      <c r="H46" s="28" t="s">
        <v>100</v>
      </c>
      <c r="I46" s="28" t="s">
        <v>101</v>
      </c>
      <c r="J46" s="28" t="s">
        <v>102</v>
      </c>
      <c r="K46" s="28" t="s">
        <v>103</v>
      </c>
      <c r="L46" s="73">
        <f>IF(ISNUMBER(SEARCH("Premium",J46)),VLOOKUP(K46,$B$13:$J$41,9,FALSE),VLOOKUP(K46,$B$13:$J$41,8,FALSE))</f>
        <v>-108781.056</v>
      </c>
      <c r="M46" s="6">
        <f>QaAssert(G46,L46)</f>
        <v>0</v>
      </c>
    </row>
    <row r="47" spans="2:23" x14ac:dyDescent="0.25">
      <c r="B47" s="55">
        <v>40179</v>
      </c>
      <c r="C47" s="28">
        <v>0</v>
      </c>
      <c r="D47" s="28" t="s">
        <v>98</v>
      </c>
      <c r="E47" s="28">
        <v>165</v>
      </c>
      <c r="F47" s="28" t="s">
        <v>99</v>
      </c>
      <c r="G47" s="28">
        <v>125127.936635971</v>
      </c>
      <c r="H47" s="28" t="s">
        <v>100</v>
      </c>
      <c r="I47" s="28" t="s">
        <v>101</v>
      </c>
      <c r="J47" s="28" t="s">
        <v>102</v>
      </c>
      <c r="K47" s="28" t="s">
        <v>104</v>
      </c>
      <c r="L47" s="73">
        <f t="shared" ref="L47:L84" si="3">IF(ISNUMBER(SEARCH("Premium",J47)),VLOOKUP(K47,$B$13:$J$41,9,FALSE),VLOOKUP(K47,$B$13:$J$41,8,FALSE))</f>
        <v>125127.936</v>
      </c>
      <c r="M47" s="6">
        <f t="shared" ref="M47:M84" si="4">QaAssert(G47,L47)</f>
        <v>0</v>
      </c>
    </row>
    <row r="48" spans="2:23" x14ac:dyDescent="0.25">
      <c r="B48" s="55">
        <v>40179</v>
      </c>
      <c r="C48" s="28">
        <v>0</v>
      </c>
      <c r="D48" s="28" t="s">
        <v>98</v>
      </c>
      <c r="E48" s="28">
        <v>165</v>
      </c>
      <c r="F48" s="28" t="s">
        <v>99</v>
      </c>
      <c r="G48" s="28">
        <v>-212212.22507858201</v>
      </c>
      <c r="H48" s="28" t="s">
        <v>100</v>
      </c>
      <c r="I48" s="28" t="s">
        <v>101</v>
      </c>
      <c r="J48" s="28" t="s">
        <v>102</v>
      </c>
      <c r="K48" s="28" t="s">
        <v>105</v>
      </c>
      <c r="L48" s="73">
        <f t="shared" si="3"/>
        <v>-212212.22400000002</v>
      </c>
      <c r="M48" s="6">
        <f t="shared" si="4"/>
        <v>0</v>
      </c>
    </row>
    <row r="49" spans="2:13" x14ac:dyDescent="0.25">
      <c r="B49" s="55">
        <v>40179</v>
      </c>
      <c r="C49" s="28">
        <v>0</v>
      </c>
      <c r="D49" s="28" t="s">
        <v>98</v>
      </c>
      <c r="E49" s="28">
        <v>165</v>
      </c>
      <c r="F49" s="28" t="s">
        <v>99</v>
      </c>
      <c r="G49" s="28">
        <v>-108781.05655288701</v>
      </c>
      <c r="H49" s="28" t="s">
        <v>100</v>
      </c>
      <c r="I49" s="28" t="s">
        <v>101</v>
      </c>
      <c r="J49" s="28" t="s">
        <v>106</v>
      </c>
      <c r="K49" s="28" t="s">
        <v>107</v>
      </c>
      <c r="L49" s="73">
        <f t="shared" si="3"/>
        <v>-108781.056</v>
      </c>
      <c r="M49" s="6">
        <f t="shared" si="4"/>
        <v>0</v>
      </c>
    </row>
    <row r="50" spans="2:13" x14ac:dyDescent="0.25">
      <c r="B50" s="55">
        <v>40179</v>
      </c>
      <c r="C50" s="28">
        <v>0</v>
      </c>
      <c r="D50" s="28" t="s">
        <v>98</v>
      </c>
      <c r="E50" s="28">
        <v>165</v>
      </c>
      <c r="F50" s="28" t="s">
        <v>99</v>
      </c>
      <c r="G50" s="28">
        <v>125127.936635971</v>
      </c>
      <c r="H50" s="28" t="s">
        <v>100</v>
      </c>
      <c r="I50" s="28" t="s">
        <v>101</v>
      </c>
      <c r="J50" s="28" t="s">
        <v>106</v>
      </c>
      <c r="K50" s="28" t="s">
        <v>108</v>
      </c>
      <c r="L50" s="73">
        <f t="shared" si="3"/>
        <v>125127.936</v>
      </c>
      <c r="M50" s="6">
        <f t="shared" si="4"/>
        <v>0</v>
      </c>
    </row>
    <row r="51" spans="2:13" x14ac:dyDescent="0.25">
      <c r="B51" s="55">
        <v>40179</v>
      </c>
      <c r="C51" s="28">
        <v>0</v>
      </c>
      <c r="D51" s="28" t="s">
        <v>98</v>
      </c>
      <c r="E51" s="28">
        <v>165</v>
      </c>
      <c r="F51" s="28" t="s">
        <v>99</v>
      </c>
      <c r="G51" s="28">
        <v>-212212.22507858201</v>
      </c>
      <c r="H51" s="28" t="s">
        <v>100</v>
      </c>
      <c r="I51" s="28" t="s">
        <v>101</v>
      </c>
      <c r="J51" s="28" t="s">
        <v>106</v>
      </c>
      <c r="K51" s="28" t="s">
        <v>109</v>
      </c>
      <c r="L51" s="73">
        <f t="shared" si="3"/>
        <v>-212212.22400000002</v>
      </c>
      <c r="M51" s="6">
        <f t="shared" si="4"/>
        <v>0</v>
      </c>
    </row>
    <row r="52" spans="2:13" x14ac:dyDescent="0.25">
      <c r="B52" s="55">
        <v>40179</v>
      </c>
      <c r="C52" s="28">
        <v>0</v>
      </c>
      <c r="D52" s="28" t="s">
        <v>98</v>
      </c>
      <c r="E52" s="28">
        <v>165</v>
      </c>
      <c r="F52" s="28" t="s">
        <v>99</v>
      </c>
      <c r="G52" s="28">
        <v>-108781.05655288701</v>
      </c>
      <c r="H52" s="28" t="s">
        <v>100</v>
      </c>
      <c r="I52" s="28" t="s">
        <v>101</v>
      </c>
      <c r="J52" s="28" t="s">
        <v>169</v>
      </c>
      <c r="K52" s="28" t="s">
        <v>111</v>
      </c>
      <c r="L52" s="73">
        <f t="shared" si="3"/>
        <v>-108781.056</v>
      </c>
      <c r="M52" s="6">
        <f t="shared" si="4"/>
        <v>0</v>
      </c>
    </row>
    <row r="53" spans="2:13" x14ac:dyDescent="0.25">
      <c r="B53" s="55">
        <v>40817</v>
      </c>
      <c r="C53" s="28">
        <v>0</v>
      </c>
      <c r="D53" s="28" t="s">
        <v>140</v>
      </c>
      <c r="E53" s="28">
        <v>165</v>
      </c>
      <c r="F53" s="28" t="s">
        <v>99</v>
      </c>
      <c r="G53" s="28">
        <v>24.204249352549901</v>
      </c>
      <c r="H53" s="28" t="s">
        <v>100</v>
      </c>
      <c r="I53" s="28" t="s">
        <v>101</v>
      </c>
      <c r="J53" s="28" t="s">
        <v>170</v>
      </c>
      <c r="K53" s="28" t="s">
        <v>111</v>
      </c>
      <c r="L53" s="73">
        <f t="shared" si="3"/>
        <v>55.34522824760446</v>
      </c>
      <c r="M53" s="6">
        <f t="shared" si="4"/>
        <v>-0.56266781945022426</v>
      </c>
    </row>
    <row r="54" spans="2:13" x14ac:dyDescent="0.25">
      <c r="B54" s="55">
        <v>40179</v>
      </c>
      <c r="C54" s="28">
        <v>0</v>
      </c>
      <c r="D54" s="28" t="s">
        <v>98</v>
      </c>
      <c r="E54" s="28">
        <v>165</v>
      </c>
      <c r="F54" s="28" t="s">
        <v>99</v>
      </c>
      <c r="G54" s="28">
        <v>125127.936635971</v>
      </c>
      <c r="H54" s="28" t="s">
        <v>100</v>
      </c>
      <c r="I54" s="28" t="s">
        <v>101</v>
      </c>
      <c r="J54" s="28" t="s">
        <v>169</v>
      </c>
      <c r="K54" s="28" t="s">
        <v>112</v>
      </c>
      <c r="L54" s="73">
        <f t="shared" si="3"/>
        <v>125127.936</v>
      </c>
      <c r="M54" s="6">
        <f t="shared" si="4"/>
        <v>0</v>
      </c>
    </row>
    <row r="55" spans="2:13" x14ac:dyDescent="0.25">
      <c r="B55" s="55">
        <v>40817</v>
      </c>
      <c r="C55" s="28">
        <v>0</v>
      </c>
      <c r="D55" s="28" t="s">
        <v>140</v>
      </c>
      <c r="E55" s="28">
        <v>165</v>
      </c>
      <c r="F55" s="28" t="s">
        <v>99</v>
      </c>
      <c r="G55" s="28">
        <v>-24.204249352549901</v>
      </c>
      <c r="H55" s="28" t="s">
        <v>100</v>
      </c>
      <c r="I55" s="28" t="s">
        <v>101</v>
      </c>
      <c r="J55" s="28" t="s">
        <v>170</v>
      </c>
      <c r="K55" s="28" t="s">
        <v>112</v>
      </c>
      <c r="L55" s="73">
        <f t="shared" si="3"/>
        <v>-55.34522824760446</v>
      </c>
      <c r="M55" s="6">
        <f t="shared" si="4"/>
        <v>-0.56266781945022426</v>
      </c>
    </row>
    <row r="56" spans="2:13" x14ac:dyDescent="0.25">
      <c r="B56" s="55">
        <v>40179</v>
      </c>
      <c r="C56" s="28">
        <v>0</v>
      </c>
      <c r="D56" s="28" t="s">
        <v>98</v>
      </c>
      <c r="E56" s="28">
        <v>165</v>
      </c>
      <c r="F56" s="28" t="s">
        <v>99</v>
      </c>
      <c r="G56" s="28">
        <v>-212212.22507858201</v>
      </c>
      <c r="H56" s="28" t="s">
        <v>100</v>
      </c>
      <c r="I56" s="28" t="s">
        <v>101</v>
      </c>
      <c r="J56" s="28" t="s">
        <v>169</v>
      </c>
      <c r="K56" s="28" t="s">
        <v>113</v>
      </c>
      <c r="L56" s="73">
        <f t="shared" si="3"/>
        <v>-212212.22400000002</v>
      </c>
      <c r="M56" s="6">
        <f t="shared" si="4"/>
        <v>0</v>
      </c>
    </row>
    <row r="57" spans="2:13" x14ac:dyDescent="0.25">
      <c r="B57" s="55">
        <v>40817</v>
      </c>
      <c r="C57" s="28">
        <v>0</v>
      </c>
      <c r="D57" s="28" t="s">
        <v>140</v>
      </c>
      <c r="E57" s="28">
        <v>165</v>
      </c>
      <c r="F57" s="28" t="s">
        <v>99</v>
      </c>
      <c r="G57" s="28">
        <v>48.408498705099902</v>
      </c>
      <c r="H57" s="28" t="s">
        <v>100</v>
      </c>
      <c r="I57" s="28" t="s">
        <v>101</v>
      </c>
      <c r="J57" s="28" t="s">
        <v>170</v>
      </c>
      <c r="K57" s="28" t="s">
        <v>113</v>
      </c>
      <c r="L57" s="73">
        <f t="shared" si="3"/>
        <v>110.69045649520892</v>
      </c>
      <c r="M57" s="6">
        <f t="shared" si="4"/>
        <v>-0.56266781945022337</v>
      </c>
    </row>
    <row r="58" spans="2:13" x14ac:dyDescent="0.25">
      <c r="B58" s="55">
        <v>40179</v>
      </c>
      <c r="C58" s="28">
        <v>0</v>
      </c>
      <c r="D58" s="28" t="s">
        <v>98</v>
      </c>
      <c r="E58" s="28">
        <v>165</v>
      </c>
      <c r="F58" s="28" t="s">
        <v>99</v>
      </c>
      <c r="G58" s="28">
        <v>-108781.05655288701</v>
      </c>
      <c r="H58" s="28" t="s">
        <v>100</v>
      </c>
      <c r="I58" s="28" t="s">
        <v>101</v>
      </c>
      <c r="J58" s="28" t="s">
        <v>171</v>
      </c>
      <c r="K58" s="28" t="s">
        <v>115</v>
      </c>
      <c r="L58" s="73">
        <f t="shared" si="3"/>
        <v>-108781.056</v>
      </c>
      <c r="M58" s="6">
        <f t="shared" si="4"/>
        <v>0</v>
      </c>
    </row>
    <row r="59" spans="2:13" x14ac:dyDescent="0.25">
      <c r="B59" s="55">
        <v>40817</v>
      </c>
      <c r="C59" s="28">
        <v>0</v>
      </c>
      <c r="D59" s="28" t="s">
        <v>140</v>
      </c>
      <c r="E59" s="28">
        <v>165</v>
      </c>
      <c r="F59" s="28" t="s">
        <v>99</v>
      </c>
      <c r="G59" s="28">
        <v>546420.57618024095</v>
      </c>
      <c r="H59" s="28" t="s">
        <v>100</v>
      </c>
      <c r="I59" s="28" t="s">
        <v>101</v>
      </c>
      <c r="J59" s="28" t="s">
        <v>172</v>
      </c>
      <c r="K59" s="28" t="s">
        <v>115</v>
      </c>
      <c r="L59" s="73">
        <f t="shared" si="3"/>
        <v>546534.13033194619</v>
      </c>
      <c r="M59" s="6">
        <f t="shared" si="4"/>
        <v>-2.0777138224881142E-4</v>
      </c>
    </row>
    <row r="60" spans="2:13" x14ac:dyDescent="0.25">
      <c r="B60" s="55">
        <v>40179</v>
      </c>
      <c r="C60" s="28">
        <v>0</v>
      </c>
      <c r="D60" s="28" t="s">
        <v>98</v>
      </c>
      <c r="E60" s="28">
        <v>165</v>
      </c>
      <c r="F60" s="28" t="s">
        <v>99</v>
      </c>
      <c r="G60" s="28">
        <v>125127.936635971</v>
      </c>
      <c r="H60" s="28" t="s">
        <v>100</v>
      </c>
      <c r="I60" s="28" t="s">
        <v>101</v>
      </c>
      <c r="J60" s="28" t="s">
        <v>171</v>
      </c>
      <c r="K60" s="28" t="s">
        <v>118</v>
      </c>
      <c r="L60" s="73">
        <f t="shared" si="3"/>
        <v>125127.936</v>
      </c>
      <c r="M60" s="6">
        <f t="shared" si="4"/>
        <v>0</v>
      </c>
    </row>
    <row r="61" spans="2:13" x14ac:dyDescent="0.25">
      <c r="B61" s="55">
        <v>40817</v>
      </c>
      <c r="C61" s="28">
        <v>0</v>
      </c>
      <c r="D61" s="28" t="s">
        <v>140</v>
      </c>
      <c r="E61" s="28">
        <v>165</v>
      </c>
      <c r="F61" s="28" t="s">
        <v>99</v>
      </c>
      <c r="G61" s="28">
        <v>-546420.57618024095</v>
      </c>
      <c r="H61" s="28" t="s">
        <v>100</v>
      </c>
      <c r="I61" s="28" t="s">
        <v>101</v>
      </c>
      <c r="J61" s="28" t="s">
        <v>172</v>
      </c>
      <c r="K61" s="28" t="s">
        <v>118</v>
      </c>
      <c r="L61" s="73">
        <f t="shared" si="3"/>
        <v>-546534.13033194619</v>
      </c>
      <c r="M61" s="6">
        <f t="shared" si="4"/>
        <v>-2.0777138224881142E-4</v>
      </c>
    </row>
    <row r="62" spans="2:13" x14ac:dyDescent="0.25">
      <c r="B62" s="55">
        <v>40179</v>
      </c>
      <c r="C62" s="28">
        <v>0</v>
      </c>
      <c r="D62" s="28" t="s">
        <v>98</v>
      </c>
      <c r="E62" s="28">
        <v>165</v>
      </c>
      <c r="F62" s="28" t="s">
        <v>99</v>
      </c>
      <c r="G62" s="28">
        <v>-212212.22507858201</v>
      </c>
      <c r="H62" s="28" t="s">
        <v>100</v>
      </c>
      <c r="I62" s="28" t="s">
        <v>101</v>
      </c>
      <c r="J62" s="28" t="s">
        <v>171</v>
      </c>
      <c r="K62" s="28" t="s">
        <v>119</v>
      </c>
      <c r="L62" s="73">
        <f t="shared" si="3"/>
        <v>-212212.22400000002</v>
      </c>
      <c r="M62" s="6">
        <f t="shared" si="4"/>
        <v>0</v>
      </c>
    </row>
    <row r="63" spans="2:13" x14ac:dyDescent="0.25">
      <c r="B63" s="55">
        <v>40817</v>
      </c>
      <c r="C63" s="28">
        <v>0</v>
      </c>
      <c r="D63" s="28" t="s">
        <v>140</v>
      </c>
      <c r="E63" s="28">
        <v>165</v>
      </c>
      <c r="F63" s="28" t="s">
        <v>99</v>
      </c>
      <c r="G63" s="28">
        <v>1092841.15236048</v>
      </c>
      <c r="H63" s="28" t="s">
        <v>100</v>
      </c>
      <c r="I63" s="28" t="s">
        <v>101</v>
      </c>
      <c r="J63" s="28" t="s">
        <v>172</v>
      </c>
      <c r="K63" s="28" t="s">
        <v>119</v>
      </c>
      <c r="L63" s="73">
        <f t="shared" si="3"/>
        <v>1093068.2606638924</v>
      </c>
      <c r="M63" s="6">
        <f t="shared" si="4"/>
        <v>-2.0777138225058778E-4</v>
      </c>
    </row>
    <row r="64" spans="2:13" x14ac:dyDescent="0.25">
      <c r="B64" s="55">
        <v>40179</v>
      </c>
      <c r="C64" s="28">
        <v>0</v>
      </c>
      <c r="D64" s="28" t="s">
        <v>98</v>
      </c>
      <c r="E64" s="28">
        <v>165</v>
      </c>
      <c r="F64" s="28" t="s">
        <v>99</v>
      </c>
      <c r="G64" s="28">
        <v>-112256.006970548</v>
      </c>
      <c r="H64" s="28" t="s">
        <v>100</v>
      </c>
      <c r="I64" s="28" t="s">
        <v>101</v>
      </c>
      <c r="J64" s="28" t="s">
        <v>120</v>
      </c>
      <c r="K64" s="28" t="s">
        <v>121</v>
      </c>
      <c r="L64" s="73">
        <f t="shared" si="3"/>
        <v>-112256.0064</v>
      </c>
      <c r="M64" s="6">
        <f t="shared" si="4"/>
        <v>0</v>
      </c>
    </row>
    <row r="65" spans="2:13" x14ac:dyDescent="0.25">
      <c r="B65" s="55">
        <v>40179</v>
      </c>
      <c r="C65" s="28">
        <v>0</v>
      </c>
      <c r="D65" s="28" t="s">
        <v>98</v>
      </c>
      <c r="E65" s="28">
        <v>165</v>
      </c>
      <c r="F65" s="28" t="s">
        <v>99</v>
      </c>
      <c r="G65" s="28">
        <v>129125.079056287</v>
      </c>
      <c r="H65" s="28" t="s">
        <v>100</v>
      </c>
      <c r="I65" s="28" t="s">
        <v>101</v>
      </c>
      <c r="J65" s="28" t="s">
        <v>120</v>
      </c>
      <c r="K65" s="28" t="s">
        <v>122</v>
      </c>
      <c r="L65" s="73">
        <f t="shared" si="3"/>
        <v>129125.0784</v>
      </c>
      <c r="M65" s="6">
        <f t="shared" si="4"/>
        <v>0</v>
      </c>
    </row>
    <row r="66" spans="2:13" x14ac:dyDescent="0.25">
      <c r="B66" s="55">
        <v>40179</v>
      </c>
      <c r="C66" s="28">
        <v>0</v>
      </c>
      <c r="D66" s="28" t="s">
        <v>98</v>
      </c>
      <c r="E66" s="28">
        <v>165</v>
      </c>
      <c r="F66" s="28" t="s">
        <v>99</v>
      </c>
      <c r="G66" s="28">
        <v>-218991.226713037</v>
      </c>
      <c r="H66" s="28" t="s">
        <v>100</v>
      </c>
      <c r="I66" s="28" t="s">
        <v>101</v>
      </c>
      <c r="J66" s="28" t="s">
        <v>120</v>
      </c>
      <c r="K66" s="28" t="s">
        <v>123</v>
      </c>
      <c r="L66" s="73">
        <f t="shared" si="3"/>
        <v>-218991.22560000001</v>
      </c>
      <c r="M66" s="6">
        <f t="shared" si="4"/>
        <v>0</v>
      </c>
    </row>
    <row r="67" spans="2:13" x14ac:dyDescent="0.25">
      <c r="B67" s="55">
        <v>40179</v>
      </c>
      <c r="C67" s="28">
        <v>0</v>
      </c>
      <c r="D67" s="28" t="s">
        <v>98</v>
      </c>
      <c r="E67" s="28">
        <v>165</v>
      </c>
      <c r="F67" s="28" t="s">
        <v>99</v>
      </c>
      <c r="G67" s="28">
        <v>-112256.006970548</v>
      </c>
      <c r="H67" s="28" t="s">
        <v>100</v>
      </c>
      <c r="I67" s="28" t="s">
        <v>101</v>
      </c>
      <c r="J67" s="28" t="s">
        <v>124</v>
      </c>
      <c r="K67" s="28" t="s">
        <v>125</v>
      </c>
      <c r="L67" s="73">
        <f t="shared" si="3"/>
        <v>-112256.0064</v>
      </c>
      <c r="M67" s="6">
        <f t="shared" si="4"/>
        <v>0</v>
      </c>
    </row>
    <row r="68" spans="2:13" x14ac:dyDescent="0.25">
      <c r="B68" s="55">
        <v>40179</v>
      </c>
      <c r="C68" s="28">
        <v>0</v>
      </c>
      <c r="D68" s="28" t="s">
        <v>98</v>
      </c>
      <c r="E68" s="28">
        <v>165</v>
      </c>
      <c r="F68" s="28" t="s">
        <v>99</v>
      </c>
      <c r="G68" s="28">
        <v>129125.079056287</v>
      </c>
      <c r="H68" s="28" t="s">
        <v>100</v>
      </c>
      <c r="I68" s="28" t="s">
        <v>101</v>
      </c>
      <c r="J68" s="28" t="s">
        <v>124</v>
      </c>
      <c r="K68" s="28" t="s">
        <v>126</v>
      </c>
      <c r="L68" s="73">
        <f t="shared" si="3"/>
        <v>129125.0784</v>
      </c>
      <c r="M68" s="6">
        <f t="shared" si="4"/>
        <v>0</v>
      </c>
    </row>
    <row r="69" spans="2:13" x14ac:dyDescent="0.25">
      <c r="B69" s="55">
        <v>40179</v>
      </c>
      <c r="C69" s="28">
        <v>0</v>
      </c>
      <c r="D69" s="28" t="s">
        <v>98</v>
      </c>
      <c r="E69" s="28">
        <v>165</v>
      </c>
      <c r="F69" s="28" t="s">
        <v>99</v>
      </c>
      <c r="G69" s="28">
        <v>-218991.226713037</v>
      </c>
      <c r="H69" s="28" t="s">
        <v>100</v>
      </c>
      <c r="I69" s="28" t="s">
        <v>101</v>
      </c>
      <c r="J69" s="28" t="s">
        <v>124</v>
      </c>
      <c r="K69" s="28" t="s">
        <v>127</v>
      </c>
      <c r="L69" s="73">
        <f t="shared" si="3"/>
        <v>-218991.22560000001</v>
      </c>
      <c r="M69" s="6">
        <f t="shared" si="4"/>
        <v>0</v>
      </c>
    </row>
    <row r="70" spans="2:13" x14ac:dyDescent="0.25">
      <c r="B70" s="55">
        <v>40179</v>
      </c>
      <c r="C70" s="28">
        <v>0</v>
      </c>
      <c r="D70" s="28" t="s">
        <v>98</v>
      </c>
      <c r="E70" s="28">
        <v>165</v>
      </c>
      <c r="F70" s="28" t="s">
        <v>99</v>
      </c>
      <c r="G70" s="28">
        <v>-9967241.0199277792</v>
      </c>
      <c r="H70" s="28" t="s">
        <v>100</v>
      </c>
      <c r="I70" s="28" t="s">
        <v>101</v>
      </c>
      <c r="J70" s="28" t="s">
        <v>171</v>
      </c>
      <c r="K70" s="28" t="s">
        <v>173</v>
      </c>
      <c r="L70" s="73">
        <f t="shared" si="3"/>
        <v>-9967241.0145440623</v>
      </c>
      <c r="M70" s="6">
        <f t="shared" si="4"/>
        <v>0</v>
      </c>
    </row>
    <row r="71" spans="2:13" x14ac:dyDescent="0.25">
      <c r="B71" s="55">
        <v>40817</v>
      </c>
      <c r="C71" s="28">
        <v>0</v>
      </c>
      <c r="D71" s="28" t="s">
        <v>140</v>
      </c>
      <c r="E71" s="28">
        <v>165</v>
      </c>
      <c r="F71" s="28" t="s">
        <v>99</v>
      </c>
      <c r="G71" s="28">
        <v>482200.83343587402</v>
      </c>
      <c r="H71" s="28" t="s">
        <v>100</v>
      </c>
      <c r="I71" s="28" t="s">
        <v>101</v>
      </c>
      <c r="J71" s="28" t="s">
        <v>172</v>
      </c>
      <c r="K71" s="28" t="s">
        <v>173</v>
      </c>
      <c r="L71" s="73">
        <f t="shared" si="3"/>
        <v>655290.03516659315</v>
      </c>
      <c r="M71" s="6">
        <f t="shared" si="4"/>
        <v>-0.26414136098790975</v>
      </c>
    </row>
    <row r="72" spans="2:13" x14ac:dyDescent="0.25">
      <c r="B72" s="55">
        <v>40179</v>
      </c>
      <c r="C72" s="28">
        <v>0</v>
      </c>
      <c r="D72" s="28" t="s">
        <v>98</v>
      </c>
      <c r="E72" s="28">
        <v>165</v>
      </c>
      <c r="F72" s="28" t="s">
        <v>99</v>
      </c>
      <c r="G72" s="28">
        <v>-10299482.387258699</v>
      </c>
      <c r="H72" s="28" t="s">
        <v>100</v>
      </c>
      <c r="I72" s="28" t="s">
        <v>101</v>
      </c>
      <c r="J72" s="28" t="s">
        <v>124</v>
      </c>
      <c r="K72" s="28" t="s">
        <v>174</v>
      </c>
      <c r="L72" s="73">
        <f t="shared" si="3"/>
        <v>-10299482.381695531</v>
      </c>
      <c r="M72" s="6">
        <f t="shared" si="4"/>
        <v>0</v>
      </c>
    </row>
    <row r="73" spans="2:13" x14ac:dyDescent="0.25">
      <c r="B73" s="55">
        <v>40179</v>
      </c>
      <c r="C73" s="28">
        <v>0</v>
      </c>
      <c r="D73" s="28" t="s">
        <v>98</v>
      </c>
      <c r="E73" s="28">
        <v>165</v>
      </c>
      <c r="F73" s="28" t="s">
        <v>99</v>
      </c>
      <c r="G73" s="28">
        <v>-237772.80120849601</v>
      </c>
      <c r="H73" s="28" t="s">
        <v>100</v>
      </c>
      <c r="I73" s="28" t="s">
        <v>101</v>
      </c>
      <c r="J73" s="28" t="s">
        <v>175</v>
      </c>
      <c r="K73" s="28" t="s">
        <v>176</v>
      </c>
      <c r="L73" s="73">
        <f t="shared" si="3"/>
        <v>-237772.80000000002</v>
      </c>
      <c r="M73" s="6">
        <f t="shared" si="4"/>
        <v>0</v>
      </c>
    </row>
    <row r="74" spans="2:13" x14ac:dyDescent="0.25">
      <c r="B74" s="55">
        <v>40179</v>
      </c>
      <c r="C74" s="28">
        <v>0</v>
      </c>
      <c r="D74" s="28" t="s">
        <v>98</v>
      </c>
      <c r="E74" s="28">
        <v>165</v>
      </c>
      <c r="F74" s="28" t="s">
        <v>99</v>
      </c>
      <c r="G74" s="28">
        <v>297216.00151062</v>
      </c>
      <c r="H74" s="28" t="s">
        <v>100</v>
      </c>
      <c r="I74" s="28" t="s">
        <v>101</v>
      </c>
      <c r="J74" s="28" t="s">
        <v>175</v>
      </c>
      <c r="K74" s="28" t="s">
        <v>177</v>
      </c>
      <c r="L74" s="73">
        <f t="shared" si="3"/>
        <v>297216</v>
      </c>
      <c r="M74" s="6">
        <f t="shared" si="4"/>
        <v>0</v>
      </c>
    </row>
    <row r="75" spans="2:13" x14ac:dyDescent="0.25">
      <c r="B75" s="55">
        <v>40179</v>
      </c>
      <c r="C75" s="28">
        <v>0</v>
      </c>
      <c r="D75" s="28" t="s">
        <v>98</v>
      </c>
      <c r="E75" s="28">
        <v>165</v>
      </c>
      <c r="F75" s="28" t="s">
        <v>99</v>
      </c>
      <c r="G75" s="28">
        <v>-237772.80120849601</v>
      </c>
      <c r="H75" s="28" t="s">
        <v>100</v>
      </c>
      <c r="I75" s="28" t="s">
        <v>101</v>
      </c>
      <c r="J75" s="28" t="s">
        <v>178</v>
      </c>
      <c r="K75" s="28" t="s">
        <v>179</v>
      </c>
      <c r="L75" s="73">
        <f t="shared" si="3"/>
        <v>-237772.80000000002</v>
      </c>
      <c r="M75" s="6">
        <f t="shared" si="4"/>
        <v>0</v>
      </c>
    </row>
    <row r="76" spans="2:13" x14ac:dyDescent="0.25">
      <c r="B76" s="55">
        <v>40817</v>
      </c>
      <c r="C76" s="28">
        <v>0</v>
      </c>
      <c r="D76" s="28" t="s">
        <v>140</v>
      </c>
      <c r="E76" s="28">
        <v>165</v>
      </c>
      <c r="F76" s="28" t="s">
        <v>99</v>
      </c>
      <c r="G76" s="28">
        <v>34.972860770791797</v>
      </c>
      <c r="H76" s="28" t="s">
        <v>100</v>
      </c>
      <c r="I76" s="28" t="s">
        <v>101</v>
      </c>
      <c r="J76" s="28" t="s">
        <v>180</v>
      </c>
      <c r="K76" s="28" t="s">
        <v>179</v>
      </c>
      <c r="L76" s="73">
        <f t="shared" si="3"/>
        <v>55.335325926432233</v>
      </c>
      <c r="M76" s="6">
        <f t="shared" si="4"/>
        <v>-0.36798310689833347</v>
      </c>
    </row>
    <row r="77" spans="2:13" x14ac:dyDescent="0.25">
      <c r="B77" s="55">
        <v>40179</v>
      </c>
      <c r="C77" s="28">
        <v>0</v>
      </c>
      <c r="D77" s="28" t="s">
        <v>98</v>
      </c>
      <c r="E77" s="28">
        <v>165</v>
      </c>
      <c r="F77" s="28" t="s">
        <v>99</v>
      </c>
      <c r="G77" s="28">
        <v>297216.00151062</v>
      </c>
      <c r="H77" s="28" t="s">
        <v>100</v>
      </c>
      <c r="I77" s="28" t="s">
        <v>101</v>
      </c>
      <c r="J77" s="28" t="s">
        <v>178</v>
      </c>
      <c r="K77" s="28" t="s">
        <v>181</v>
      </c>
      <c r="L77" s="73">
        <f t="shared" si="3"/>
        <v>297216</v>
      </c>
      <c r="M77" s="6">
        <f t="shared" si="4"/>
        <v>0</v>
      </c>
    </row>
    <row r="78" spans="2:13" x14ac:dyDescent="0.25">
      <c r="B78" s="55">
        <v>40817</v>
      </c>
      <c r="C78" s="28">
        <v>0</v>
      </c>
      <c r="D78" s="28" t="s">
        <v>140</v>
      </c>
      <c r="E78" s="28">
        <v>165</v>
      </c>
      <c r="F78" s="28" t="s">
        <v>99</v>
      </c>
      <c r="G78" s="28">
        <v>-34.972860770791797</v>
      </c>
      <c r="H78" s="28" t="s">
        <v>100</v>
      </c>
      <c r="I78" s="28" t="s">
        <v>101</v>
      </c>
      <c r="J78" s="28" t="s">
        <v>180</v>
      </c>
      <c r="K78" s="28" t="s">
        <v>181</v>
      </c>
      <c r="L78" s="73">
        <f t="shared" si="3"/>
        <v>-55.335325926432233</v>
      </c>
      <c r="M78" s="6">
        <f t="shared" si="4"/>
        <v>-0.36798310689833347</v>
      </c>
    </row>
    <row r="79" spans="2:13" x14ac:dyDescent="0.25">
      <c r="B79" s="55">
        <v>40179</v>
      </c>
      <c r="C79" s="28">
        <v>0</v>
      </c>
      <c r="D79" s="28" t="s">
        <v>98</v>
      </c>
      <c r="E79" s="28">
        <v>165</v>
      </c>
      <c r="F79" s="28" t="s">
        <v>99</v>
      </c>
      <c r="G79" s="28">
        <v>-11167777.0531404</v>
      </c>
      <c r="H79" s="28" t="s">
        <v>100</v>
      </c>
      <c r="I79" s="28" t="s">
        <v>101</v>
      </c>
      <c r="J79" s="28" t="s">
        <v>178</v>
      </c>
      <c r="K79" s="28" t="s">
        <v>182</v>
      </c>
      <c r="L79" s="73">
        <f t="shared" si="3"/>
        <v>-11167777.047108192</v>
      </c>
      <c r="M79" s="6">
        <f t="shared" si="4"/>
        <v>0</v>
      </c>
    </row>
    <row r="80" spans="2:13" x14ac:dyDescent="0.25">
      <c r="B80" s="55">
        <v>40817</v>
      </c>
      <c r="C80" s="28">
        <v>0</v>
      </c>
      <c r="D80" s="28" t="s">
        <v>140</v>
      </c>
      <c r="E80" s="28">
        <v>165</v>
      </c>
      <c r="F80" s="28" t="s">
        <v>99</v>
      </c>
      <c r="G80" s="28">
        <v>53157115.609608397</v>
      </c>
      <c r="H80" s="28" t="s">
        <v>100</v>
      </c>
      <c r="I80" s="28" t="s">
        <v>101</v>
      </c>
      <c r="J80" s="28" t="s">
        <v>180</v>
      </c>
      <c r="K80" s="28" t="s">
        <v>182</v>
      </c>
      <c r="L80" s="73">
        <f t="shared" si="3"/>
        <v>55034359.946516529</v>
      </c>
      <c r="M80" s="6">
        <f t="shared" si="4"/>
        <v>-3.4110405549051093E-2</v>
      </c>
    </row>
    <row r="81" spans="2:13" x14ac:dyDescent="0.25">
      <c r="B81" s="55">
        <v>40179</v>
      </c>
      <c r="C81" s="28">
        <v>0</v>
      </c>
      <c r="D81" s="28" t="s">
        <v>98</v>
      </c>
      <c r="E81" s="28">
        <v>165</v>
      </c>
      <c r="F81" s="28" t="s">
        <v>99</v>
      </c>
      <c r="G81" s="28">
        <v>13959721.3164255</v>
      </c>
      <c r="H81" s="28" t="s">
        <v>100</v>
      </c>
      <c r="I81" s="28" t="s">
        <v>101</v>
      </c>
      <c r="J81" s="28" t="s">
        <v>178</v>
      </c>
      <c r="K81" s="28" t="s">
        <v>183</v>
      </c>
      <c r="L81" s="73">
        <f t="shared" si="3"/>
        <v>13959721.308885241</v>
      </c>
      <c r="M81" s="6">
        <f t="shared" si="4"/>
        <v>0</v>
      </c>
    </row>
    <row r="82" spans="2:13" x14ac:dyDescent="0.25">
      <c r="B82" s="55">
        <v>40817</v>
      </c>
      <c r="C82" s="28">
        <v>0</v>
      </c>
      <c r="D82" s="28" t="s">
        <v>140</v>
      </c>
      <c r="E82" s="28">
        <v>165</v>
      </c>
      <c r="F82" s="28" t="s">
        <v>99</v>
      </c>
      <c r="G82" s="28">
        <v>-53157115.609608397</v>
      </c>
      <c r="H82" s="28" t="s">
        <v>100</v>
      </c>
      <c r="I82" s="28" t="s">
        <v>101</v>
      </c>
      <c r="J82" s="28" t="s">
        <v>180</v>
      </c>
      <c r="K82" s="28" t="s">
        <v>183</v>
      </c>
      <c r="L82" s="73">
        <f t="shared" si="3"/>
        <v>-55034359.946516529</v>
      </c>
      <c r="M82" s="6">
        <f t="shared" si="4"/>
        <v>-3.4110405549051093E-2</v>
      </c>
    </row>
    <row r="83" spans="2:13" x14ac:dyDescent="0.25">
      <c r="B83" s="55">
        <v>40179</v>
      </c>
      <c r="C83" s="28">
        <v>0</v>
      </c>
      <c r="D83" s="28" t="s">
        <v>98</v>
      </c>
      <c r="E83" s="28">
        <v>165</v>
      </c>
      <c r="F83" s="28" t="s">
        <v>99</v>
      </c>
      <c r="G83" s="28">
        <v>-11167777.0531404</v>
      </c>
      <c r="H83" s="28" t="s">
        <v>100</v>
      </c>
      <c r="I83" s="28" t="s">
        <v>101</v>
      </c>
      <c r="J83" s="28" t="s">
        <v>184</v>
      </c>
      <c r="K83" s="28" t="s">
        <v>185</v>
      </c>
      <c r="L83" s="73">
        <f t="shared" si="3"/>
        <v>-11167777.047108192</v>
      </c>
      <c r="M83" s="6">
        <f t="shared" si="4"/>
        <v>0</v>
      </c>
    </row>
    <row r="84" spans="2:13" x14ac:dyDescent="0.25">
      <c r="B84" s="55">
        <v>40179</v>
      </c>
      <c r="C84" s="28">
        <v>0</v>
      </c>
      <c r="D84" s="28" t="s">
        <v>98</v>
      </c>
      <c r="E84" s="28">
        <v>165</v>
      </c>
      <c r="F84" s="28" t="s">
        <v>99</v>
      </c>
      <c r="G84" s="28">
        <v>13959721.3164255</v>
      </c>
      <c r="H84" s="28" t="s">
        <v>100</v>
      </c>
      <c r="I84" s="28" t="s">
        <v>101</v>
      </c>
      <c r="J84" s="28" t="s">
        <v>184</v>
      </c>
      <c r="K84" s="28" t="s">
        <v>186</v>
      </c>
      <c r="L84" s="73">
        <f t="shared" si="3"/>
        <v>13959721.308885241</v>
      </c>
      <c r="M84" s="6">
        <f t="shared" si="4"/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M87"/>
  <sheetViews>
    <sheetView topLeftCell="B1" workbookViewId="0">
      <selection activeCell="I35" sqref="I35"/>
    </sheetView>
  </sheetViews>
  <sheetFormatPr baseColWidth="10" defaultColWidth="11.42578125" defaultRowHeight="15" x14ac:dyDescent="0.25"/>
  <cols>
    <col min="1" max="1" width="11.42578125" style="81"/>
    <col min="2" max="2" width="22.5703125" style="81" bestFit="1" customWidth="1"/>
    <col min="3" max="3" width="35.28515625" style="81" bestFit="1" customWidth="1"/>
    <col min="4" max="4" width="13.5703125" style="81" bestFit="1" customWidth="1"/>
    <col min="5" max="6" width="11.42578125" style="81"/>
    <col min="7" max="8" width="35.28515625" style="81" bestFit="1" customWidth="1"/>
    <col min="9" max="9" width="11.42578125" style="81"/>
    <col min="10" max="10" width="38.85546875" style="81" bestFit="1" customWidth="1"/>
    <col min="11" max="11" width="22.42578125" style="81" bestFit="1" customWidth="1"/>
    <col min="12" max="12" width="14.28515625" style="81" bestFit="1" customWidth="1"/>
    <col min="13" max="16384" width="11.42578125" style="81"/>
  </cols>
  <sheetData>
    <row r="2" spans="2:13" x14ac:dyDescent="0.25">
      <c r="H2" s="81" t="s">
        <v>217</v>
      </c>
    </row>
    <row r="3" spans="2:13" ht="27.75" customHeight="1" x14ac:dyDescent="0.25">
      <c r="D3" s="81" t="s">
        <v>210</v>
      </c>
      <c r="E3" s="42" t="s">
        <v>211</v>
      </c>
      <c r="G3" s="81" t="s">
        <v>201</v>
      </c>
      <c r="H3" s="81">
        <v>25.45</v>
      </c>
    </row>
    <row r="4" spans="2:13" ht="15" customHeight="1" x14ac:dyDescent="0.25">
      <c r="B4" s="28" t="s">
        <v>80</v>
      </c>
      <c r="D4" s="81" t="s">
        <v>74</v>
      </c>
      <c r="E4" s="42" t="s">
        <v>215</v>
      </c>
      <c r="G4" s="81" t="s">
        <v>202</v>
      </c>
      <c r="H4" s="81">
        <v>65.349999999999994</v>
      </c>
    </row>
    <row r="5" spans="2:13" x14ac:dyDescent="0.25">
      <c r="B5" s="35" t="s">
        <v>76</v>
      </c>
      <c r="D5" s="81" t="s">
        <v>77</v>
      </c>
      <c r="E5" s="88">
        <v>40844</v>
      </c>
      <c r="G5" s="81" t="s">
        <v>194</v>
      </c>
      <c r="H5" s="81">
        <v>25.02</v>
      </c>
      <c r="L5" s="35"/>
      <c r="M5" s="35"/>
    </row>
    <row r="6" spans="2:13" x14ac:dyDescent="0.25">
      <c r="B6" s="4" t="s">
        <v>78</v>
      </c>
      <c r="G6" s="81" t="s">
        <v>195</v>
      </c>
      <c r="H6" s="81">
        <v>25.02</v>
      </c>
      <c r="L6" s="35"/>
      <c r="M6" s="35"/>
    </row>
    <row r="7" spans="2:13" x14ac:dyDescent="0.25">
      <c r="B7" s="6" t="s">
        <v>79</v>
      </c>
      <c r="G7" s="81" t="s">
        <v>198</v>
      </c>
      <c r="H7" s="81">
        <v>60.75</v>
      </c>
    </row>
    <row r="8" spans="2:13" x14ac:dyDescent="0.25">
      <c r="B8" s="6"/>
      <c r="G8" s="81" t="s">
        <v>196</v>
      </c>
      <c r="H8" s="81">
        <v>0</v>
      </c>
    </row>
    <row r="9" spans="2:13" x14ac:dyDescent="0.25">
      <c r="B9" s="6"/>
      <c r="G9" s="81" t="s">
        <v>197</v>
      </c>
      <c r="H9" s="81">
        <v>0</v>
      </c>
    </row>
    <row r="10" spans="2:13" x14ac:dyDescent="0.25">
      <c r="B10" s="66"/>
      <c r="G10" s="81" t="s">
        <v>199</v>
      </c>
      <c r="H10" s="81">
        <v>0</v>
      </c>
    </row>
    <row r="11" spans="2:13" x14ac:dyDescent="0.25">
      <c r="B11" s="35"/>
      <c r="C11" s="35" t="s">
        <v>206</v>
      </c>
      <c r="D11" s="35" t="s">
        <v>207</v>
      </c>
      <c r="G11" s="81" t="s">
        <v>200</v>
      </c>
      <c r="H11" s="81">
        <v>0</v>
      </c>
    </row>
    <row r="12" spans="2:13" x14ac:dyDescent="0.25">
      <c r="B12" s="35" t="s">
        <v>145</v>
      </c>
      <c r="C12" s="35">
        <v>1</v>
      </c>
      <c r="D12" s="35">
        <v>1</v>
      </c>
      <c r="G12" s="81" t="s">
        <v>203</v>
      </c>
      <c r="H12" s="81">
        <v>0</v>
      </c>
    </row>
    <row r="13" spans="2:13" x14ac:dyDescent="0.25">
      <c r="B13" s="35" t="s">
        <v>188</v>
      </c>
      <c r="C13" s="35">
        <v>1.1369550771160699</v>
      </c>
      <c r="D13" s="35">
        <v>8.7299051003775805</v>
      </c>
      <c r="G13" s="81" t="s">
        <v>192</v>
      </c>
      <c r="H13" s="81">
        <v>0</v>
      </c>
    </row>
    <row r="14" spans="2:13" x14ac:dyDescent="0.25">
      <c r="G14" s="81" t="s">
        <v>193</v>
      </c>
      <c r="H14" s="81">
        <v>0</v>
      </c>
    </row>
    <row r="16" spans="2:13" x14ac:dyDescent="0.25">
      <c r="B16" s="35" t="s">
        <v>97</v>
      </c>
      <c r="C16" s="35" t="s">
        <v>187</v>
      </c>
      <c r="D16" s="35" t="s">
        <v>189</v>
      </c>
      <c r="E16" s="35" t="s">
        <v>190</v>
      </c>
      <c r="F16" s="35" t="s">
        <v>92</v>
      </c>
      <c r="G16" s="35" t="s">
        <v>205</v>
      </c>
      <c r="H16" s="4" t="s">
        <v>41</v>
      </c>
      <c r="I16" s="4" t="s">
        <v>48</v>
      </c>
      <c r="J16" s="4" t="s">
        <v>204</v>
      </c>
      <c r="K16" s="4" t="s">
        <v>216</v>
      </c>
    </row>
    <row r="17" spans="2:11" x14ac:dyDescent="0.25">
      <c r="B17" s="35" t="s">
        <v>103</v>
      </c>
      <c r="C17" s="35" t="s">
        <v>192</v>
      </c>
      <c r="D17" s="74">
        <v>3600</v>
      </c>
      <c r="E17" s="35">
        <v>3.66</v>
      </c>
      <c r="F17" s="35" t="s">
        <v>145</v>
      </c>
      <c r="G17" s="35">
        <f>IF(F17="EUR",1,0.01)</f>
        <v>1</v>
      </c>
      <c r="H17" s="4">
        <f>VLOOKUP(C17,'PosMon-EUR-MtM-VolSurf'!$AK$12:$AS$24,5,FALSE)</f>
        <v>0</v>
      </c>
      <c r="I17" s="4">
        <f>H17*D17*G17*VLOOKUP(F17,$B$11:$D$13,3,FALSE)*VLOOKUP(C17,$G$2:$H$14,2,FALSE)</f>
        <v>0</v>
      </c>
      <c r="J17" s="4">
        <f t="shared" ref="J17:J44" si="0">E17*-D17*G17*VLOOKUP(F17,$B$11:$D$13,2,FALSE)</f>
        <v>-13176</v>
      </c>
      <c r="K17" s="81">
        <f>VLOOKUP(C17,$G$2:$H$14,2,FALSE)</f>
        <v>0</v>
      </c>
    </row>
    <row r="18" spans="2:11" x14ac:dyDescent="0.25">
      <c r="B18" s="35" t="s">
        <v>104</v>
      </c>
      <c r="C18" s="35" t="s">
        <v>192</v>
      </c>
      <c r="D18" s="74">
        <v>-3600</v>
      </c>
      <c r="E18" s="35">
        <v>4.21</v>
      </c>
      <c r="F18" s="35" t="s">
        <v>145</v>
      </c>
      <c r="G18" s="35">
        <f t="shared" ref="G18:G44" si="1">IF(F18="EUR",1,0.01)</f>
        <v>1</v>
      </c>
      <c r="H18" s="4">
        <f>VLOOKUP(C18,'PosMon-EUR-MtM-VolSurf'!$AK$12:$AS$24,5,FALSE)</f>
        <v>0</v>
      </c>
      <c r="I18" s="4">
        <f t="shared" ref="I18:I44" si="2">H18*D18*G18*VLOOKUP(F18,$B$11:$D$13,3,FALSE)*VLOOKUP(C18,$G$2:$H$14,2,FALSE)</f>
        <v>0</v>
      </c>
      <c r="J18" s="4">
        <f t="shared" si="0"/>
        <v>15156</v>
      </c>
      <c r="K18" s="81">
        <f t="shared" ref="K18:K44" si="3">VLOOKUP(C18,$G$2:$H$14,2,FALSE)</f>
        <v>0</v>
      </c>
    </row>
    <row r="19" spans="2:11" x14ac:dyDescent="0.25">
      <c r="B19" s="35" t="s">
        <v>105</v>
      </c>
      <c r="C19" s="35" t="s">
        <v>192</v>
      </c>
      <c r="D19" s="74">
        <v>7200</v>
      </c>
      <c r="E19" s="35">
        <v>3.57</v>
      </c>
      <c r="F19" s="35" t="s">
        <v>145</v>
      </c>
      <c r="G19" s="35">
        <f t="shared" si="1"/>
        <v>1</v>
      </c>
      <c r="H19" s="4">
        <f>VLOOKUP(C19,'PosMon-EUR-MtM-VolSurf'!$AK$12:$AS$24,5,FALSE)</f>
        <v>0</v>
      </c>
      <c r="I19" s="4">
        <f t="shared" si="2"/>
        <v>0</v>
      </c>
      <c r="J19" s="4">
        <f t="shared" si="0"/>
        <v>-25704</v>
      </c>
      <c r="K19" s="81">
        <f t="shared" si="3"/>
        <v>0</v>
      </c>
    </row>
    <row r="20" spans="2:11" x14ac:dyDescent="0.25">
      <c r="B20" s="35" t="s">
        <v>107</v>
      </c>
      <c r="C20" s="35" t="s">
        <v>193</v>
      </c>
      <c r="D20" s="74">
        <v>3600</v>
      </c>
      <c r="E20" s="35">
        <v>3.66</v>
      </c>
      <c r="F20" s="35" t="s">
        <v>145</v>
      </c>
      <c r="G20" s="35">
        <f t="shared" si="1"/>
        <v>1</v>
      </c>
      <c r="H20" s="4">
        <f>VLOOKUP(C20,'PosMon-EUR-MtM-VolSurf'!$AK$12:$AS$24,5,FALSE)</f>
        <v>0</v>
      </c>
      <c r="I20" s="4">
        <f t="shared" si="2"/>
        <v>0</v>
      </c>
      <c r="J20" s="4">
        <f t="shared" si="0"/>
        <v>-13176</v>
      </c>
      <c r="K20" s="81">
        <f t="shared" si="3"/>
        <v>0</v>
      </c>
    </row>
    <row r="21" spans="2:11" x14ac:dyDescent="0.25">
      <c r="B21" s="35" t="s">
        <v>108</v>
      </c>
      <c r="C21" s="35" t="s">
        <v>193</v>
      </c>
      <c r="D21" s="74">
        <v>-3600</v>
      </c>
      <c r="E21" s="35">
        <v>4.21</v>
      </c>
      <c r="F21" s="35" t="s">
        <v>145</v>
      </c>
      <c r="G21" s="35">
        <f t="shared" si="1"/>
        <v>1</v>
      </c>
      <c r="H21" s="4">
        <f>VLOOKUP(C21,'PosMon-EUR-MtM-VolSurf'!$AK$12:$AS$24,5,FALSE)</f>
        <v>0</v>
      </c>
      <c r="I21" s="4">
        <f t="shared" si="2"/>
        <v>0</v>
      </c>
      <c r="J21" s="4">
        <f t="shared" si="0"/>
        <v>15156</v>
      </c>
      <c r="K21" s="81">
        <f t="shared" si="3"/>
        <v>0</v>
      </c>
    </row>
    <row r="22" spans="2:11" x14ac:dyDescent="0.25">
      <c r="B22" s="35" t="s">
        <v>109</v>
      </c>
      <c r="C22" s="35" t="s">
        <v>193</v>
      </c>
      <c r="D22" s="74">
        <v>7200</v>
      </c>
      <c r="E22" s="35">
        <v>3.57</v>
      </c>
      <c r="F22" s="35" t="s">
        <v>145</v>
      </c>
      <c r="G22" s="35">
        <f t="shared" si="1"/>
        <v>1</v>
      </c>
      <c r="H22" s="4">
        <f>VLOOKUP(C22,'PosMon-EUR-MtM-VolSurf'!$AK$12:$AS$24,5,FALSE)</f>
        <v>0</v>
      </c>
      <c r="I22" s="4">
        <f t="shared" si="2"/>
        <v>0</v>
      </c>
      <c r="J22" s="4">
        <f t="shared" si="0"/>
        <v>-25704</v>
      </c>
      <c r="K22" s="81">
        <f t="shared" si="3"/>
        <v>0</v>
      </c>
    </row>
    <row r="23" spans="2:11" x14ac:dyDescent="0.25">
      <c r="B23" s="35" t="s">
        <v>111</v>
      </c>
      <c r="C23" s="35" t="s">
        <v>194</v>
      </c>
      <c r="D23" s="74">
        <v>3600</v>
      </c>
      <c r="E23" s="35">
        <v>3.66</v>
      </c>
      <c r="F23" s="35" t="s">
        <v>145</v>
      </c>
      <c r="G23" s="35">
        <f t="shared" si="1"/>
        <v>1</v>
      </c>
      <c r="H23" s="4">
        <f>VLOOKUP(C23,'PosMon-EUR-MtM-VolSurf'!$AK$12:$AS$24,5,FALSE)</f>
        <v>0.20479419727602677</v>
      </c>
      <c r="I23" s="4">
        <f>H23*D23*G23*VLOOKUP(F23,$B$11:$D$13,3,FALSE)*VLOOKUP(C23,$G$2:$H$14,2,FALSE)</f>
        <v>18446.222937046285</v>
      </c>
      <c r="J23" s="4">
        <f t="shared" si="0"/>
        <v>-13176</v>
      </c>
      <c r="K23" s="81">
        <f t="shared" si="3"/>
        <v>25.02</v>
      </c>
    </row>
    <row r="24" spans="2:11" x14ac:dyDescent="0.25">
      <c r="B24" s="35" t="s">
        <v>112</v>
      </c>
      <c r="C24" s="35" t="s">
        <v>194</v>
      </c>
      <c r="D24" s="74">
        <v>-3600</v>
      </c>
      <c r="E24" s="35">
        <v>4.21</v>
      </c>
      <c r="F24" s="35" t="s">
        <v>145</v>
      </c>
      <c r="G24" s="35">
        <f t="shared" si="1"/>
        <v>1</v>
      </c>
      <c r="H24" s="4">
        <f>VLOOKUP(C24,'PosMon-EUR-MtM-VolSurf'!$AK$12:$AS$24,5,FALSE)</f>
        <v>0.20479419727602677</v>
      </c>
      <c r="I24" s="4">
        <f t="shared" si="2"/>
        <v>-18446.222937046285</v>
      </c>
      <c r="J24" s="4">
        <f t="shared" si="0"/>
        <v>15156</v>
      </c>
      <c r="K24" s="81">
        <f t="shared" si="3"/>
        <v>25.02</v>
      </c>
    </row>
    <row r="25" spans="2:11" x14ac:dyDescent="0.25">
      <c r="B25" s="35" t="s">
        <v>113</v>
      </c>
      <c r="C25" s="35" t="s">
        <v>194</v>
      </c>
      <c r="D25" s="74">
        <v>7200</v>
      </c>
      <c r="E25" s="35">
        <v>3.57</v>
      </c>
      <c r="F25" s="35" t="s">
        <v>145</v>
      </c>
      <c r="G25" s="35">
        <f t="shared" si="1"/>
        <v>1</v>
      </c>
      <c r="H25" s="4">
        <f>VLOOKUP(C25,'PosMon-EUR-MtM-VolSurf'!$AK$12:$AS$24,5,FALSE)</f>
        <v>0.20479419727602677</v>
      </c>
      <c r="I25" s="4">
        <f t="shared" si="2"/>
        <v>36892.445874092569</v>
      </c>
      <c r="J25" s="4">
        <f t="shared" si="0"/>
        <v>-25704</v>
      </c>
      <c r="K25" s="81">
        <f t="shared" si="3"/>
        <v>25.02</v>
      </c>
    </row>
    <row r="26" spans="2:11" x14ac:dyDescent="0.25">
      <c r="B26" s="35" t="s">
        <v>115</v>
      </c>
      <c r="C26" s="35" t="s">
        <v>195</v>
      </c>
      <c r="D26" s="74">
        <v>3600</v>
      </c>
      <c r="E26" s="35">
        <v>3.66</v>
      </c>
      <c r="F26" s="35" t="s">
        <v>145</v>
      </c>
      <c r="G26" s="35">
        <f t="shared" si="1"/>
        <v>1</v>
      </c>
      <c r="H26" s="4">
        <f>VLOOKUP(C26,'PosMon-EUR-MtM-VolSurf'!$AK$12:$AS$24,5,FALSE)</f>
        <v>-0.78454133006955895</v>
      </c>
      <c r="I26" s="4">
        <f t="shared" si="2"/>
        <v>-70665.206682025309</v>
      </c>
      <c r="J26" s="4">
        <f t="shared" si="0"/>
        <v>-13176</v>
      </c>
      <c r="K26" s="81">
        <f t="shared" si="3"/>
        <v>25.02</v>
      </c>
    </row>
    <row r="27" spans="2:11" x14ac:dyDescent="0.25">
      <c r="B27" s="35" t="s">
        <v>118</v>
      </c>
      <c r="C27" s="35" t="s">
        <v>195</v>
      </c>
      <c r="D27" s="74">
        <v>-3600</v>
      </c>
      <c r="E27" s="35">
        <v>4.21</v>
      </c>
      <c r="F27" s="35" t="s">
        <v>145</v>
      </c>
      <c r="G27" s="35">
        <f t="shared" si="1"/>
        <v>1</v>
      </c>
      <c r="H27" s="4">
        <f>VLOOKUP(C27,'PosMon-EUR-MtM-VolSurf'!$AK$12:$AS$24,5,FALSE)</f>
        <v>-0.78454133006955895</v>
      </c>
      <c r="I27" s="4">
        <f t="shared" si="2"/>
        <v>70665.206682025309</v>
      </c>
      <c r="J27" s="4">
        <f t="shared" si="0"/>
        <v>15156</v>
      </c>
      <c r="K27" s="81">
        <f t="shared" si="3"/>
        <v>25.02</v>
      </c>
    </row>
    <row r="28" spans="2:11" x14ac:dyDescent="0.25">
      <c r="B28" s="35" t="s">
        <v>119</v>
      </c>
      <c r="C28" s="35" t="s">
        <v>195</v>
      </c>
      <c r="D28" s="74">
        <v>7200</v>
      </c>
      <c r="E28" s="35">
        <v>3.57</v>
      </c>
      <c r="F28" s="35" t="s">
        <v>145</v>
      </c>
      <c r="G28" s="35">
        <f t="shared" si="1"/>
        <v>1</v>
      </c>
      <c r="H28" s="4">
        <f>VLOOKUP(C28,'PosMon-EUR-MtM-VolSurf'!$AK$12:$AS$24,5,FALSE)</f>
        <v>-0.78454133006955895</v>
      </c>
      <c r="I28" s="4">
        <f t="shared" si="2"/>
        <v>-141330.41336405062</v>
      </c>
      <c r="J28" s="4">
        <f t="shared" si="0"/>
        <v>-25704</v>
      </c>
      <c r="K28" s="81">
        <f t="shared" si="3"/>
        <v>25.02</v>
      </c>
    </row>
    <row r="29" spans="2:11" x14ac:dyDescent="0.25">
      <c r="B29" s="35" t="s">
        <v>121</v>
      </c>
      <c r="C29" s="35" t="s">
        <v>196</v>
      </c>
      <c r="D29" s="74">
        <v>3715</v>
      </c>
      <c r="E29" s="35">
        <v>3.66</v>
      </c>
      <c r="F29" s="35" t="s">
        <v>145</v>
      </c>
      <c r="G29" s="35">
        <f t="shared" si="1"/>
        <v>1</v>
      </c>
      <c r="H29" s="4">
        <f>VLOOKUP(C29,'PosMon-EUR-MtM-VolSurf'!$AK$12:$AS$24,5,FALSE)</f>
        <v>0</v>
      </c>
      <c r="I29" s="4">
        <f t="shared" si="2"/>
        <v>0</v>
      </c>
      <c r="J29" s="4">
        <f t="shared" si="0"/>
        <v>-13596.9</v>
      </c>
      <c r="K29" s="81">
        <f t="shared" si="3"/>
        <v>0</v>
      </c>
    </row>
    <row r="30" spans="2:11" x14ac:dyDescent="0.25">
      <c r="B30" s="35" t="s">
        <v>122</v>
      </c>
      <c r="C30" s="35" t="s">
        <v>196</v>
      </c>
      <c r="D30" s="74">
        <v>-3715</v>
      </c>
      <c r="E30" s="35">
        <v>4.21</v>
      </c>
      <c r="F30" s="35" t="s">
        <v>145</v>
      </c>
      <c r="G30" s="35">
        <f t="shared" si="1"/>
        <v>1</v>
      </c>
      <c r="H30" s="4">
        <f>VLOOKUP(C30,'PosMon-EUR-MtM-VolSurf'!$AK$12:$AS$24,5,FALSE)</f>
        <v>0</v>
      </c>
      <c r="I30" s="4">
        <f t="shared" si="2"/>
        <v>0</v>
      </c>
      <c r="J30" s="4">
        <f t="shared" si="0"/>
        <v>15640.15</v>
      </c>
      <c r="K30" s="81">
        <f t="shared" si="3"/>
        <v>0</v>
      </c>
    </row>
    <row r="31" spans="2:11" x14ac:dyDescent="0.25">
      <c r="B31" s="35" t="s">
        <v>123</v>
      </c>
      <c r="C31" s="35" t="s">
        <v>196</v>
      </c>
      <c r="D31" s="74">
        <v>7430</v>
      </c>
      <c r="E31" s="35">
        <v>3.57</v>
      </c>
      <c r="F31" s="35" t="s">
        <v>145</v>
      </c>
      <c r="G31" s="35">
        <f t="shared" si="1"/>
        <v>1</v>
      </c>
      <c r="H31" s="4">
        <f>VLOOKUP(C31,'PosMon-EUR-MtM-VolSurf'!$AK$12:$AS$24,5,FALSE)</f>
        <v>0</v>
      </c>
      <c r="I31" s="4">
        <f t="shared" si="2"/>
        <v>0</v>
      </c>
      <c r="J31" s="4">
        <f t="shared" si="0"/>
        <v>-26525.1</v>
      </c>
      <c r="K31" s="81">
        <f t="shared" si="3"/>
        <v>0</v>
      </c>
    </row>
    <row r="32" spans="2:11" x14ac:dyDescent="0.25">
      <c r="B32" s="35" t="s">
        <v>125</v>
      </c>
      <c r="C32" s="35" t="s">
        <v>197</v>
      </c>
      <c r="D32" s="74">
        <v>3715</v>
      </c>
      <c r="E32" s="35">
        <v>3.66</v>
      </c>
      <c r="F32" s="35" t="s">
        <v>145</v>
      </c>
      <c r="G32" s="35">
        <f t="shared" si="1"/>
        <v>1</v>
      </c>
      <c r="H32" s="4">
        <f>VLOOKUP(C32,'PosMon-EUR-MtM-VolSurf'!$AK$12:$AS$24,5,FALSE)</f>
        <v>0</v>
      </c>
      <c r="I32" s="4">
        <f t="shared" si="2"/>
        <v>0</v>
      </c>
      <c r="J32" s="4">
        <f t="shared" si="0"/>
        <v>-13596.9</v>
      </c>
      <c r="K32" s="81">
        <f t="shared" si="3"/>
        <v>0</v>
      </c>
    </row>
    <row r="33" spans="2:13" x14ac:dyDescent="0.25">
      <c r="B33" s="35" t="s">
        <v>126</v>
      </c>
      <c r="C33" s="35" t="s">
        <v>197</v>
      </c>
      <c r="D33" s="74">
        <v>-3715</v>
      </c>
      <c r="E33" s="35">
        <v>4.21</v>
      </c>
      <c r="F33" s="35" t="s">
        <v>145</v>
      </c>
      <c r="G33" s="35">
        <f t="shared" si="1"/>
        <v>1</v>
      </c>
      <c r="H33" s="4">
        <f>VLOOKUP(C33,'PosMon-EUR-MtM-VolSurf'!$AK$12:$AS$24,5,FALSE)</f>
        <v>0</v>
      </c>
      <c r="I33" s="4">
        <f t="shared" si="2"/>
        <v>0</v>
      </c>
      <c r="J33" s="4">
        <f t="shared" si="0"/>
        <v>15640.15</v>
      </c>
      <c r="K33" s="81">
        <f t="shared" si="3"/>
        <v>0</v>
      </c>
    </row>
    <row r="34" spans="2:13" x14ac:dyDescent="0.25">
      <c r="B34" s="35" t="s">
        <v>127</v>
      </c>
      <c r="C34" s="35" t="s">
        <v>197</v>
      </c>
      <c r="D34" s="74">
        <v>7430</v>
      </c>
      <c r="E34" s="35">
        <v>3.57</v>
      </c>
      <c r="F34" s="35" t="s">
        <v>145</v>
      </c>
      <c r="G34" s="35">
        <f t="shared" si="1"/>
        <v>1</v>
      </c>
      <c r="H34" s="4">
        <f>VLOOKUP(C34,'PosMon-EUR-MtM-VolSurf'!$AK$12:$AS$24,5,FALSE)</f>
        <v>0</v>
      </c>
      <c r="I34" s="4">
        <f t="shared" si="2"/>
        <v>0</v>
      </c>
      <c r="J34" s="4">
        <f t="shared" si="0"/>
        <v>-26525.1</v>
      </c>
      <c r="K34" s="81">
        <f t="shared" si="3"/>
        <v>0</v>
      </c>
    </row>
    <row r="35" spans="2:13" x14ac:dyDescent="0.25">
      <c r="B35" s="35" t="s">
        <v>173</v>
      </c>
      <c r="C35" s="35" t="s">
        <v>198</v>
      </c>
      <c r="D35" s="74">
        <v>30000000</v>
      </c>
      <c r="E35" s="35">
        <v>3.57</v>
      </c>
      <c r="F35" s="35" t="s">
        <v>188</v>
      </c>
      <c r="G35" s="35">
        <f t="shared" si="1"/>
        <v>0.01</v>
      </c>
      <c r="H35" s="4">
        <f>VLOOKUP(C35,'PosMon-EUR-MtM-VolSurf'!$AK$12:$AS$24,5,FALSE)</f>
        <v>-0.1830490247419157</v>
      </c>
      <c r="I35" s="4">
        <f t="shared" si="2"/>
        <v>-29123561.203155212</v>
      </c>
      <c r="J35" s="4">
        <f t="shared" si="0"/>
        <v>-1217678.8875913108</v>
      </c>
      <c r="K35" s="81">
        <f t="shared" si="3"/>
        <v>60.75</v>
      </c>
    </row>
    <row r="36" spans="2:13" x14ac:dyDescent="0.25">
      <c r="B36" s="35" t="s">
        <v>174</v>
      </c>
      <c r="C36" s="35" t="s">
        <v>199</v>
      </c>
      <c r="D36" s="74">
        <v>31000000</v>
      </c>
      <c r="E36" s="35">
        <v>3.57</v>
      </c>
      <c r="F36" s="35" t="s">
        <v>188</v>
      </c>
      <c r="G36" s="35">
        <f t="shared" si="1"/>
        <v>0.01</v>
      </c>
      <c r="H36" s="4">
        <f>VLOOKUP(C36,'PosMon-EUR-MtM-VolSurf'!$AK$12:$AS$24,5,FALSE)</f>
        <v>0</v>
      </c>
      <c r="I36" s="4">
        <f t="shared" si="2"/>
        <v>0</v>
      </c>
      <c r="J36" s="4">
        <f t="shared" si="0"/>
        <v>-1258268.1838443545</v>
      </c>
      <c r="K36" s="81">
        <f t="shared" si="3"/>
        <v>0</v>
      </c>
    </row>
    <row r="37" spans="2:13" x14ac:dyDescent="0.25">
      <c r="B37" s="35" t="s">
        <v>176</v>
      </c>
      <c r="C37" s="35" t="s">
        <v>200</v>
      </c>
      <c r="D37" s="74">
        <v>7200</v>
      </c>
      <c r="E37" s="35">
        <v>4</v>
      </c>
      <c r="F37" s="35" t="s">
        <v>145</v>
      </c>
      <c r="G37" s="35">
        <f t="shared" si="1"/>
        <v>1</v>
      </c>
      <c r="H37" s="4">
        <f>VLOOKUP(C37,'PosMon-EUR-MtM-VolSurf'!$AK$12:$AS$24,5,FALSE)</f>
        <v>0</v>
      </c>
      <c r="I37" s="4">
        <f t="shared" si="2"/>
        <v>0</v>
      </c>
      <c r="J37" s="4">
        <f t="shared" si="0"/>
        <v>-28800</v>
      </c>
      <c r="K37" s="81">
        <f t="shared" si="3"/>
        <v>0</v>
      </c>
    </row>
    <row r="38" spans="2:13" x14ac:dyDescent="0.25">
      <c r="B38" s="35" t="s">
        <v>177</v>
      </c>
      <c r="C38" s="35" t="s">
        <v>200</v>
      </c>
      <c r="D38" s="74">
        <v>-7200</v>
      </c>
      <c r="E38" s="35">
        <v>5</v>
      </c>
      <c r="F38" s="35" t="s">
        <v>145</v>
      </c>
      <c r="G38" s="35">
        <f t="shared" si="1"/>
        <v>1</v>
      </c>
      <c r="H38" s="4">
        <f>VLOOKUP(C38,'PosMon-EUR-MtM-VolSurf'!$AK$12:$AS$24,5,FALSE)</f>
        <v>0</v>
      </c>
      <c r="I38" s="4">
        <f t="shared" si="2"/>
        <v>0</v>
      </c>
      <c r="J38" s="4">
        <f t="shared" si="0"/>
        <v>36000</v>
      </c>
      <c r="K38" s="81">
        <f t="shared" si="3"/>
        <v>0</v>
      </c>
    </row>
    <row r="39" spans="2:13" x14ac:dyDescent="0.25">
      <c r="B39" s="35" t="s">
        <v>179</v>
      </c>
      <c r="C39" s="35" t="s">
        <v>201</v>
      </c>
      <c r="D39" s="74">
        <v>7200</v>
      </c>
      <c r="E39" s="35">
        <v>4</v>
      </c>
      <c r="F39" s="35" t="s">
        <v>145</v>
      </c>
      <c r="G39" s="35">
        <f t="shared" si="1"/>
        <v>1</v>
      </c>
      <c r="H39" s="4">
        <f>VLOOKUP(C39,'PosMon-EUR-MtM-VolSurf'!$AK$12:$AS$24,5,FALSE)</f>
        <v>0.48639202272470727</v>
      </c>
      <c r="I39" s="4">
        <f t="shared" si="2"/>
        <v>89126.474244075362</v>
      </c>
      <c r="J39" s="4">
        <f t="shared" si="0"/>
        <v>-28800</v>
      </c>
      <c r="K39" s="81">
        <f t="shared" si="3"/>
        <v>25.45</v>
      </c>
    </row>
    <row r="40" spans="2:13" x14ac:dyDescent="0.25">
      <c r="B40" s="35" t="s">
        <v>181</v>
      </c>
      <c r="C40" s="35" t="s">
        <v>201</v>
      </c>
      <c r="D40" s="74">
        <v>-7200</v>
      </c>
      <c r="E40" s="35">
        <v>5</v>
      </c>
      <c r="F40" s="35" t="s">
        <v>145</v>
      </c>
      <c r="G40" s="35">
        <f t="shared" si="1"/>
        <v>1</v>
      </c>
      <c r="H40" s="4">
        <f>VLOOKUP(C40,'PosMon-EUR-MtM-VolSurf'!$AK$12:$AS$24,5,FALSE)</f>
        <v>0.48639202272470727</v>
      </c>
      <c r="I40" s="4">
        <f t="shared" si="2"/>
        <v>-89126.474244075362</v>
      </c>
      <c r="J40" s="4">
        <f t="shared" si="0"/>
        <v>36000</v>
      </c>
      <c r="K40" s="81">
        <f t="shared" si="3"/>
        <v>25.45</v>
      </c>
    </row>
    <row r="41" spans="2:13" x14ac:dyDescent="0.25">
      <c r="B41" s="35" t="s">
        <v>182</v>
      </c>
      <c r="C41" s="35" t="s">
        <v>202</v>
      </c>
      <c r="D41" s="74">
        <v>30000000</v>
      </c>
      <c r="E41" s="35">
        <v>4</v>
      </c>
      <c r="F41" s="35" t="s">
        <v>188</v>
      </c>
      <c r="G41" s="35">
        <f t="shared" si="1"/>
        <v>0.01</v>
      </c>
      <c r="H41" s="4">
        <f>VLOOKUP(C41,'PosMon-EUR-MtM-VolSurf'!$AK$12:$AS$24,5,FALSE)</f>
        <v>0.81052116272333374</v>
      </c>
      <c r="I41" s="4">
        <f t="shared" si="2"/>
        <v>138720526.37964112</v>
      </c>
      <c r="J41" s="4">
        <f t="shared" si="0"/>
        <v>-1364346.0925392839</v>
      </c>
      <c r="K41" s="81">
        <f t="shared" si="3"/>
        <v>65.349999999999994</v>
      </c>
    </row>
    <row r="42" spans="2:13" x14ac:dyDescent="0.25">
      <c r="B42" s="35" t="s">
        <v>183</v>
      </c>
      <c r="C42" s="35" t="s">
        <v>202</v>
      </c>
      <c r="D42" s="74">
        <v>-30000000</v>
      </c>
      <c r="E42" s="35">
        <v>5</v>
      </c>
      <c r="F42" s="35" t="s">
        <v>188</v>
      </c>
      <c r="G42" s="35">
        <f t="shared" si="1"/>
        <v>0.01</v>
      </c>
      <c r="H42" s="4">
        <f>VLOOKUP(C42,'PosMon-EUR-MtM-VolSurf'!$AK$12:$AS$24,5,FALSE)</f>
        <v>0.81052116272333374</v>
      </c>
      <c r="I42" s="4">
        <f t="shared" si="2"/>
        <v>-138720526.37964112</v>
      </c>
      <c r="J42" s="4">
        <f t="shared" si="0"/>
        <v>1705432.6156741048</v>
      </c>
      <c r="K42" s="81">
        <f t="shared" si="3"/>
        <v>65.349999999999994</v>
      </c>
    </row>
    <row r="43" spans="2:13" x14ac:dyDescent="0.25">
      <c r="B43" s="35" t="s">
        <v>185</v>
      </c>
      <c r="C43" s="35" t="s">
        <v>203</v>
      </c>
      <c r="D43" s="74">
        <v>30000000</v>
      </c>
      <c r="E43" s="35">
        <v>4</v>
      </c>
      <c r="F43" s="35" t="s">
        <v>188</v>
      </c>
      <c r="G43" s="35">
        <f t="shared" si="1"/>
        <v>0.01</v>
      </c>
      <c r="H43" s="4">
        <f>VLOOKUP(C43,'PosMon-EUR-MtM-VolSurf'!$AK$12:$AS$24,5,FALSE)</f>
        <v>0</v>
      </c>
      <c r="I43" s="4">
        <f t="shared" si="2"/>
        <v>0</v>
      </c>
      <c r="J43" s="4">
        <f t="shared" si="0"/>
        <v>-1364346.0925392839</v>
      </c>
      <c r="K43" s="81">
        <f t="shared" si="3"/>
        <v>0</v>
      </c>
    </row>
    <row r="44" spans="2:13" x14ac:dyDescent="0.25">
      <c r="B44" s="35" t="s">
        <v>186</v>
      </c>
      <c r="C44" s="35" t="s">
        <v>203</v>
      </c>
      <c r="D44" s="74">
        <v>-30000000</v>
      </c>
      <c r="E44" s="35">
        <v>5</v>
      </c>
      <c r="F44" s="35" t="s">
        <v>188</v>
      </c>
      <c r="G44" s="35">
        <f t="shared" si="1"/>
        <v>0.01</v>
      </c>
      <c r="H44" s="4">
        <f>VLOOKUP(C44,'PosMon-EUR-MtM-VolSurf'!$AK$12:$AS$24,5,FALSE)</f>
        <v>0</v>
      </c>
      <c r="I44" s="4">
        <f t="shared" si="2"/>
        <v>0</v>
      </c>
      <c r="J44" s="4">
        <f t="shared" si="0"/>
        <v>1705432.6156741048</v>
      </c>
      <c r="K44" s="81">
        <f t="shared" si="3"/>
        <v>0</v>
      </c>
    </row>
    <row r="48" spans="2:13" x14ac:dyDescent="0.25">
      <c r="B48" s="28" t="s">
        <v>88</v>
      </c>
      <c r="C48" s="28" t="s">
        <v>89</v>
      </c>
      <c r="D48" s="28" t="s">
        <v>90</v>
      </c>
      <c r="E48" s="28" t="s">
        <v>91</v>
      </c>
      <c r="F48" s="28" t="s">
        <v>92</v>
      </c>
      <c r="G48" s="28" t="s">
        <v>93</v>
      </c>
      <c r="H48" s="28" t="s">
        <v>94</v>
      </c>
      <c r="I48" s="28" t="s">
        <v>95</v>
      </c>
      <c r="J48" s="28" t="s">
        <v>96</v>
      </c>
      <c r="K48" s="28" t="s">
        <v>97</v>
      </c>
      <c r="L48" s="73" t="s">
        <v>208</v>
      </c>
      <c r="M48" s="41" t="s">
        <v>209</v>
      </c>
    </row>
    <row r="49" spans="2:13" x14ac:dyDescent="0.25">
      <c r="B49" s="55">
        <v>40179</v>
      </c>
      <c r="C49" s="28">
        <v>0</v>
      </c>
      <c r="D49" s="28" t="s">
        <v>98</v>
      </c>
      <c r="E49" s="28">
        <v>165</v>
      </c>
      <c r="F49" s="28" t="s">
        <v>145</v>
      </c>
      <c r="G49" s="28">
        <v>-13176</v>
      </c>
      <c r="H49" s="28" t="s">
        <v>100</v>
      </c>
      <c r="I49" s="28" t="s">
        <v>101</v>
      </c>
      <c r="J49" s="28" t="s">
        <v>102</v>
      </c>
      <c r="K49" s="28" t="s">
        <v>103</v>
      </c>
      <c r="L49" s="73">
        <f t="shared" ref="L49:L87" si="4">IF(ISNUMBER(SEARCH("Premium",J49)),VLOOKUP(K49,$B$16:$J$44,9,FALSE),VLOOKUP(K49,$B$16:$J$44,8,FALSE))</f>
        <v>-13176</v>
      </c>
      <c r="M49" s="6">
        <f>QaAssert(G49,L49)</f>
        <v>0</v>
      </c>
    </row>
    <row r="50" spans="2:13" x14ac:dyDescent="0.25">
      <c r="B50" s="55">
        <v>40179</v>
      </c>
      <c r="C50" s="28">
        <v>0</v>
      </c>
      <c r="D50" s="28" t="s">
        <v>98</v>
      </c>
      <c r="E50" s="28">
        <v>165</v>
      </c>
      <c r="F50" s="28" t="s">
        <v>145</v>
      </c>
      <c r="G50" s="28">
        <v>15156</v>
      </c>
      <c r="H50" s="28" t="s">
        <v>100</v>
      </c>
      <c r="I50" s="28" t="s">
        <v>101</v>
      </c>
      <c r="J50" s="28" t="s">
        <v>102</v>
      </c>
      <c r="K50" s="28" t="s">
        <v>104</v>
      </c>
      <c r="L50" s="73">
        <f t="shared" si="4"/>
        <v>15156</v>
      </c>
      <c r="M50" s="6">
        <f t="shared" ref="M50:M87" si="5">QaAssert(G50,L50)</f>
        <v>0</v>
      </c>
    </row>
    <row r="51" spans="2:13" x14ac:dyDescent="0.25">
      <c r="B51" s="55">
        <v>40179</v>
      </c>
      <c r="C51" s="28">
        <v>0</v>
      </c>
      <c r="D51" s="28" t="s">
        <v>98</v>
      </c>
      <c r="E51" s="28">
        <v>165</v>
      </c>
      <c r="F51" s="28" t="s">
        <v>145</v>
      </c>
      <c r="G51" s="28">
        <v>-25704</v>
      </c>
      <c r="H51" s="28" t="s">
        <v>100</v>
      </c>
      <c r="I51" s="28" t="s">
        <v>101</v>
      </c>
      <c r="J51" s="28" t="s">
        <v>102</v>
      </c>
      <c r="K51" s="28" t="s">
        <v>105</v>
      </c>
      <c r="L51" s="73">
        <f t="shared" si="4"/>
        <v>-25704</v>
      </c>
      <c r="M51" s="6">
        <f t="shared" si="5"/>
        <v>0</v>
      </c>
    </row>
    <row r="52" spans="2:13" x14ac:dyDescent="0.25">
      <c r="B52" s="55">
        <v>40179</v>
      </c>
      <c r="C52" s="28">
        <v>0</v>
      </c>
      <c r="D52" s="28" t="s">
        <v>98</v>
      </c>
      <c r="E52" s="28">
        <v>165</v>
      </c>
      <c r="F52" s="28" t="s">
        <v>145</v>
      </c>
      <c r="G52" s="28">
        <v>-13176</v>
      </c>
      <c r="H52" s="28" t="s">
        <v>100</v>
      </c>
      <c r="I52" s="28" t="s">
        <v>101</v>
      </c>
      <c r="J52" s="28" t="s">
        <v>106</v>
      </c>
      <c r="K52" s="28" t="s">
        <v>107</v>
      </c>
      <c r="L52" s="73">
        <f t="shared" si="4"/>
        <v>-13176</v>
      </c>
      <c r="M52" s="6">
        <f t="shared" si="5"/>
        <v>0</v>
      </c>
    </row>
    <row r="53" spans="2:13" x14ac:dyDescent="0.25">
      <c r="B53" s="55">
        <v>40179</v>
      </c>
      <c r="C53" s="28">
        <v>0</v>
      </c>
      <c r="D53" s="28" t="s">
        <v>98</v>
      </c>
      <c r="E53" s="28">
        <v>165</v>
      </c>
      <c r="F53" s="28" t="s">
        <v>145</v>
      </c>
      <c r="G53" s="28">
        <v>15156</v>
      </c>
      <c r="H53" s="28" t="s">
        <v>100</v>
      </c>
      <c r="I53" s="28" t="s">
        <v>101</v>
      </c>
      <c r="J53" s="28" t="s">
        <v>106</v>
      </c>
      <c r="K53" s="28" t="s">
        <v>108</v>
      </c>
      <c r="L53" s="73">
        <f t="shared" si="4"/>
        <v>15156</v>
      </c>
      <c r="M53" s="6">
        <f t="shared" si="5"/>
        <v>0</v>
      </c>
    </row>
    <row r="54" spans="2:13" x14ac:dyDescent="0.25">
      <c r="B54" s="55">
        <v>40179</v>
      </c>
      <c r="C54" s="28">
        <v>0</v>
      </c>
      <c r="D54" s="28" t="s">
        <v>98</v>
      </c>
      <c r="E54" s="28">
        <v>165</v>
      </c>
      <c r="F54" s="28" t="s">
        <v>145</v>
      </c>
      <c r="G54" s="28">
        <v>-25704</v>
      </c>
      <c r="H54" s="28" t="s">
        <v>100</v>
      </c>
      <c r="I54" s="28" t="s">
        <v>101</v>
      </c>
      <c r="J54" s="28" t="s">
        <v>106</v>
      </c>
      <c r="K54" s="28" t="s">
        <v>109</v>
      </c>
      <c r="L54" s="73">
        <f t="shared" si="4"/>
        <v>-25704</v>
      </c>
      <c r="M54" s="6">
        <f t="shared" si="5"/>
        <v>0</v>
      </c>
    </row>
    <row r="55" spans="2:13" x14ac:dyDescent="0.25">
      <c r="B55" s="55">
        <v>40179</v>
      </c>
      <c r="C55" s="28">
        <v>0</v>
      </c>
      <c r="D55" s="28" t="s">
        <v>98</v>
      </c>
      <c r="E55" s="28">
        <v>165</v>
      </c>
      <c r="F55" s="28" t="s">
        <v>145</v>
      </c>
      <c r="G55" s="28">
        <v>-13176</v>
      </c>
      <c r="H55" s="28" t="s">
        <v>100</v>
      </c>
      <c r="I55" s="28" t="s">
        <v>101</v>
      </c>
      <c r="J55" s="28" t="s">
        <v>169</v>
      </c>
      <c r="K55" s="28" t="s">
        <v>111</v>
      </c>
      <c r="L55" s="73">
        <f t="shared" si="4"/>
        <v>-13176</v>
      </c>
      <c r="M55" s="6">
        <f t="shared" si="5"/>
        <v>0</v>
      </c>
    </row>
    <row r="56" spans="2:13" x14ac:dyDescent="0.25">
      <c r="B56" s="55">
        <v>40179</v>
      </c>
      <c r="C56" s="28">
        <v>0</v>
      </c>
      <c r="D56" s="28" t="s">
        <v>98</v>
      </c>
      <c r="E56" s="28">
        <v>165</v>
      </c>
      <c r="F56" s="28" t="s">
        <v>145</v>
      </c>
      <c r="G56" s="28">
        <v>15156</v>
      </c>
      <c r="H56" s="28" t="s">
        <v>100</v>
      </c>
      <c r="I56" s="28" t="s">
        <v>101</v>
      </c>
      <c r="J56" s="28" t="s">
        <v>169</v>
      </c>
      <c r="K56" s="28" t="s">
        <v>112</v>
      </c>
      <c r="L56" s="73">
        <f t="shared" si="4"/>
        <v>15156</v>
      </c>
      <c r="M56" s="6">
        <f t="shared" si="5"/>
        <v>0</v>
      </c>
    </row>
    <row r="57" spans="2:13" x14ac:dyDescent="0.25">
      <c r="B57" s="55">
        <v>40179</v>
      </c>
      <c r="C57" s="28">
        <v>0</v>
      </c>
      <c r="D57" s="28" t="s">
        <v>98</v>
      </c>
      <c r="E57" s="28">
        <v>165</v>
      </c>
      <c r="F57" s="28" t="s">
        <v>145</v>
      </c>
      <c r="G57" s="28">
        <v>-25704</v>
      </c>
      <c r="H57" s="28" t="s">
        <v>100</v>
      </c>
      <c r="I57" s="28" t="s">
        <v>101</v>
      </c>
      <c r="J57" s="28" t="s">
        <v>169</v>
      </c>
      <c r="K57" s="28" t="s">
        <v>113</v>
      </c>
      <c r="L57" s="73">
        <f t="shared" si="4"/>
        <v>-25704</v>
      </c>
      <c r="M57" s="6">
        <f t="shared" si="5"/>
        <v>0</v>
      </c>
    </row>
    <row r="58" spans="2:13" x14ac:dyDescent="0.25">
      <c r="B58" s="55">
        <v>40179</v>
      </c>
      <c r="C58" s="28">
        <v>0</v>
      </c>
      <c r="D58" s="28" t="s">
        <v>98</v>
      </c>
      <c r="E58" s="28">
        <v>165</v>
      </c>
      <c r="F58" s="28" t="s">
        <v>145</v>
      </c>
      <c r="G58" s="28">
        <v>-13176</v>
      </c>
      <c r="H58" s="28" t="s">
        <v>100</v>
      </c>
      <c r="I58" s="28" t="s">
        <v>101</v>
      </c>
      <c r="J58" s="28" t="s">
        <v>171</v>
      </c>
      <c r="K58" s="28" t="s">
        <v>115</v>
      </c>
      <c r="L58" s="73">
        <f t="shared" si="4"/>
        <v>-13176</v>
      </c>
      <c r="M58" s="6">
        <f t="shared" si="5"/>
        <v>0</v>
      </c>
    </row>
    <row r="59" spans="2:13" x14ac:dyDescent="0.25">
      <c r="B59" s="55">
        <v>40179</v>
      </c>
      <c r="C59" s="28">
        <v>0</v>
      </c>
      <c r="D59" s="28" t="s">
        <v>98</v>
      </c>
      <c r="E59" s="28">
        <v>165</v>
      </c>
      <c r="F59" s="28" t="s">
        <v>145</v>
      </c>
      <c r="G59" s="28">
        <v>15156</v>
      </c>
      <c r="H59" s="28" t="s">
        <v>100</v>
      </c>
      <c r="I59" s="28" t="s">
        <v>101</v>
      </c>
      <c r="J59" s="28" t="s">
        <v>171</v>
      </c>
      <c r="K59" s="28" t="s">
        <v>118</v>
      </c>
      <c r="L59" s="73">
        <f t="shared" si="4"/>
        <v>15156</v>
      </c>
      <c r="M59" s="6">
        <f t="shared" si="5"/>
        <v>0</v>
      </c>
    </row>
    <row r="60" spans="2:13" x14ac:dyDescent="0.25">
      <c r="B60" s="55">
        <v>40179</v>
      </c>
      <c r="C60" s="28">
        <v>0</v>
      </c>
      <c r="D60" s="28" t="s">
        <v>98</v>
      </c>
      <c r="E60" s="28">
        <v>165</v>
      </c>
      <c r="F60" s="28" t="s">
        <v>145</v>
      </c>
      <c r="G60" s="28">
        <v>-25704</v>
      </c>
      <c r="H60" s="28" t="s">
        <v>100</v>
      </c>
      <c r="I60" s="28" t="s">
        <v>101</v>
      </c>
      <c r="J60" s="28" t="s">
        <v>171</v>
      </c>
      <c r="K60" s="28" t="s">
        <v>119</v>
      </c>
      <c r="L60" s="73">
        <f t="shared" si="4"/>
        <v>-25704</v>
      </c>
      <c r="M60" s="6">
        <f t="shared" si="5"/>
        <v>0</v>
      </c>
    </row>
    <row r="61" spans="2:13" x14ac:dyDescent="0.25">
      <c r="B61" s="55">
        <v>40179</v>
      </c>
      <c r="C61" s="28">
        <v>0</v>
      </c>
      <c r="D61" s="28" t="s">
        <v>98</v>
      </c>
      <c r="E61" s="28">
        <v>165</v>
      </c>
      <c r="F61" s="28" t="s">
        <v>145</v>
      </c>
      <c r="G61" s="28">
        <v>-13596.9</v>
      </c>
      <c r="H61" s="28" t="s">
        <v>100</v>
      </c>
      <c r="I61" s="28" t="s">
        <v>101</v>
      </c>
      <c r="J61" s="28" t="s">
        <v>120</v>
      </c>
      <c r="K61" s="28" t="s">
        <v>121</v>
      </c>
      <c r="L61" s="73">
        <f t="shared" si="4"/>
        <v>-13596.9</v>
      </c>
      <c r="M61" s="6">
        <f t="shared" si="5"/>
        <v>0</v>
      </c>
    </row>
    <row r="62" spans="2:13" x14ac:dyDescent="0.25">
      <c r="B62" s="55">
        <v>40179</v>
      </c>
      <c r="C62" s="28">
        <v>0</v>
      </c>
      <c r="D62" s="28" t="s">
        <v>98</v>
      </c>
      <c r="E62" s="28">
        <v>165</v>
      </c>
      <c r="F62" s="28" t="s">
        <v>145</v>
      </c>
      <c r="G62" s="28">
        <v>15640.15</v>
      </c>
      <c r="H62" s="28" t="s">
        <v>100</v>
      </c>
      <c r="I62" s="28" t="s">
        <v>101</v>
      </c>
      <c r="J62" s="28" t="s">
        <v>120</v>
      </c>
      <c r="K62" s="28" t="s">
        <v>122</v>
      </c>
      <c r="L62" s="73">
        <f t="shared" si="4"/>
        <v>15640.15</v>
      </c>
      <c r="M62" s="6">
        <f t="shared" si="5"/>
        <v>0</v>
      </c>
    </row>
    <row r="63" spans="2:13" x14ac:dyDescent="0.25">
      <c r="B63" s="55">
        <v>40179</v>
      </c>
      <c r="C63" s="28">
        <v>0</v>
      </c>
      <c r="D63" s="28" t="s">
        <v>98</v>
      </c>
      <c r="E63" s="28">
        <v>165</v>
      </c>
      <c r="F63" s="28" t="s">
        <v>145</v>
      </c>
      <c r="G63" s="28">
        <v>-26525.1</v>
      </c>
      <c r="H63" s="28" t="s">
        <v>100</v>
      </c>
      <c r="I63" s="28" t="s">
        <v>101</v>
      </c>
      <c r="J63" s="28" t="s">
        <v>120</v>
      </c>
      <c r="K63" s="28" t="s">
        <v>123</v>
      </c>
      <c r="L63" s="73">
        <f t="shared" si="4"/>
        <v>-26525.1</v>
      </c>
      <c r="M63" s="6">
        <f t="shared" si="5"/>
        <v>0</v>
      </c>
    </row>
    <row r="64" spans="2:13" x14ac:dyDescent="0.25">
      <c r="B64" s="55">
        <v>40179</v>
      </c>
      <c r="C64" s="28">
        <v>0</v>
      </c>
      <c r="D64" s="28" t="s">
        <v>98</v>
      </c>
      <c r="E64" s="28">
        <v>165</v>
      </c>
      <c r="F64" s="28" t="s">
        <v>145</v>
      </c>
      <c r="G64" s="28">
        <v>-13596.9</v>
      </c>
      <c r="H64" s="28" t="s">
        <v>100</v>
      </c>
      <c r="I64" s="28" t="s">
        <v>101</v>
      </c>
      <c r="J64" s="28" t="s">
        <v>124</v>
      </c>
      <c r="K64" s="28" t="s">
        <v>125</v>
      </c>
      <c r="L64" s="73">
        <f t="shared" si="4"/>
        <v>-13596.9</v>
      </c>
      <c r="M64" s="6">
        <f t="shared" si="5"/>
        <v>0</v>
      </c>
    </row>
    <row r="65" spans="2:13" x14ac:dyDescent="0.25">
      <c r="B65" s="55">
        <v>40179</v>
      </c>
      <c r="C65" s="28">
        <v>0</v>
      </c>
      <c r="D65" s="28" t="s">
        <v>98</v>
      </c>
      <c r="E65" s="28">
        <v>165</v>
      </c>
      <c r="F65" s="28" t="s">
        <v>145</v>
      </c>
      <c r="G65" s="28">
        <v>15640.15</v>
      </c>
      <c r="H65" s="28" t="s">
        <v>100</v>
      </c>
      <c r="I65" s="28" t="s">
        <v>101</v>
      </c>
      <c r="J65" s="28" t="s">
        <v>124</v>
      </c>
      <c r="K65" s="28" t="s">
        <v>126</v>
      </c>
      <c r="L65" s="73">
        <f t="shared" si="4"/>
        <v>15640.15</v>
      </c>
      <c r="M65" s="6">
        <f t="shared" si="5"/>
        <v>0</v>
      </c>
    </row>
    <row r="66" spans="2:13" x14ac:dyDescent="0.25">
      <c r="B66" s="55">
        <v>40179</v>
      </c>
      <c r="C66" s="28">
        <v>0</v>
      </c>
      <c r="D66" s="28" t="s">
        <v>98</v>
      </c>
      <c r="E66" s="28">
        <v>165</v>
      </c>
      <c r="F66" s="28" t="s">
        <v>145</v>
      </c>
      <c r="G66" s="28">
        <v>-26525.1</v>
      </c>
      <c r="H66" s="28" t="s">
        <v>100</v>
      </c>
      <c r="I66" s="28" t="s">
        <v>101</v>
      </c>
      <c r="J66" s="28" t="s">
        <v>124</v>
      </c>
      <c r="K66" s="28" t="s">
        <v>127</v>
      </c>
      <c r="L66" s="73">
        <f t="shared" si="4"/>
        <v>-26525.1</v>
      </c>
      <c r="M66" s="6">
        <f t="shared" si="5"/>
        <v>0</v>
      </c>
    </row>
    <row r="67" spans="2:13" x14ac:dyDescent="0.25">
      <c r="B67" s="55">
        <v>40179</v>
      </c>
      <c r="C67" s="28">
        <v>0</v>
      </c>
      <c r="D67" s="28" t="s">
        <v>98</v>
      </c>
      <c r="E67" s="28">
        <v>165</v>
      </c>
      <c r="F67" s="28" t="s">
        <v>145</v>
      </c>
      <c r="G67" s="28">
        <v>-1207314.5297312201</v>
      </c>
      <c r="H67" s="28" t="s">
        <v>100</v>
      </c>
      <c r="I67" s="28" t="s">
        <v>101</v>
      </c>
      <c r="J67" s="28" t="s">
        <v>171</v>
      </c>
      <c r="K67" s="28" t="s">
        <v>173</v>
      </c>
      <c r="L67" s="73">
        <f t="shared" si="4"/>
        <v>-1217678.8875913108</v>
      </c>
      <c r="M67" s="6">
        <f t="shared" si="5"/>
        <v>-8.5115689905672642E-3</v>
      </c>
    </row>
    <row r="68" spans="2:13" x14ac:dyDescent="0.25">
      <c r="B68" s="55">
        <v>40179</v>
      </c>
      <c r="C68" s="28">
        <v>0</v>
      </c>
      <c r="D68" s="28" t="s">
        <v>98</v>
      </c>
      <c r="E68" s="28">
        <v>165</v>
      </c>
      <c r="F68" s="28" t="s">
        <v>145</v>
      </c>
      <c r="G68" s="28">
        <v>-1247558.3473889299</v>
      </c>
      <c r="H68" s="28" t="s">
        <v>100</v>
      </c>
      <c r="I68" s="28" t="s">
        <v>101</v>
      </c>
      <c r="J68" s="28" t="s">
        <v>124</v>
      </c>
      <c r="K68" s="28" t="s">
        <v>174</v>
      </c>
      <c r="L68" s="73">
        <f t="shared" si="4"/>
        <v>-1258268.1838443545</v>
      </c>
      <c r="M68" s="6">
        <f t="shared" si="5"/>
        <v>-8.5115689905652658E-3</v>
      </c>
    </row>
    <row r="69" spans="2:13" x14ac:dyDescent="0.25">
      <c r="B69" s="55">
        <v>40179</v>
      </c>
      <c r="C69" s="28">
        <v>0</v>
      </c>
      <c r="D69" s="28" t="s">
        <v>98</v>
      </c>
      <c r="E69" s="28">
        <v>165</v>
      </c>
      <c r="F69" s="28" t="s">
        <v>145</v>
      </c>
      <c r="G69" s="28">
        <v>-28800</v>
      </c>
      <c r="H69" s="28" t="s">
        <v>100</v>
      </c>
      <c r="I69" s="28" t="s">
        <v>101</v>
      </c>
      <c r="J69" s="28" t="s">
        <v>175</v>
      </c>
      <c r="K69" s="28" t="s">
        <v>176</v>
      </c>
      <c r="L69" s="73">
        <f t="shared" si="4"/>
        <v>-28800</v>
      </c>
      <c r="M69" s="6">
        <f t="shared" si="5"/>
        <v>0</v>
      </c>
    </row>
    <row r="70" spans="2:13" x14ac:dyDescent="0.25">
      <c r="B70" s="55">
        <v>40179</v>
      </c>
      <c r="C70" s="28">
        <v>0</v>
      </c>
      <c r="D70" s="28" t="s">
        <v>98</v>
      </c>
      <c r="E70" s="28">
        <v>165</v>
      </c>
      <c r="F70" s="28" t="s">
        <v>145</v>
      </c>
      <c r="G70" s="28">
        <v>36000</v>
      </c>
      <c r="H70" s="28" t="s">
        <v>100</v>
      </c>
      <c r="I70" s="28" t="s">
        <v>101</v>
      </c>
      <c r="J70" s="28" t="s">
        <v>175</v>
      </c>
      <c r="K70" s="28" t="s">
        <v>177</v>
      </c>
      <c r="L70" s="73">
        <f t="shared" si="4"/>
        <v>36000</v>
      </c>
      <c r="M70" s="6">
        <f t="shared" si="5"/>
        <v>0</v>
      </c>
    </row>
    <row r="71" spans="2:13" x14ac:dyDescent="0.25">
      <c r="B71" s="55">
        <v>40179</v>
      </c>
      <c r="C71" s="28">
        <v>0</v>
      </c>
      <c r="D71" s="28" t="s">
        <v>98</v>
      </c>
      <c r="E71" s="28">
        <v>165</v>
      </c>
      <c r="F71" s="28" t="s">
        <v>145</v>
      </c>
      <c r="G71" s="28">
        <v>-28800</v>
      </c>
      <c r="H71" s="28" t="s">
        <v>100</v>
      </c>
      <c r="I71" s="28" t="s">
        <v>101</v>
      </c>
      <c r="J71" s="28" t="s">
        <v>178</v>
      </c>
      <c r="K71" s="28" t="s">
        <v>179</v>
      </c>
      <c r="L71" s="73">
        <f t="shared" si="4"/>
        <v>-28800</v>
      </c>
      <c r="M71" s="6">
        <f t="shared" si="5"/>
        <v>0</v>
      </c>
    </row>
    <row r="72" spans="2:13" x14ac:dyDescent="0.25">
      <c r="B72" s="55">
        <v>40179</v>
      </c>
      <c r="C72" s="28">
        <v>0</v>
      </c>
      <c r="D72" s="28" t="s">
        <v>98</v>
      </c>
      <c r="E72" s="28">
        <v>165</v>
      </c>
      <c r="F72" s="28" t="s">
        <v>145</v>
      </c>
      <c r="G72" s="28">
        <v>36000</v>
      </c>
      <c r="H72" s="28" t="s">
        <v>100</v>
      </c>
      <c r="I72" s="28" t="s">
        <v>101</v>
      </c>
      <c r="J72" s="28" t="s">
        <v>178</v>
      </c>
      <c r="K72" s="28" t="s">
        <v>181</v>
      </c>
      <c r="L72" s="73">
        <f t="shared" si="4"/>
        <v>36000</v>
      </c>
      <c r="M72" s="6">
        <f t="shared" si="5"/>
        <v>0</v>
      </c>
    </row>
    <row r="73" spans="2:13" x14ac:dyDescent="0.25">
      <c r="B73" s="55">
        <v>40179</v>
      </c>
      <c r="C73" s="28">
        <v>0</v>
      </c>
      <c r="D73" s="28" t="s">
        <v>98</v>
      </c>
      <c r="E73" s="28">
        <v>165</v>
      </c>
      <c r="F73" s="28" t="s">
        <v>145</v>
      </c>
      <c r="G73" s="28">
        <v>-1352733.36664563</v>
      </c>
      <c r="H73" s="28" t="s">
        <v>100</v>
      </c>
      <c r="I73" s="28" t="s">
        <v>101</v>
      </c>
      <c r="J73" s="28" t="s">
        <v>178</v>
      </c>
      <c r="K73" s="28" t="s">
        <v>182</v>
      </c>
      <c r="L73" s="73">
        <f t="shared" si="4"/>
        <v>-1364346.0925392839</v>
      </c>
      <c r="M73" s="6">
        <f t="shared" si="5"/>
        <v>-8.5115689905636005E-3</v>
      </c>
    </row>
    <row r="74" spans="2:13" x14ac:dyDescent="0.25">
      <c r="B74" s="55">
        <v>40179</v>
      </c>
      <c r="C74" s="28">
        <v>0</v>
      </c>
      <c r="D74" s="28" t="s">
        <v>98</v>
      </c>
      <c r="E74" s="28">
        <v>165</v>
      </c>
      <c r="F74" s="28" t="s">
        <v>145</v>
      </c>
      <c r="G74" s="28">
        <v>1690916.7083070399</v>
      </c>
      <c r="H74" s="28" t="s">
        <v>100</v>
      </c>
      <c r="I74" s="28" t="s">
        <v>101</v>
      </c>
      <c r="J74" s="28" t="s">
        <v>178</v>
      </c>
      <c r="K74" s="28" t="s">
        <v>183</v>
      </c>
      <c r="L74" s="73">
        <f t="shared" si="4"/>
        <v>1705432.6156741048</v>
      </c>
      <c r="M74" s="6">
        <f t="shared" si="5"/>
        <v>-8.5115689905620462E-3</v>
      </c>
    </row>
    <row r="75" spans="2:13" x14ac:dyDescent="0.25">
      <c r="B75" s="55">
        <v>40179</v>
      </c>
      <c r="C75" s="28">
        <v>0</v>
      </c>
      <c r="D75" s="28" t="s">
        <v>98</v>
      </c>
      <c r="E75" s="28">
        <v>165</v>
      </c>
      <c r="F75" s="28" t="s">
        <v>145</v>
      </c>
      <c r="G75" s="28">
        <v>-1352733.36664563</v>
      </c>
      <c r="H75" s="28" t="s">
        <v>100</v>
      </c>
      <c r="I75" s="28" t="s">
        <v>101</v>
      </c>
      <c r="J75" s="28" t="s">
        <v>184</v>
      </c>
      <c r="K75" s="28" t="s">
        <v>185</v>
      </c>
      <c r="L75" s="73">
        <f t="shared" si="4"/>
        <v>-1364346.0925392839</v>
      </c>
      <c r="M75" s="6">
        <f t="shared" si="5"/>
        <v>-8.5115689905636005E-3</v>
      </c>
    </row>
    <row r="76" spans="2:13" x14ac:dyDescent="0.25">
      <c r="B76" s="55">
        <v>40179</v>
      </c>
      <c r="C76" s="28">
        <v>0</v>
      </c>
      <c r="D76" s="28" t="s">
        <v>98</v>
      </c>
      <c r="E76" s="28">
        <v>165</v>
      </c>
      <c r="F76" s="28" t="s">
        <v>145</v>
      </c>
      <c r="G76" s="28">
        <v>1690916.7083070399</v>
      </c>
      <c r="H76" s="28" t="s">
        <v>100</v>
      </c>
      <c r="I76" s="28" t="s">
        <v>101</v>
      </c>
      <c r="J76" s="28" t="s">
        <v>184</v>
      </c>
      <c r="K76" s="28" t="s">
        <v>186</v>
      </c>
      <c r="L76" s="73">
        <f t="shared" si="4"/>
        <v>1705432.6156741048</v>
      </c>
      <c r="M76" s="6">
        <f t="shared" si="5"/>
        <v>-8.5115689905620462E-3</v>
      </c>
    </row>
    <row r="77" spans="2:13" x14ac:dyDescent="0.25">
      <c r="B77" s="55">
        <v>40179</v>
      </c>
      <c r="C77" s="28">
        <v>0</v>
      </c>
      <c r="D77" s="28" t="s">
        <v>98</v>
      </c>
      <c r="E77" s="28">
        <v>165</v>
      </c>
      <c r="F77" s="28" t="s">
        <v>99</v>
      </c>
      <c r="G77" s="28">
        <v>297216.00151062</v>
      </c>
      <c r="H77" s="28" t="s">
        <v>100</v>
      </c>
      <c r="I77" s="28" t="s">
        <v>101</v>
      </c>
      <c r="J77" s="28" t="s">
        <v>175</v>
      </c>
      <c r="K77" s="28" t="s">
        <v>177</v>
      </c>
      <c r="L77" s="73">
        <f t="shared" si="4"/>
        <v>36000</v>
      </c>
      <c r="M77" s="6">
        <f t="shared" si="5"/>
        <v>7.2560000419616664</v>
      </c>
    </row>
    <row r="78" spans="2:13" x14ac:dyDescent="0.25">
      <c r="B78" s="55">
        <v>40179</v>
      </c>
      <c r="C78" s="28">
        <v>0</v>
      </c>
      <c r="D78" s="28" t="s">
        <v>98</v>
      </c>
      <c r="E78" s="28">
        <v>165</v>
      </c>
      <c r="F78" s="28" t="s">
        <v>99</v>
      </c>
      <c r="G78" s="28">
        <v>-237772.80120849601</v>
      </c>
      <c r="H78" s="28" t="s">
        <v>100</v>
      </c>
      <c r="I78" s="28" t="s">
        <v>101</v>
      </c>
      <c r="J78" s="28" t="s">
        <v>178</v>
      </c>
      <c r="K78" s="28" t="s">
        <v>179</v>
      </c>
      <c r="L78" s="73">
        <f t="shared" si="4"/>
        <v>-28800</v>
      </c>
      <c r="M78" s="6">
        <f t="shared" si="5"/>
        <v>7.2560000419616664</v>
      </c>
    </row>
    <row r="79" spans="2:13" x14ac:dyDescent="0.25">
      <c r="B79" s="55">
        <v>40817</v>
      </c>
      <c r="C79" s="28">
        <v>0</v>
      </c>
      <c r="D79" s="28" t="s">
        <v>140</v>
      </c>
      <c r="E79" s="28">
        <v>165</v>
      </c>
      <c r="F79" s="28" t="s">
        <v>99</v>
      </c>
      <c r="G79" s="28">
        <v>34.972860770791797</v>
      </c>
      <c r="H79" s="28" t="s">
        <v>100</v>
      </c>
      <c r="I79" s="28" t="s">
        <v>101</v>
      </c>
      <c r="J79" s="28" t="s">
        <v>180</v>
      </c>
      <c r="K79" s="28" t="s">
        <v>179</v>
      </c>
      <c r="L79" s="73">
        <f t="shared" si="4"/>
        <v>89126.474244075362</v>
      </c>
      <c r="M79" s="6">
        <f t="shared" si="5"/>
        <v>-0.99960760412585137</v>
      </c>
    </row>
    <row r="80" spans="2:13" x14ac:dyDescent="0.25">
      <c r="B80" s="55">
        <v>40179</v>
      </c>
      <c r="C80" s="28">
        <v>0</v>
      </c>
      <c r="D80" s="28" t="s">
        <v>98</v>
      </c>
      <c r="E80" s="28">
        <v>165</v>
      </c>
      <c r="F80" s="28" t="s">
        <v>99</v>
      </c>
      <c r="G80" s="28">
        <v>297216.00151062</v>
      </c>
      <c r="H80" s="28" t="s">
        <v>100</v>
      </c>
      <c r="I80" s="28" t="s">
        <v>101</v>
      </c>
      <c r="J80" s="28" t="s">
        <v>178</v>
      </c>
      <c r="K80" s="28" t="s">
        <v>181</v>
      </c>
      <c r="L80" s="73">
        <f t="shared" si="4"/>
        <v>36000</v>
      </c>
      <c r="M80" s="6">
        <f t="shared" si="5"/>
        <v>7.2560000419616664</v>
      </c>
    </row>
    <row r="81" spans="2:13" x14ac:dyDescent="0.25">
      <c r="B81" s="55">
        <v>40817</v>
      </c>
      <c r="C81" s="28">
        <v>0</v>
      </c>
      <c r="D81" s="28" t="s">
        <v>140</v>
      </c>
      <c r="E81" s="28">
        <v>165</v>
      </c>
      <c r="F81" s="28" t="s">
        <v>99</v>
      </c>
      <c r="G81" s="28">
        <v>-34.972860770791797</v>
      </c>
      <c r="H81" s="28" t="s">
        <v>100</v>
      </c>
      <c r="I81" s="28" t="s">
        <v>101</v>
      </c>
      <c r="J81" s="28" t="s">
        <v>180</v>
      </c>
      <c r="K81" s="28" t="s">
        <v>181</v>
      </c>
      <c r="L81" s="73">
        <f t="shared" si="4"/>
        <v>-89126.474244075362</v>
      </c>
      <c r="M81" s="6">
        <f t="shared" si="5"/>
        <v>-0.99960760412585137</v>
      </c>
    </row>
    <row r="82" spans="2:13" x14ac:dyDescent="0.25">
      <c r="B82" s="55">
        <v>40179</v>
      </c>
      <c r="C82" s="28">
        <v>0</v>
      </c>
      <c r="D82" s="28" t="s">
        <v>98</v>
      </c>
      <c r="E82" s="28">
        <v>165</v>
      </c>
      <c r="F82" s="28" t="s">
        <v>99</v>
      </c>
      <c r="G82" s="28">
        <v>-11167777.0531404</v>
      </c>
      <c r="H82" s="28" t="s">
        <v>100</v>
      </c>
      <c r="I82" s="28" t="s">
        <v>101</v>
      </c>
      <c r="J82" s="28" t="s">
        <v>178</v>
      </c>
      <c r="K82" s="28" t="s">
        <v>182</v>
      </c>
      <c r="L82" s="73">
        <f t="shared" si="4"/>
        <v>-1364346.0925392839</v>
      </c>
      <c r="M82" s="6">
        <f t="shared" si="5"/>
        <v>7.1854429123296981</v>
      </c>
    </row>
    <row r="83" spans="2:13" x14ac:dyDescent="0.25">
      <c r="B83" s="55">
        <v>40817</v>
      </c>
      <c r="C83" s="28">
        <v>0</v>
      </c>
      <c r="D83" s="28" t="s">
        <v>140</v>
      </c>
      <c r="E83" s="28">
        <v>165</v>
      </c>
      <c r="F83" s="28" t="s">
        <v>99</v>
      </c>
      <c r="G83" s="28">
        <v>53157115.609608397</v>
      </c>
      <c r="H83" s="28" t="s">
        <v>100</v>
      </c>
      <c r="I83" s="28" t="s">
        <v>101</v>
      </c>
      <c r="J83" s="28" t="s">
        <v>180</v>
      </c>
      <c r="K83" s="28" t="s">
        <v>182</v>
      </c>
      <c r="L83" s="73">
        <f t="shared" si="4"/>
        <v>138720526.37964112</v>
      </c>
      <c r="M83" s="6">
        <f t="shared" si="5"/>
        <v>-0.61680425386988846</v>
      </c>
    </row>
    <row r="84" spans="2:13" x14ac:dyDescent="0.25">
      <c r="B84" s="55">
        <v>40179</v>
      </c>
      <c r="C84" s="28">
        <v>0</v>
      </c>
      <c r="D84" s="28" t="s">
        <v>98</v>
      </c>
      <c r="E84" s="28">
        <v>165</v>
      </c>
      <c r="F84" s="28" t="s">
        <v>99</v>
      </c>
      <c r="G84" s="28">
        <v>13959721.3164255</v>
      </c>
      <c r="H84" s="28" t="s">
        <v>100</v>
      </c>
      <c r="I84" s="28" t="s">
        <v>101</v>
      </c>
      <c r="J84" s="28" t="s">
        <v>178</v>
      </c>
      <c r="K84" s="28" t="s">
        <v>183</v>
      </c>
      <c r="L84" s="73">
        <f t="shared" si="4"/>
        <v>1705432.6156741048</v>
      </c>
      <c r="M84" s="6">
        <f t="shared" si="5"/>
        <v>7.1854429123296981</v>
      </c>
    </row>
    <row r="85" spans="2:13" x14ac:dyDescent="0.25">
      <c r="B85" s="55">
        <v>40817</v>
      </c>
      <c r="C85" s="28">
        <v>0</v>
      </c>
      <c r="D85" s="28" t="s">
        <v>140</v>
      </c>
      <c r="E85" s="28">
        <v>165</v>
      </c>
      <c r="F85" s="28" t="s">
        <v>99</v>
      </c>
      <c r="G85" s="28">
        <v>-53157115.609608397</v>
      </c>
      <c r="H85" s="28" t="s">
        <v>100</v>
      </c>
      <c r="I85" s="28" t="s">
        <v>101</v>
      </c>
      <c r="J85" s="28" t="s">
        <v>180</v>
      </c>
      <c r="K85" s="28" t="s">
        <v>183</v>
      </c>
      <c r="L85" s="73">
        <f t="shared" si="4"/>
        <v>-138720526.37964112</v>
      </c>
      <c r="M85" s="6">
        <f t="shared" si="5"/>
        <v>-0.61680425386988846</v>
      </c>
    </row>
    <row r="86" spans="2:13" x14ac:dyDescent="0.25">
      <c r="B86" s="55">
        <v>40179</v>
      </c>
      <c r="C86" s="28">
        <v>0</v>
      </c>
      <c r="D86" s="28" t="s">
        <v>98</v>
      </c>
      <c r="E86" s="28">
        <v>165</v>
      </c>
      <c r="F86" s="28" t="s">
        <v>99</v>
      </c>
      <c r="G86" s="28">
        <v>-11167777.0531404</v>
      </c>
      <c r="H86" s="28" t="s">
        <v>100</v>
      </c>
      <c r="I86" s="28" t="s">
        <v>101</v>
      </c>
      <c r="J86" s="28" t="s">
        <v>184</v>
      </c>
      <c r="K86" s="28" t="s">
        <v>185</v>
      </c>
      <c r="L86" s="73">
        <f t="shared" si="4"/>
        <v>-1364346.0925392839</v>
      </c>
      <c r="M86" s="6">
        <f t="shared" si="5"/>
        <v>7.1854429123296981</v>
      </c>
    </row>
    <row r="87" spans="2:13" x14ac:dyDescent="0.25">
      <c r="B87" s="55">
        <v>40179</v>
      </c>
      <c r="C87" s="28">
        <v>0</v>
      </c>
      <c r="D87" s="28" t="s">
        <v>98</v>
      </c>
      <c r="E87" s="28">
        <v>165</v>
      </c>
      <c r="F87" s="28" t="s">
        <v>99</v>
      </c>
      <c r="G87" s="28">
        <v>13959721.3164255</v>
      </c>
      <c r="H87" s="28" t="s">
        <v>100</v>
      </c>
      <c r="I87" s="28" t="s">
        <v>101</v>
      </c>
      <c r="J87" s="28" t="s">
        <v>184</v>
      </c>
      <c r="K87" s="28" t="s">
        <v>186</v>
      </c>
      <c r="L87" s="73">
        <f t="shared" si="4"/>
        <v>1705432.6156741048</v>
      </c>
      <c r="M87" s="6">
        <f t="shared" si="5"/>
        <v>7.1854429123296981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BK94"/>
  <sheetViews>
    <sheetView topLeftCell="Q1" zoomScale="85" zoomScaleNormal="85" workbookViewId="0">
      <selection activeCell="C24" sqref="C24"/>
    </sheetView>
  </sheetViews>
  <sheetFormatPr baseColWidth="10" defaultColWidth="9.140625" defaultRowHeight="15" x14ac:dyDescent="0.25"/>
  <cols>
    <col min="1" max="1" width="9.140625" style="7"/>
    <col min="2" max="2" width="10.5703125" style="7" bestFit="1" customWidth="1"/>
    <col min="3" max="3" width="14.42578125" style="7" bestFit="1" customWidth="1"/>
    <col min="4" max="4" width="27.140625" style="7" bestFit="1" customWidth="1"/>
    <col min="5" max="5" width="11.85546875" style="7" bestFit="1" customWidth="1"/>
    <col min="6" max="6" width="56.7109375" style="7" bestFit="1" customWidth="1"/>
    <col min="7" max="7" width="10.85546875" style="7" bestFit="1" customWidth="1"/>
    <col min="8" max="8" width="6.42578125" style="7" bestFit="1" customWidth="1"/>
    <col min="9" max="9" width="10" style="7" bestFit="1" customWidth="1"/>
    <col min="10" max="10" width="8.7109375" style="7" bestFit="1" customWidth="1"/>
    <col min="11" max="11" width="7.7109375" style="11" bestFit="1" customWidth="1"/>
    <col min="12" max="12" width="7.85546875" style="7" bestFit="1" customWidth="1"/>
    <col min="13" max="13" width="8.85546875" style="15" bestFit="1" customWidth="1"/>
    <col min="14" max="14" width="9" style="7" bestFit="1" customWidth="1"/>
    <col min="15" max="15" width="12.28515625" style="7" bestFit="1" customWidth="1"/>
    <col min="16" max="17" width="12.28515625" style="16" bestFit="1" customWidth="1"/>
    <col min="18" max="18" width="12.28515625" style="7" bestFit="1" customWidth="1"/>
    <col min="19" max="19" width="12.85546875" style="7" bestFit="1" customWidth="1"/>
    <col min="20" max="20" width="12.28515625" style="7" bestFit="1" customWidth="1"/>
    <col min="21" max="21" width="12.85546875" style="11" bestFit="1" customWidth="1"/>
    <col min="22" max="22" width="10.5703125" style="7" bestFit="1" customWidth="1"/>
    <col min="23" max="23" width="9.28515625" style="7" bestFit="1" customWidth="1"/>
    <col min="24" max="24" width="9.85546875" style="7" bestFit="1" customWidth="1"/>
    <col min="25" max="25" width="10.28515625" style="7" bestFit="1" customWidth="1"/>
    <col min="26" max="26" width="9.85546875" style="7" bestFit="1" customWidth="1"/>
    <col min="27" max="27" width="10.42578125" style="7" bestFit="1" customWidth="1"/>
    <col min="28" max="29" width="12.85546875" style="7" bestFit="1" customWidth="1"/>
    <col min="30" max="30" width="12.28515625" style="7" bestFit="1" customWidth="1"/>
    <col min="31" max="31" width="15.42578125" style="7" bestFit="1" customWidth="1"/>
    <col min="32" max="32" width="7.5703125" style="7" bestFit="1" customWidth="1"/>
    <col min="33" max="33" width="12.28515625" style="27" bestFit="1" customWidth="1"/>
    <col min="34" max="34" width="12.85546875" style="7" bestFit="1" customWidth="1"/>
    <col min="35" max="36" width="12.28515625" style="7" bestFit="1" customWidth="1"/>
    <col min="37" max="37" width="12.85546875" style="7" bestFit="1" customWidth="1"/>
    <col min="38" max="38" width="13.42578125" style="7" bestFit="1" customWidth="1"/>
    <col min="39" max="39" width="14.140625" style="7" bestFit="1" customWidth="1"/>
    <col min="40" max="40" width="14.7109375" style="7" bestFit="1" customWidth="1"/>
    <col min="41" max="41" width="9" style="7" bestFit="1" customWidth="1"/>
    <col min="42" max="42" width="12" style="7" bestFit="1" customWidth="1"/>
    <col min="43" max="43" width="14.140625" style="7" bestFit="1" customWidth="1"/>
    <col min="44" max="44" width="16.42578125" style="7" bestFit="1" customWidth="1"/>
    <col min="45" max="45" width="9.85546875" style="7" bestFit="1" customWidth="1"/>
    <col min="46" max="46" width="13" style="7" bestFit="1" customWidth="1"/>
    <col min="47" max="47" width="10.42578125" style="7" bestFit="1" customWidth="1"/>
    <col min="48" max="48" width="10" style="7" bestFit="1" customWidth="1"/>
    <col min="49" max="49" width="14.85546875" style="7" bestFit="1" customWidth="1"/>
    <col min="50" max="50" width="15.42578125" style="7" bestFit="1" customWidth="1"/>
    <col min="51" max="51" width="9.7109375" style="7" bestFit="1" customWidth="1"/>
    <col min="52" max="52" width="12.28515625" style="7" bestFit="1" customWidth="1"/>
    <col min="53" max="53" width="14.85546875" style="7" bestFit="1" customWidth="1"/>
    <col min="54" max="54" width="17.140625" style="7" bestFit="1" customWidth="1"/>
    <col min="55" max="55" width="10.5703125" style="7" bestFit="1" customWidth="1"/>
    <col min="56" max="56" width="13.7109375" style="7" bestFit="1" customWidth="1"/>
    <col min="57" max="57" width="11.140625" style="7" bestFit="1" customWidth="1"/>
    <col min="58" max="58" width="10.7109375" style="7" bestFit="1" customWidth="1"/>
    <col min="59" max="59" width="11" style="7" bestFit="1" customWidth="1"/>
    <col min="60" max="60" width="13.140625" style="7" bestFit="1" customWidth="1"/>
    <col min="61" max="61" width="10.7109375" style="7" bestFit="1" customWidth="1"/>
    <col min="62" max="62" width="8.7109375" style="7" bestFit="1" customWidth="1"/>
    <col min="63" max="63" width="11.28515625" style="7" bestFit="1" customWidth="1"/>
    <col min="64" max="16384" width="9.140625" style="7"/>
  </cols>
  <sheetData>
    <row r="1" spans="2:63" x14ac:dyDescent="0.25">
      <c r="I1" s="22"/>
      <c r="K1" s="7"/>
      <c r="L1" s="11"/>
      <c r="M1" s="7"/>
      <c r="N1" s="15"/>
      <c r="P1" s="7"/>
      <c r="R1" s="16"/>
      <c r="U1" s="7"/>
      <c r="V1" s="11"/>
    </row>
    <row r="2" spans="2:63" ht="18" customHeight="1" x14ac:dyDescent="0.25">
      <c r="I2" s="22"/>
      <c r="K2" s="7"/>
      <c r="L2" s="11"/>
      <c r="M2" s="7"/>
      <c r="N2" s="15"/>
      <c r="P2" s="7"/>
      <c r="R2" s="16"/>
      <c r="U2" s="7"/>
      <c r="V2" s="11"/>
    </row>
    <row r="3" spans="2:63" x14ac:dyDescent="0.25">
      <c r="I3" s="22"/>
      <c r="K3" s="7"/>
      <c r="L3" s="11"/>
      <c r="M3" s="7"/>
      <c r="N3" s="15"/>
      <c r="P3" s="7"/>
      <c r="R3" s="16"/>
      <c r="U3" s="7"/>
      <c r="V3" s="11"/>
    </row>
    <row r="4" spans="2:63" s="29" customFormat="1" x14ac:dyDescent="0.25">
      <c r="F4" s="26"/>
    </row>
    <row r="5" spans="2:63" s="29" customFormat="1" x14ac:dyDescent="0.25">
      <c r="D5" s="28" t="s">
        <v>80</v>
      </c>
      <c r="F5" s="26"/>
      <c r="AD5" s="53"/>
    </row>
    <row r="6" spans="2:63" s="29" customFormat="1" x14ac:dyDescent="0.25">
      <c r="D6" s="35" t="s">
        <v>76</v>
      </c>
      <c r="F6" s="26"/>
    </row>
    <row r="7" spans="2:63" s="29" customFormat="1" x14ac:dyDescent="0.25">
      <c r="D7" s="4" t="s">
        <v>78</v>
      </c>
      <c r="F7" s="26"/>
    </row>
    <row r="8" spans="2:63" s="11" customFormat="1" x14ac:dyDescent="0.25">
      <c r="D8" s="6" t="s">
        <v>79</v>
      </c>
      <c r="F8" s="10"/>
      <c r="I8" s="22"/>
      <c r="N8" s="15"/>
      <c r="Q8" s="16"/>
      <c r="R8" s="16"/>
      <c r="AG8" s="27"/>
    </row>
    <row r="9" spans="2:63" x14ac:dyDescent="0.25">
      <c r="I9" s="22"/>
      <c r="K9" s="7"/>
      <c r="L9" s="11"/>
      <c r="M9" s="7"/>
      <c r="N9" s="15"/>
      <c r="P9" s="7"/>
      <c r="R9" s="16"/>
      <c r="U9" s="7"/>
      <c r="V9" s="11"/>
    </row>
    <row r="10" spans="2:63" s="9" customFormat="1" x14ac:dyDescent="0.25">
      <c r="B10" s="45" t="s">
        <v>9</v>
      </c>
      <c r="C10" s="45" t="s">
        <v>18</v>
      </c>
      <c r="D10" s="45" t="s">
        <v>10</v>
      </c>
      <c r="E10" s="45" t="s">
        <v>11</v>
      </c>
      <c r="F10" s="45" t="s">
        <v>12</v>
      </c>
      <c r="G10" s="45" t="s">
        <v>1</v>
      </c>
      <c r="H10" s="45" t="s">
        <v>2</v>
      </c>
      <c r="I10" s="45" t="s">
        <v>13</v>
      </c>
      <c r="J10" s="45" t="s">
        <v>14</v>
      </c>
      <c r="K10" s="45" t="s">
        <v>0</v>
      </c>
      <c r="L10" s="45" t="s">
        <v>15</v>
      </c>
      <c r="M10" s="45" t="s">
        <v>16</v>
      </c>
      <c r="N10" s="45" t="s">
        <v>17</v>
      </c>
      <c r="O10" s="45" t="s">
        <v>26</v>
      </c>
      <c r="P10" s="45" t="s">
        <v>27</v>
      </c>
      <c r="Q10" s="45" t="s">
        <v>28</v>
      </c>
      <c r="R10" s="45" t="s">
        <v>6</v>
      </c>
      <c r="S10" s="45" t="s">
        <v>7</v>
      </c>
      <c r="T10" s="45" t="s">
        <v>4</v>
      </c>
      <c r="U10" s="45" t="s">
        <v>29</v>
      </c>
      <c r="V10" s="45" t="s">
        <v>30</v>
      </c>
      <c r="W10" s="45" t="s">
        <v>31</v>
      </c>
      <c r="X10" s="45" t="s">
        <v>32</v>
      </c>
      <c r="Y10" s="45" t="s">
        <v>33</v>
      </c>
      <c r="Z10" s="45" t="s">
        <v>34</v>
      </c>
      <c r="AA10" s="45" t="s">
        <v>35</v>
      </c>
      <c r="AB10" s="45" t="s">
        <v>36</v>
      </c>
      <c r="AC10" s="45" t="s">
        <v>37</v>
      </c>
      <c r="AD10" s="34" t="s">
        <v>5</v>
      </c>
      <c r="AE10" s="37" t="s">
        <v>40</v>
      </c>
      <c r="AF10" s="36" t="s">
        <v>39</v>
      </c>
      <c r="AG10" s="3" t="s">
        <v>38</v>
      </c>
      <c r="AH10" s="3" t="s">
        <v>41</v>
      </c>
      <c r="AI10" s="3" t="s">
        <v>42</v>
      </c>
      <c r="AJ10" s="3" t="s">
        <v>43</v>
      </c>
      <c r="AK10" s="3" t="s">
        <v>44</v>
      </c>
      <c r="AL10" s="3" t="s">
        <v>45</v>
      </c>
      <c r="AM10" s="40" t="s">
        <v>46</v>
      </c>
      <c r="AN10" s="40" t="s">
        <v>47</v>
      </c>
      <c r="AO10" s="40" t="s">
        <v>48</v>
      </c>
      <c r="AP10" s="40" t="s">
        <v>49</v>
      </c>
      <c r="AQ10" s="40" t="s">
        <v>50</v>
      </c>
      <c r="AR10" s="40" t="s">
        <v>51</v>
      </c>
      <c r="AS10" s="40" t="s">
        <v>52</v>
      </c>
      <c r="AT10" s="40" t="s">
        <v>53</v>
      </c>
      <c r="AU10" s="40" t="s">
        <v>54</v>
      </c>
      <c r="AV10" s="40" t="s">
        <v>55</v>
      </c>
      <c r="AW10" s="41" t="s">
        <v>56</v>
      </c>
      <c r="AX10" s="41" t="s">
        <v>57</v>
      </c>
      <c r="AY10" s="41" t="s">
        <v>58</v>
      </c>
      <c r="AZ10" s="41" t="s">
        <v>66</v>
      </c>
      <c r="BA10" s="41" t="s">
        <v>59</v>
      </c>
      <c r="BB10" s="41" t="s">
        <v>60</v>
      </c>
      <c r="BC10" s="41" t="s">
        <v>61</v>
      </c>
      <c r="BD10" s="41" t="s">
        <v>62</v>
      </c>
      <c r="BE10" s="41" t="s">
        <v>63</v>
      </c>
      <c r="BF10" s="41" t="s">
        <v>64</v>
      </c>
      <c r="BG10" s="41" t="s">
        <v>68</v>
      </c>
      <c r="BH10" s="41" t="s">
        <v>69</v>
      </c>
      <c r="BI10" s="41" t="s">
        <v>70</v>
      </c>
      <c r="BJ10" s="41" t="s">
        <v>71</v>
      </c>
      <c r="BK10" s="41" t="s">
        <v>72</v>
      </c>
    </row>
    <row r="11" spans="2:63" s="9" customFormat="1" x14ac:dyDescent="0.25">
      <c r="B11" s="45" t="s">
        <v>19</v>
      </c>
      <c r="C11" s="45" t="s">
        <v>20</v>
      </c>
      <c r="D11" s="45" t="s">
        <v>21</v>
      </c>
      <c r="E11" s="54">
        <v>41061</v>
      </c>
      <c r="F11" s="54">
        <v>41090</v>
      </c>
      <c r="G11" s="54">
        <v>41056</v>
      </c>
      <c r="H11" s="45">
        <v>45</v>
      </c>
      <c r="I11" s="45" t="s">
        <v>3</v>
      </c>
      <c r="J11" s="45">
        <v>10</v>
      </c>
      <c r="K11" s="45">
        <v>720</v>
      </c>
      <c r="L11" s="45">
        <v>3.57</v>
      </c>
      <c r="M11" s="45">
        <v>-25704</v>
      </c>
      <c r="N11" s="45">
        <v>25.02</v>
      </c>
      <c r="O11" s="45">
        <v>9.4058717617953201E-4</v>
      </c>
      <c r="P11" s="45">
        <v>6.9226090894074503E-4</v>
      </c>
      <c r="Q11" s="45">
        <v>6.07823155576405E-2</v>
      </c>
      <c r="R11" s="46">
        <v>-3.4235703486439803E-5</v>
      </c>
      <c r="S11" s="45">
        <v>-6.6379548685862905E-4</v>
      </c>
      <c r="T11" s="45">
        <v>0.24035108277912401</v>
      </c>
      <c r="U11" s="45">
        <v>169.441136265686</v>
      </c>
      <c r="V11" s="45">
        <v>0</v>
      </c>
      <c r="W11" s="45">
        <v>1980</v>
      </c>
      <c r="X11" s="45">
        <v>-23724</v>
      </c>
      <c r="Y11" s="45">
        <v>0</v>
      </c>
      <c r="Z11" s="45">
        <v>-23724</v>
      </c>
      <c r="AA11" s="45">
        <v>-23724</v>
      </c>
      <c r="AB11" s="45">
        <v>-169.441136265686</v>
      </c>
      <c r="AC11" s="45">
        <v>-23893.441136265701</v>
      </c>
      <c r="AD11" s="35">
        <v>1.8594336779280098E-2</v>
      </c>
      <c r="AE11" s="38">
        <v>25.02</v>
      </c>
      <c r="AF11" s="3" t="str">
        <f t="shared" ref="AF11:AF16" si="0">MID(D11,4,1)</f>
        <v>C</v>
      </c>
      <c r="AG11" s="3">
        <f>B76Future($F$20,AF11,AE11,H11,G11,T11,AD11)</f>
        <v>1.1374899425680022E-3</v>
      </c>
      <c r="AH11" s="3">
        <f>B76Delta($F$20,AF11,AE11,H11,G11,T11,AD11)</f>
        <v>9.4058717786058758E-4</v>
      </c>
      <c r="AI11" s="3">
        <f>B76Gamma($F$20,AF11,AE11,H11,G11,T11,AD11)</f>
        <v>6.9226090911321493E-4</v>
      </c>
      <c r="AJ11" s="3">
        <f>B76Vega($F$20,AF11,AE11,H11,G11,T11,AD11)</f>
        <v>6.0782315576082414E-2</v>
      </c>
      <c r="AK11" s="3">
        <f>B76Theta($F$20,AF11,AE11,H11,G11,T11,AD11)</f>
        <v>-3.4235703493773421E-5</v>
      </c>
      <c r="AL11" s="3">
        <f>B76Rho($F$20,AF11,AE11,H11,G11,T11,AD11)</f>
        <v>-6.6379550073146433E-4</v>
      </c>
      <c r="AM11" s="3">
        <f>-J11*K11*L11</f>
        <v>-25704</v>
      </c>
      <c r="AN11" s="3">
        <f>J11*K11*N11*ABS(O11)</f>
        <v>169.4411362656856</v>
      </c>
      <c r="AO11" s="3">
        <v>0</v>
      </c>
      <c r="AP11" s="3">
        <f>(4.21-3.66)*5*K11</f>
        <v>1979.9999999999993</v>
      </c>
      <c r="AQ11" s="3">
        <f>AM11+AP11</f>
        <v>-23724</v>
      </c>
      <c r="AR11" s="3">
        <v>0</v>
      </c>
      <c r="AS11" s="3">
        <f>AQ11+AR11</f>
        <v>-23724</v>
      </c>
      <c r="AT11" s="3">
        <f>AP11+AM11</f>
        <v>-23724</v>
      </c>
      <c r="AU11" s="3">
        <f>-J11*K11*N11*ABS(O11)</f>
        <v>-169.4411362656856</v>
      </c>
      <c r="AV11" s="3">
        <f>AT11+AU11</f>
        <v>-23893.441136265687</v>
      </c>
      <c r="AW11" s="5">
        <f>((AM11/M11)-1)</f>
        <v>0</v>
      </c>
      <c r="AX11" s="5">
        <f>AN11/U11-1</f>
        <v>-2.3314683517128287E-15</v>
      </c>
      <c r="AY11" s="5">
        <f>AO11 - V11</f>
        <v>0</v>
      </c>
      <c r="AZ11" s="5">
        <f>AP11/W11-1</f>
        <v>0</v>
      </c>
      <c r="BA11" s="5">
        <f>AQ11/X11-1</f>
        <v>0</v>
      </c>
      <c r="BB11" s="5">
        <f>AR11 - Y11</f>
        <v>0</v>
      </c>
      <c r="BC11" s="5">
        <f>AS11/Z11-1</f>
        <v>0</v>
      </c>
      <c r="BD11" s="5">
        <f>AT11/AA11-1</f>
        <v>0</v>
      </c>
      <c r="BE11" s="5">
        <f>AU11/AB11-1</f>
        <v>-2.3314683517128287E-15</v>
      </c>
      <c r="BF11" s="5">
        <f>AV11/AC11-1</f>
        <v>0</v>
      </c>
      <c r="BG11" s="5">
        <f>AH11/O11-1</f>
        <v>1.7872405777552558E-9</v>
      </c>
      <c r="BH11" s="5">
        <f>AI11/P11-1</f>
        <v>2.491400419302181E-10</v>
      </c>
      <c r="BI11" s="5">
        <f>AJ11/Q11-1</f>
        <v>3.0340929768613023E-10</v>
      </c>
      <c r="BJ11" s="5">
        <f>AL11/S11-1</f>
        <v>2.0899261210516329E-8</v>
      </c>
      <c r="BK11" s="5">
        <f>AK11/R11-1</f>
        <v>2.1420953899564665E-10</v>
      </c>
    </row>
    <row r="12" spans="2:63" s="9" customFormat="1" x14ac:dyDescent="0.25">
      <c r="B12" s="45" t="s">
        <v>19</v>
      </c>
      <c r="C12" s="45" t="s">
        <v>20</v>
      </c>
      <c r="D12" s="45" t="s">
        <v>22</v>
      </c>
      <c r="E12" s="54">
        <v>41061</v>
      </c>
      <c r="F12" s="54">
        <v>41090</v>
      </c>
      <c r="G12" s="54">
        <v>41056</v>
      </c>
      <c r="H12" s="45">
        <v>45</v>
      </c>
      <c r="I12" s="45" t="s">
        <v>3</v>
      </c>
      <c r="J12" s="45">
        <v>10</v>
      </c>
      <c r="K12" s="45">
        <v>720</v>
      </c>
      <c r="L12" s="45">
        <v>3.57</v>
      </c>
      <c r="M12" s="45">
        <v>-25704</v>
      </c>
      <c r="N12" s="45">
        <v>25.02</v>
      </c>
      <c r="O12" s="45">
        <v>-0.98826713019517598</v>
      </c>
      <c r="P12" s="45">
        <v>6.9226090894074503E-4</v>
      </c>
      <c r="Q12" s="45">
        <v>6.07823155576405E-2</v>
      </c>
      <c r="R12" s="45">
        <v>9.7262828446006001E-4</v>
      </c>
      <c r="S12" s="45">
        <v>-11.5343921541089</v>
      </c>
      <c r="T12" s="45">
        <v>0.24035108277912401</v>
      </c>
      <c r="U12" s="45">
        <v>-178030.39390187999</v>
      </c>
      <c r="V12" s="45">
        <v>0</v>
      </c>
      <c r="W12" s="45">
        <v>1980</v>
      </c>
      <c r="X12" s="45">
        <v>-23724</v>
      </c>
      <c r="Y12" s="45">
        <v>0</v>
      </c>
      <c r="Z12" s="45">
        <v>-23724</v>
      </c>
      <c r="AA12" s="45">
        <v>-23724</v>
      </c>
      <c r="AB12" s="45">
        <v>178030.39390187999</v>
      </c>
      <c r="AC12" s="45">
        <v>154306.39390187999</v>
      </c>
      <c r="AD12" s="35">
        <v>1.8594336779280098E-2</v>
      </c>
      <c r="AE12" s="38">
        <v>25.02</v>
      </c>
      <c r="AF12" s="3" t="str">
        <f t="shared" si="0"/>
        <v>P</v>
      </c>
      <c r="AG12" s="3">
        <f>B76Future($F$20,AF12,AE12,H12,G12,T12,AD12)</f>
        <v>19.7655076830106</v>
      </c>
      <c r="AH12" s="3">
        <f>B76Delta($F$20,AF12,AE12,H12,G12,T12,AD12)</f>
        <v>-0.98826713019291179</v>
      </c>
      <c r="AI12" s="3">
        <f>B76Gamma($F$20,AF12,AE12,H12,G12,T12,AD12)</f>
        <v>6.9226090911321493E-4</v>
      </c>
      <c r="AJ12" s="3">
        <f>B76Vega($F$20,AF12,AE12,H12,G12,T12,AD12)</f>
        <v>6.0782315576082414E-2</v>
      </c>
      <c r="AK12" s="3">
        <f>B76Theta($F$20,AF12,AE12,H12,G12,T12,AD12)</f>
        <v>9.7262828445217797E-4</v>
      </c>
      <c r="AL12" s="3">
        <f>B76Rho($F$20,AF12,AE12,H12,G12,T12,AD12)</f>
        <v>-11.534392154743173</v>
      </c>
      <c r="AM12" s="3">
        <f t="shared" ref="AM12:AM14" si="1">-J12*K12*L12</f>
        <v>-25704</v>
      </c>
      <c r="AN12" s="3">
        <f>-J12*K12*N12*ABS(O12)</f>
        <v>-178030.39390187978</v>
      </c>
      <c r="AO12" s="3">
        <v>0</v>
      </c>
      <c r="AP12" s="3">
        <f>(4.21-3.66)*5*K12</f>
        <v>1979.9999999999993</v>
      </c>
      <c r="AQ12" s="3">
        <f t="shared" ref="AQ12:AQ16" si="2">AM12+AP12</f>
        <v>-23724</v>
      </c>
      <c r="AR12" s="3">
        <v>0</v>
      </c>
      <c r="AS12" s="3">
        <f t="shared" ref="AS12:AS16" si="3">AQ12+AR12</f>
        <v>-23724</v>
      </c>
      <c r="AT12" s="3">
        <f t="shared" ref="AT12:AT16" si="4">AP12+AM12</f>
        <v>-23724</v>
      </c>
      <c r="AU12" s="3">
        <f>J12*K12*N12*ABS(O12)</f>
        <v>178030.39390187978</v>
      </c>
      <c r="AV12" s="3">
        <f t="shared" ref="AV12:AV16" si="5">AT12+AU12</f>
        <v>154306.39390187978</v>
      </c>
      <c r="AW12" s="5">
        <f t="shared" ref="AW12:AW16" si="6">((AM12/M12)-1)</f>
        <v>0</v>
      </c>
      <c r="AX12" s="5">
        <f>AN12/U12-1</f>
        <v>-1.1102230246251565E-15</v>
      </c>
      <c r="AY12" s="5">
        <f t="shared" ref="AY12:AY16" si="7">AO12 - V12</f>
        <v>0</v>
      </c>
      <c r="AZ12" s="5">
        <f t="shared" ref="AZ12:AZ16" si="8">AP12/W12-1</f>
        <v>0</v>
      </c>
      <c r="BA12" s="5">
        <f t="shared" ref="BA12:BA16" si="9">AQ12/X12-1</f>
        <v>0</v>
      </c>
      <c r="BB12" s="5">
        <f t="shared" ref="BB12:BB16" si="10">AR12 - Y12</f>
        <v>0</v>
      </c>
      <c r="BC12" s="5">
        <f t="shared" ref="BC12:BC16" si="11">AS12/Z12-1</f>
        <v>0</v>
      </c>
      <c r="BD12" s="5">
        <f t="shared" ref="BD12:BD16" si="12">AT12/AA12-1</f>
        <v>0</v>
      </c>
      <c r="BE12" s="5">
        <f t="shared" ref="BE12" si="13">AU12/AB12-1</f>
        <v>-1.1102230246251565E-15</v>
      </c>
      <c r="BF12" s="5">
        <f t="shared" ref="BF12:BF16" si="14">AV12/AC12-1</f>
        <v>-1.3322676295501878E-15</v>
      </c>
      <c r="BG12" s="5">
        <f t="shared" ref="BG12" si="15">AH12/O12-1</f>
        <v>-2.291056233616473E-12</v>
      </c>
      <c r="BH12" s="5">
        <f t="shared" ref="BH12" si="16">AI12/P12-1</f>
        <v>2.491400419302181E-10</v>
      </c>
      <c r="BI12" s="5">
        <f t="shared" ref="BI12" si="17">AJ12/Q12-1</f>
        <v>3.0340929768613023E-10</v>
      </c>
      <c r="BJ12" s="5">
        <f t="shared" ref="BJ12" si="18">AL12/S12-1</f>
        <v>5.4989790498893854E-11</v>
      </c>
      <c r="BK12" s="5">
        <f t="shared" ref="BK12" si="19">AK12/R12-1</f>
        <v>-8.1038509236464051E-12</v>
      </c>
    </row>
    <row r="13" spans="2:63" s="9" customFormat="1" x14ac:dyDescent="0.25">
      <c r="B13" s="45" t="s">
        <v>19</v>
      </c>
      <c r="C13" s="45" t="s">
        <v>82</v>
      </c>
      <c r="D13" s="45" t="s">
        <v>83</v>
      </c>
      <c r="E13" s="54">
        <v>40603</v>
      </c>
      <c r="F13" s="54">
        <v>40633</v>
      </c>
      <c r="G13" s="54">
        <v>40598</v>
      </c>
      <c r="H13" s="45">
        <v>45</v>
      </c>
      <c r="I13" s="45" t="s">
        <v>8</v>
      </c>
      <c r="J13" s="45">
        <v>10</v>
      </c>
      <c r="K13" s="45">
        <v>743</v>
      </c>
      <c r="L13" s="45">
        <v>3.57</v>
      </c>
      <c r="M13" s="45">
        <v>-26525.1</v>
      </c>
      <c r="N13" s="45">
        <v>0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2043.25</v>
      </c>
      <c r="X13" s="45">
        <v>-24481.85</v>
      </c>
      <c r="Y13" s="45">
        <v>0</v>
      </c>
      <c r="Z13" s="45">
        <v>-24481.85</v>
      </c>
      <c r="AA13" s="45">
        <v>-24481.85</v>
      </c>
      <c r="AB13" s="45">
        <v>0</v>
      </c>
      <c r="AC13" s="45">
        <v>-24481.85</v>
      </c>
      <c r="AD13" s="35"/>
      <c r="AE13" s="38"/>
      <c r="AF13" s="3" t="str">
        <f t="shared" si="0"/>
        <v>C</v>
      </c>
      <c r="AG13" s="3">
        <f t="shared" ref="AG13:AG16" si="20">B76Future($F$20,AF13,AE13,H13,G13,T13,AD13)</f>
        <v>0</v>
      </c>
      <c r="AH13" s="3">
        <f t="shared" ref="AH13:AH16" si="21">B76Delta($F$20,AF13,AE13,H13,G13,T13,AD13)</f>
        <v>0</v>
      </c>
      <c r="AI13" s="3">
        <f t="shared" ref="AI13:AI16" si="22">B76Gamma($F$20,AF13,AE13,H13,G13,T13,AD13)</f>
        <v>0</v>
      </c>
      <c r="AJ13" s="3">
        <v>0</v>
      </c>
      <c r="AK13" s="3">
        <v>0</v>
      </c>
      <c r="AL13" s="3">
        <v>0</v>
      </c>
      <c r="AM13" s="3">
        <f t="shared" si="1"/>
        <v>-26525.1</v>
      </c>
      <c r="AN13" s="3">
        <f t="shared" ref="AN13:AN16" si="23">J13*K13*N13*O13</f>
        <v>0</v>
      </c>
      <c r="AO13" s="3">
        <v>0</v>
      </c>
      <c r="AP13" s="3">
        <f t="shared" ref="AP13:AP16" si="24">(4.21-3.66)*5*K13</f>
        <v>2043.2499999999993</v>
      </c>
      <c r="AQ13" s="3">
        <f t="shared" si="2"/>
        <v>-24481.85</v>
      </c>
      <c r="AR13" s="3">
        <v>0</v>
      </c>
      <c r="AS13" s="3">
        <f t="shared" si="3"/>
        <v>-24481.85</v>
      </c>
      <c r="AT13" s="3">
        <f t="shared" si="4"/>
        <v>-24481.85</v>
      </c>
      <c r="AU13" s="3">
        <f t="shared" ref="AU13:AU16" si="25">-J13*K13*N13*O13</f>
        <v>0</v>
      </c>
      <c r="AV13" s="3">
        <f t="shared" si="5"/>
        <v>-24481.85</v>
      </c>
      <c r="AW13" s="5">
        <f t="shared" si="6"/>
        <v>0</v>
      </c>
      <c r="AX13" s="5">
        <f>AN13 - U13</f>
        <v>0</v>
      </c>
      <c r="AY13" s="5">
        <f t="shared" si="7"/>
        <v>0</v>
      </c>
      <c r="AZ13" s="5">
        <f t="shared" si="8"/>
        <v>0</v>
      </c>
      <c r="BA13" s="5">
        <f t="shared" si="9"/>
        <v>0</v>
      </c>
      <c r="BB13" s="5">
        <f t="shared" si="10"/>
        <v>0</v>
      </c>
      <c r="BC13" s="5">
        <f t="shared" si="11"/>
        <v>0</v>
      </c>
      <c r="BD13" s="5">
        <f t="shared" si="12"/>
        <v>0</v>
      </c>
      <c r="BE13" s="5">
        <f>AU13-AB13</f>
        <v>0</v>
      </c>
      <c r="BF13" s="5">
        <f t="shared" si="14"/>
        <v>0</v>
      </c>
      <c r="BG13" s="5">
        <f>AH13-O13</f>
        <v>0</v>
      </c>
      <c r="BH13" s="5">
        <f>AI13-P13</f>
        <v>0</v>
      </c>
      <c r="BI13" s="5">
        <f>AJ13-Q13</f>
        <v>0</v>
      </c>
      <c r="BJ13" s="5">
        <f>AL13-S13</f>
        <v>0</v>
      </c>
      <c r="BK13" s="52">
        <f>AK13-R13</f>
        <v>0</v>
      </c>
    </row>
    <row r="14" spans="2:63" s="9" customFormat="1" x14ac:dyDescent="0.25">
      <c r="B14" s="45" t="s">
        <v>19</v>
      </c>
      <c r="C14" s="45" t="s">
        <v>82</v>
      </c>
      <c r="D14" s="45" t="s">
        <v>84</v>
      </c>
      <c r="E14" s="54">
        <v>40603</v>
      </c>
      <c r="F14" s="54">
        <v>40633</v>
      </c>
      <c r="G14" s="54">
        <v>40598</v>
      </c>
      <c r="H14" s="45">
        <v>45</v>
      </c>
      <c r="I14" s="45" t="s">
        <v>8</v>
      </c>
      <c r="J14" s="45">
        <v>10</v>
      </c>
      <c r="K14" s="45">
        <v>743</v>
      </c>
      <c r="L14" s="45">
        <v>3.57</v>
      </c>
      <c r="M14" s="45">
        <v>-26525.1</v>
      </c>
      <c r="N14" s="45">
        <v>0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2043.25</v>
      </c>
      <c r="X14" s="45">
        <v>-24481.85</v>
      </c>
      <c r="Y14" s="45">
        <v>0</v>
      </c>
      <c r="Z14" s="45">
        <v>-24481.85</v>
      </c>
      <c r="AA14" s="45">
        <v>-24481.85</v>
      </c>
      <c r="AB14" s="45">
        <v>0</v>
      </c>
      <c r="AC14" s="45">
        <v>-24481.85</v>
      </c>
      <c r="AD14" s="35"/>
      <c r="AE14" s="38"/>
      <c r="AF14" s="3" t="str">
        <f t="shared" si="0"/>
        <v>P</v>
      </c>
      <c r="AG14" s="3">
        <f t="shared" si="20"/>
        <v>0</v>
      </c>
      <c r="AH14" s="3">
        <f t="shared" si="21"/>
        <v>0</v>
      </c>
      <c r="AI14" s="3">
        <f t="shared" si="22"/>
        <v>0</v>
      </c>
      <c r="AJ14" s="3">
        <v>0</v>
      </c>
      <c r="AK14" s="3">
        <v>0</v>
      </c>
      <c r="AL14" s="3">
        <v>0</v>
      </c>
      <c r="AM14" s="3">
        <f t="shared" si="1"/>
        <v>-26525.1</v>
      </c>
      <c r="AN14" s="3">
        <f t="shared" si="23"/>
        <v>0</v>
      </c>
      <c r="AO14" s="3">
        <v>0</v>
      </c>
      <c r="AP14" s="3">
        <f t="shared" si="24"/>
        <v>2043.2499999999993</v>
      </c>
      <c r="AQ14" s="3">
        <f t="shared" si="2"/>
        <v>-24481.85</v>
      </c>
      <c r="AR14" s="3">
        <v>0</v>
      </c>
      <c r="AS14" s="3">
        <f t="shared" si="3"/>
        <v>-24481.85</v>
      </c>
      <c r="AT14" s="3">
        <f t="shared" si="4"/>
        <v>-24481.85</v>
      </c>
      <c r="AU14" s="3">
        <f t="shared" si="25"/>
        <v>0</v>
      </c>
      <c r="AV14" s="3">
        <f t="shared" si="5"/>
        <v>-24481.85</v>
      </c>
      <c r="AW14" s="5">
        <f t="shared" si="6"/>
        <v>0</v>
      </c>
      <c r="AX14" s="5">
        <f t="shared" ref="AX14:AX16" si="26">AN14 - U14</f>
        <v>0</v>
      </c>
      <c r="AY14" s="5">
        <f t="shared" si="7"/>
        <v>0</v>
      </c>
      <c r="AZ14" s="5">
        <f t="shared" si="8"/>
        <v>0</v>
      </c>
      <c r="BA14" s="5">
        <f t="shared" si="9"/>
        <v>0</v>
      </c>
      <c r="BB14" s="5">
        <f t="shared" si="10"/>
        <v>0</v>
      </c>
      <c r="BC14" s="5">
        <f t="shared" si="11"/>
        <v>0</v>
      </c>
      <c r="BD14" s="5">
        <f t="shared" si="12"/>
        <v>0</v>
      </c>
      <c r="BE14" s="5">
        <f t="shared" ref="BE14:BE16" si="27">AU14-AB14</f>
        <v>0</v>
      </c>
      <c r="BF14" s="5">
        <f t="shared" si="14"/>
        <v>0</v>
      </c>
      <c r="BG14" s="5">
        <f t="shared" ref="BG14:BG16" si="28">AH14-O14</f>
        <v>0</v>
      </c>
      <c r="BH14" s="5">
        <f t="shared" ref="BH14:BH16" si="29">AI14-P14</f>
        <v>0</v>
      </c>
      <c r="BI14" s="5">
        <f t="shared" ref="BI14:BI16" si="30">AJ14-Q14</f>
        <v>0</v>
      </c>
      <c r="BJ14" s="5">
        <f t="shared" ref="BJ14:BJ16" si="31">AL14-S14</f>
        <v>0</v>
      </c>
      <c r="BK14" s="52">
        <f t="shared" ref="BK14:BK16" si="32">AK14-R14</f>
        <v>0</v>
      </c>
    </row>
    <row r="15" spans="2:63" s="9" customFormat="1" x14ac:dyDescent="0.25">
      <c r="B15" s="45" t="s">
        <v>19</v>
      </c>
      <c r="C15" s="45" t="s">
        <v>23</v>
      </c>
      <c r="D15" s="45" t="s">
        <v>24</v>
      </c>
      <c r="E15" s="54">
        <v>40848</v>
      </c>
      <c r="F15" s="54">
        <v>40877</v>
      </c>
      <c r="G15" s="54">
        <v>40843</v>
      </c>
      <c r="H15" s="45">
        <v>45</v>
      </c>
      <c r="I15" s="45" t="s">
        <v>8</v>
      </c>
      <c r="J15" s="45">
        <v>10</v>
      </c>
      <c r="K15" s="45">
        <v>720</v>
      </c>
      <c r="L15" s="45">
        <v>3.57</v>
      </c>
      <c r="M15" s="45">
        <v>-25704</v>
      </c>
      <c r="N15" s="45">
        <v>24.79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0.49793534882655599</v>
      </c>
      <c r="U15" s="45">
        <v>0</v>
      </c>
      <c r="V15" s="45">
        <v>0</v>
      </c>
      <c r="W15" s="45">
        <v>1980</v>
      </c>
      <c r="X15" s="45">
        <v>-23724</v>
      </c>
      <c r="Y15" s="45">
        <v>0</v>
      </c>
      <c r="Z15" s="45">
        <v>-23724</v>
      </c>
      <c r="AA15" s="45">
        <v>-23724</v>
      </c>
      <c r="AB15" s="45">
        <v>0</v>
      </c>
      <c r="AC15" s="47">
        <v>-23724</v>
      </c>
      <c r="AF15" s="3" t="str">
        <f t="shared" si="0"/>
        <v>C</v>
      </c>
      <c r="AG15" s="3">
        <f t="shared" si="20"/>
        <v>0</v>
      </c>
      <c r="AH15" s="3">
        <f t="shared" si="21"/>
        <v>0</v>
      </c>
      <c r="AI15" s="3">
        <f t="shared" si="22"/>
        <v>0</v>
      </c>
      <c r="AJ15" s="3">
        <v>0</v>
      </c>
      <c r="AK15" s="3">
        <v>0</v>
      </c>
      <c r="AL15" s="3">
        <v>0</v>
      </c>
      <c r="AM15" s="3">
        <f t="shared" ref="AM15:AM16" si="33">-J15*K15*L15</f>
        <v>-25704</v>
      </c>
      <c r="AN15" s="3">
        <f t="shared" si="23"/>
        <v>0</v>
      </c>
      <c r="AO15" s="3">
        <v>0</v>
      </c>
      <c r="AP15" s="3">
        <f t="shared" si="24"/>
        <v>1979.9999999999993</v>
      </c>
      <c r="AQ15" s="3">
        <f t="shared" si="2"/>
        <v>-23724</v>
      </c>
      <c r="AR15" s="3">
        <v>0</v>
      </c>
      <c r="AS15" s="3">
        <f t="shared" si="3"/>
        <v>-23724</v>
      </c>
      <c r="AT15" s="3">
        <f t="shared" si="4"/>
        <v>-23724</v>
      </c>
      <c r="AU15" s="3">
        <f t="shared" si="25"/>
        <v>0</v>
      </c>
      <c r="AV15" s="3">
        <f t="shared" si="5"/>
        <v>-23724</v>
      </c>
      <c r="AW15" s="5">
        <f t="shared" si="6"/>
        <v>0</v>
      </c>
      <c r="AX15" s="5">
        <f t="shared" si="26"/>
        <v>0</v>
      </c>
      <c r="AY15" s="5">
        <f t="shared" si="7"/>
        <v>0</v>
      </c>
      <c r="AZ15" s="5">
        <f t="shared" si="8"/>
        <v>0</v>
      </c>
      <c r="BA15" s="5">
        <f t="shared" si="9"/>
        <v>0</v>
      </c>
      <c r="BB15" s="5">
        <f t="shared" si="10"/>
        <v>0</v>
      </c>
      <c r="BC15" s="5">
        <f t="shared" si="11"/>
        <v>0</v>
      </c>
      <c r="BD15" s="5">
        <f t="shared" si="12"/>
        <v>0</v>
      </c>
      <c r="BE15" s="5">
        <f t="shared" si="27"/>
        <v>0</v>
      </c>
      <c r="BF15" s="5">
        <f t="shared" si="14"/>
        <v>0</v>
      </c>
      <c r="BG15" s="5">
        <f t="shared" si="28"/>
        <v>0</v>
      </c>
      <c r="BH15" s="5">
        <f t="shared" si="29"/>
        <v>0</v>
      </c>
      <c r="BI15" s="5">
        <f t="shared" si="30"/>
        <v>0</v>
      </c>
      <c r="BJ15" s="5">
        <f t="shared" si="31"/>
        <v>0</v>
      </c>
      <c r="BK15" s="52">
        <f t="shared" si="32"/>
        <v>0</v>
      </c>
    </row>
    <row r="16" spans="2:63" x14ac:dyDescent="0.25">
      <c r="B16" s="47" t="s">
        <v>19</v>
      </c>
      <c r="C16" s="47" t="s">
        <v>23</v>
      </c>
      <c r="D16" s="47" t="s">
        <v>25</v>
      </c>
      <c r="E16" s="54">
        <v>40848</v>
      </c>
      <c r="F16" s="54">
        <v>40877</v>
      </c>
      <c r="G16" s="54">
        <v>40843</v>
      </c>
      <c r="H16" s="48">
        <v>45</v>
      </c>
      <c r="I16" s="48" t="s">
        <v>8</v>
      </c>
      <c r="J16" s="46">
        <v>10</v>
      </c>
      <c r="K16" s="49">
        <v>720</v>
      </c>
      <c r="L16" s="48">
        <v>3.57</v>
      </c>
      <c r="M16" s="47">
        <v>-25704</v>
      </c>
      <c r="N16" s="48">
        <v>24.79</v>
      </c>
      <c r="O16" s="47">
        <v>0</v>
      </c>
      <c r="P16" s="49">
        <v>0</v>
      </c>
      <c r="Q16" s="50">
        <v>0</v>
      </c>
      <c r="R16" s="47">
        <v>0</v>
      </c>
      <c r="S16" s="49">
        <v>0</v>
      </c>
      <c r="T16" s="47">
        <v>0.49793534882655599</v>
      </c>
      <c r="U16" s="47">
        <v>0</v>
      </c>
      <c r="V16" s="45">
        <v>0</v>
      </c>
      <c r="W16" s="51">
        <v>1980</v>
      </c>
      <c r="X16" s="51">
        <v>-23724</v>
      </c>
      <c r="Y16" s="47">
        <v>0</v>
      </c>
      <c r="Z16" s="47">
        <v>-23724</v>
      </c>
      <c r="AA16" s="49">
        <v>-23724</v>
      </c>
      <c r="AB16" s="47">
        <v>0</v>
      </c>
      <c r="AC16" s="47">
        <v>-23724</v>
      </c>
      <c r="AD16" s="25"/>
      <c r="AF16" s="3" t="str">
        <f t="shared" si="0"/>
        <v>P</v>
      </c>
      <c r="AG16" s="3">
        <f t="shared" si="20"/>
        <v>0</v>
      </c>
      <c r="AH16" s="3">
        <f t="shared" si="21"/>
        <v>0</v>
      </c>
      <c r="AI16" s="3">
        <f t="shared" si="22"/>
        <v>0</v>
      </c>
      <c r="AJ16" s="3">
        <v>0</v>
      </c>
      <c r="AK16" s="3">
        <v>0</v>
      </c>
      <c r="AL16" s="3">
        <v>0</v>
      </c>
      <c r="AM16" s="3">
        <f t="shared" si="33"/>
        <v>-25704</v>
      </c>
      <c r="AN16" s="3">
        <f t="shared" si="23"/>
        <v>0</v>
      </c>
      <c r="AO16" s="3">
        <v>0</v>
      </c>
      <c r="AP16" s="3">
        <f t="shared" si="24"/>
        <v>1979.9999999999993</v>
      </c>
      <c r="AQ16" s="3">
        <f t="shared" si="2"/>
        <v>-23724</v>
      </c>
      <c r="AR16" s="3">
        <v>0</v>
      </c>
      <c r="AS16" s="3">
        <f t="shared" si="3"/>
        <v>-23724</v>
      </c>
      <c r="AT16" s="3">
        <f t="shared" si="4"/>
        <v>-23724</v>
      </c>
      <c r="AU16" s="3">
        <f t="shared" si="25"/>
        <v>0</v>
      </c>
      <c r="AV16" s="3">
        <f t="shared" si="5"/>
        <v>-23724</v>
      </c>
      <c r="AW16" s="5">
        <f t="shared" si="6"/>
        <v>0</v>
      </c>
      <c r="AX16" s="5">
        <f t="shared" si="26"/>
        <v>0</v>
      </c>
      <c r="AY16" s="5">
        <f t="shared" si="7"/>
        <v>0</v>
      </c>
      <c r="AZ16" s="5">
        <f t="shared" si="8"/>
        <v>0</v>
      </c>
      <c r="BA16" s="5">
        <f t="shared" si="9"/>
        <v>0</v>
      </c>
      <c r="BB16" s="5">
        <f t="shared" si="10"/>
        <v>0</v>
      </c>
      <c r="BC16" s="5">
        <f t="shared" si="11"/>
        <v>0</v>
      </c>
      <c r="BD16" s="5">
        <f t="shared" si="12"/>
        <v>0</v>
      </c>
      <c r="BE16" s="5">
        <f t="shared" si="27"/>
        <v>0</v>
      </c>
      <c r="BF16" s="5">
        <f t="shared" si="14"/>
        <v>0</v>
      </c>
      <c r="BG16" s="5">
        <f t="shared" si="28"/>
        <v>0</v>
      </c>
      <c r="BH16" s="5">
        <f t="shared" si="29"/>
        <v>0</v>
      </c>
      <c r="BI16" s="5">
        <f t="shared" si="30"/>
        <v>0</v>
      </c>
      <c r="BJ16" s="5">
        <f t="shared" si="31"/>
        <v>0</v>
      </c>
      <c r="BK16" s="52">
        <f t="shared" si="32"/>
        <v>0</v>
      </c>
    </row>
    <row r="17" spans="5:30" x14ac:dyDescent="0.25">
      <c r="G17" s="13"/>
      <c r="H17" s="12"/>
      <c r="I17" s="12"/>
      <c r="J17" s="1"/>
      <c r="K17" s="2"/>
      <c r="L17" s="12"/>
      <c r="M17" s="16"/>
      <c r="N17" s="14"/>
      <c r="P17" s="18"/>
      <c r="Q17" s="17"/>
      <c r="R17" s="19"/>
      <c r="S17" s="18"/>
      <c r="V17" s="13"/>
      <c r="W17" s="23"/>
      <c r="X17" s="23"/>
      <c r="Y17" s="24"/>
      <c r="AA17" s="18"/>
      <c r="AC17" s="25"/>
      <c r="AD17" s="25"/>
    </row>
    <row r="18" spans="5:30" x14ac:dyDescent="0.25">
      <c r="G18" s="13"/>
      <c r="H18" s="12"/>
      <c r="I18" s="12"/>
      <c r="J18" s="1"/>
      <c r="K18" s="2"/>
      <c r="L18" s="12"/>
      <c r="M18" s="16"/>
      <c r="N18" s="14"/>
      <c r="P18" s="18"/>
      <c r="Q18" s="17"/>
      <c r="R18" s="19"/>
      <c r="S18" s="18"/>
      <c r="V18" s="13"/>
      <c r="W18" s="23"/>
      <c r="X18" s="23"/>
      <c r="Y18" s="24"/>
      <c r="AA18" s="18"/>
      <c r="AC18" s="25"/>
      <c r="AD18" s="25"/>
    </row>
    <row r="19" spans="5:30" ht="18.75" customHeight="1" x14ac:dyDescent="0.25">
      <c r="E19" s="7" t="s">
        <v>74</v>
      </c>
      <c r="F19" s="42" t="s">
        <v>81</v>
      </c>
      <c r="G19" s="13"/>
      <c r="H19" s="12"/>
      <c r="I19" s="12"/>
      <c r="J19" s="1"/>
      <c r="K19" s="2"/>
      <c r="L19" s="12"/>
      <c r="M19" s="16"/>
      <c r="N19" s="14"/>
      <c r="P19" s="18"/>
      <c r="Q19" s="17"/>
      <c r="R19" s="19"/>
      <c r="S19" s="18"/>
      <c r="V19" s="13"/>
      <c r="W19" s="23"/>
      <c r="X19" s="23"/>
      <c r="Y19" s="24"/>
      <c r="AA19" s="18"/>
      <c r="AC19" s="25"/>
      <c r="AD19" s="25"/>
    </row>
    <row r="20" spans="5:30" x14ac:dyDescent="0.25">
      <c r="E20" s="7" t="s">
        <v>77</v>
      </c>
      <c r="F20" s="8">
        <v>40844</v>
      </c>
      <c r="G20" s="13"/>
      <c r="H20" s="12"/>
      <c r="I20" s="12"/>
      <c r="J20" s="1"/>
      <c r="K20" s="2"/>
      <c r="L20" s="12"/>
      <c r="M20" s="16"/>
      <c r="N20" s="14"/>
      <c r="P20" s="18"/>
      <c r="Q20" s="17"/>
      <c r="R20" s="19"/>
      <c r="S20" s="18"/>
      <c r="V20" s="13"/>
      <c r="W20" s="23"/>
      <c r="X20" s="23"/>
      <c r="Y20" s="24"/>
      <c r="AA20" s="18"/>
      <c r="AC20" s="25"/>
      <c r="AD20" s="25"/>
    </row>
    <row r="21" spans="5:30" x14ac:dyDescent="0.25">
      <c r="G21" s="13"/>
      <c r="H21" s="12"/>
      <c r="I21" s="12"/>
      <c r="J21" s="1"/>
      <c r="K21" s="2"/>
      <c r="L21" s="12"/>
      <c r="M21" s="16"/>
      <c r="N21" s="14"/>
      <c r="P21" s="18"/>
      <c r="Q21" s="17"/>
      <c r="R21" s="19"/>
      <c r="S21" s="18"/>
      <c r="V21" s="13"/>
      <c r="W21" s="23"/>
      <c r="X21" s="23"/>
      <c r="Y21" s="24"/>
      <c r="AA21" s="18"/>
      <c r="AC21" s="25"/>
      <c r="AD21" s="25"/>
    </row>
    <row r="22" spans="5:30" x14ac:dyDescent="0.25">
      <c r="G22" s="13"/>
      <c r="H22" s="12"/>
      <c r="I22" s="12"/>
      <c r="J22" s="1"/>
      <c r="K22" s="2"/>
      <c r="L22" s="12"/>
      <c r="M22" s="16"/>
      <c r="N22" s="14"/>
      <c r="P22" s="18"/>
      <c r="Q22" s="17"/>
      <c r="R22" s="19"/>
      <c r="S22" s="18"/>
      <c r="V22" s="13"/>
      <c r="W22" s="23"/>
      <c r="X22" s="23"/>
      <c r="Y22" s="24"/>
      <c r="AA22" s="18"/>
      <c r="AC22" s="25"/>
      <c r="AD22" s="25"/>
    </row>
    <row r="24" spans="5:30" x14ac:dyDescent="0.25">
      <c r="R24" s="19"/>
    </row>
    <row r="25" spans="5:30" x14ac:dyDescent="0.25">
      <c r="R25" s="19"/>
    </row>
    <row r="26" spans="5:30" x14ac:dyDescent="0.25">
      <c r="R26" s="19"/>
    </row>
    <row r="27" spans="5:30" x14ac:dyDescent="0.25">
      <c r="R27" s="19"/>
    </row>
    <row r="28" spans="5:30" x14ac:dyDescent="0.25">
      <c r="R28" s="19"/>
    </row>
    <row r="29" spans="5:30" x14ac:dyDescent="0.25">
      <c r="H29" s="12"/>
      <c r="R29" s="19"/>
    </row>
    <row r="30" spans="5:30" x14ac:dyDescent="0.25">
      <c r="H30" s="12"/>
      <c r="I30" s="20"/>
      <c r="R30" s="19"/>
    </row>
    <row r="31" spans="5:30" x14ac:dyDescent="0.25">
      <c r="H31" s="12"/>
      <c r="I31" s="20"/>
      <c r="R31" s="19"/>
    </row>
    <row r="32" spans="5:30" x14ac:dyDescent="0.25">
      <c r="H32" s="12"/>
      <c r="I32" s="20"/>
      <c r="R32" s="19"/>
    </row>
    <row r="33" spans="8:18" x14ac:dyDescent="0.25">
      <c r="H33" s="12"/>
      <c r="I33" s="20"/>
      <c r="R33" s="19"/>
    </row>
    <row r="34" spans="8:18" x14ac:dyDescent="0.25">
      <c r="H34" s="12"/>
      <c r="I34" s="20"/>
      <c r="R34" s="19"/>
    </row>
    <row r="35" spans="8:18" x14ac:dyDescent="0.25">
      <c r="H35" s="12"/>
      <c r="I35" s="20"/>
    </row>
    <row r="36" spans="8:18" x14ac:dyDescent="0.25">
      <c r="H36" s="12"/>
      <c r="I36" s="20"/>
    </row>
    <row r="37" spans="8:18" x14ac:dyDescent="0.25">
      <c r="H37" s="12"/>
      <c r="I37" s="20"/>
    </row>
    <row r="38" spans="8:18" x14ac:dyDescent="0.25">
      <c r="H38" s="12"/>
      <c r="I38" s="20"/>
    </row>
    <row r="39" spans="8:18" x14ac:dyDescent="0.25">
      <c r="H39" s="12"/>
      <c r="I39" s="20"/>
    </row>
    <row r="40" spans="8:18" x14ac:dyDescent="0.25">
      <c r="I40" s="20"/>
    </row>
    <row r="41" spans="8:18" x14ac:dyDescent="0.25">
      <c r="I41" s="20"/>
    </row>
    <row r="42" spans="8:18" x14ac:dyDescent="0.25">
      <c r="I42" s="20"/>
    </row>
    <row r="43" spans="8:18" x14ac:dyDescent="0.25">
      <c r="I43" s="20"/>
    </row>
    <row r="44" spans="8:18" x14ac:dyDescent="0.25">
      <c r="I44" s="20"/>
    </row>
    <row r="45" spans="8:18" x14ac:dyDescent="0.25">
      <c r="I45" s="20"/>
    </row>
    <row r="46" spans="8:18" x14ac:dyDescent="0.25">
      <c r="I46" s="20"/>
    </row>
    <row r="47" spans="8:18" x14ac:dyDescent="0.25">
      <c r="I47" s="20"/>
    </row>
    <row r="48" spans="8:18" x14ac:dyDescent="0.25">
      <c r="I48" s="20"/>
    </row>
    <row r="49" spans="8:9" x14ac:dyDescent="0.25">
      <c r="I49" s="20"/>
    </row>
    <row r="50" spans="8:9" x14ac:dyDescent="0.25">
      <c r="I50" s="20"/>
    </row>
    <row r="51" spans="8:9" x14ac:dyDescent="0.25">
      <c r="H51" s="19"/>
      <c r="I51" s="20"/>
    </row>
    <row r="52" spans="8:9" x14ac:dyDescent="0.25">
      <c r="H52" s="19"/>
      <c r="I52" s="20"/>
    </row>
    <row r="53" spans="8:9" x14ac:dyDescent="0.25">
      <c r="H53" s="19"/>
      <c r="I53" s="20"/>
    </row>
    <row r="54" spans="8:9" x14ac:dyDescent="0.25">
      <c r="H54" s="19"/>
      <c r="I54" s="20"/>
    </row>
    <row r="55" spans="8:9" x14ac:dyDescent="0.25">
      <c r="H55" s="19"/>
      <c r="I55" s="20"/>
    </row>
    <row r="56" spans="8:9" x14ac:dyDescent="0.25">
      <c r="H56" s="19"/>
      <c r="I56" s="20"/>
    </row>
    <row r="57" spans="8:9" x14ac:dyDescent="0.25">
      <c r="H57" s="19"/>
      <c r="I57" s="20"/>
    </row>
    <row r="58" spans="8:9" x14ac:dyDescent="0.25">
      <c r="H58" s="19"/>
      <c r="I58" s="20"/>
    </row>
    <row r="59" spans="8:9" x14ac:dyDescent="0.25">
      <c r="H59" s="19"/>
      <c r="I59" s="20"/>
    </row>
    <row r="60" spans="8:9" x14ac:dyDescent="0.25">
      <c r="H60" s="19"/>
      <c r="I60" s="20"/>
    </row>
    <row r="61" spans="8:9" x14ac:dyDescent="0.25">
      <c r="H61" s="19"/>
      <c r="I61" s="20"/>
    </row>
    <row r="62" spans="8:9" x14ac:dyDescent="0.25">
      <c r="H62" s="19"/>
      <c r="I62" s="20"/>
    </row>
    <row r="63" spans="8:9" x14ac:dyDescent="0.25">
      <c r="H63" s="19"/>
      <c r="I63" s="20"/>
    </row>
    <row r="64" spans="8:9" x14ac:dyDescent="0.25">
      <c r="H64" s="19"/>
      <c r="I64" s="20"/>
    </row>
    <row r="65" spans="8:9" x14ac:dyDescent="0.25">
      <c r="H65" s="19"/>
      <c r="I65" s="20"/>
    </row>
    <row r="66" spans="8:9" x14ac:dyDescent="0.25">
      <c r="H66" s="19"/>
      <c r="I66" s="20"/>
    </row>
    <row r="67" spans="8:9" x14ac:dyDescent="0.25">
      <c r="H67" s="19"/>
      <c r="I67" s="20"/>
    </row>
    <row r="68" spans="8:9" x14ac:dyDescent="0.25">
      <c r="H68" s="19"/>
      <c r="I68" s="20"/>
    </row>
    <row r="69" spans="8:9" x14ac:dyDescent="0.25">
      <c r="H69" s="19"/>
      <c r="I69" s="20"/>
    </row>
    <row r="70" spans="8:9" x14ac:dyDescent="0.25">
      <c r="H70" s="19"/>
      <c r="I70" s="20"/>
    </row>
    <row r="71" spans="8:9" x14ac:dyDescent="0.25">
      <c r="H71" s="19"/>
      <c r="I71" s="20"/>
    </row>
    <row r="72" spans="8:9" x14ac:dyDescent="0.25">
      <c r="H72" s="19"/>
      <c r="I72" s="20"/>
    </row>
    <row r="73" spans="8:9" x14ac:dyDescent="0.25">
      <c r="H73" s="17"/>
      <c r="I73" s="20"/>
    </row>
    <row r="74" spans="8:9" x14ac:dyDescent="0.25">
      <c r="H74" s="17"/>
      <c r="I74" s="20"/>
    </row>
    <row r="75" spans="8:9" x14ac:dyDescent="0.25">
      <c r="H75" s="17"/>
      <c r="I75" s="20"/>
    </row>
    <row r="76" spans="8:9" x14ac:dyDescent="0.25">
      <c r="H76" s="17"/>
      <c r="I76" s="20"/>
    </row>
    <row r="77" spans="8:9" x14ac:dyDescent="0.25">
      <c r="H77" s="17"/>
      <c r="I77" s="20"/>
    </row>
    <row r="78" spans="8:9" x14ac:dyDescent="0.25">
      <c r="H78" s="17"/>
      <c r="I78" s="20"/>
    </row>
    <row r="79" spans="8:9" x14ac:dyDescent="0.25">
      <c r="H79" s="17"/>
      <c r="I79" s="20"/>
    </row>
    <row r="80" spans="8:9" x14ac:dyDescent="0.25">
      <c r="H80" s="17"/>
      <c r="I80" s="20"/>
    </row>
    <row r="81" spans="8:9" x14ac:dyDescent="0.25">
      <c r="H81" s="17"/>
      <c r="I81" s="20"/>
    </row>
    <row r="82" spans="8:9" x14ac:dyDescent="0.25">
      <c r="H82" s="17"/>
      <c r="I82" s="20"/>
    </row>
    <row r="83" spans="8:9" x14ac:dyDescent="0.25">
      <c r="H83" s="17"/>
      <c r="I83" s="20"/>
    </row>
    <row r="84" spans="8:9" x14ac:dyDescent="0.25">
      <c r="H84" s="17"/>
      <c r="I84" s="20"/>
    </row>
    <row r="85" spans="8:9" x14ac:dyDescent="0.25">
      <c r="H85" s="17"/>
      <c r="I85" s="20"/>
    </row>
    <row r="86" spans="8:9" x14ac:dyDescent="0.25">
      <c r="H86" s="17"/>
      <c r="I86" s="20"/>
    </row>
    <row r="87" spans="8:9" x14ac:dyDescent="0.25">
      <c r="H87" s="17"/>
      <c r="I87" s="20"/>
    </row>
    <row r="88" spans="8:9" x14ac:dyDescent="0.25">
      <c r="H88" s="17"/>
      <c r="I88" s="20"/>
    </row>
    <row r="89" spans="8:9" x14ac:dyDescent="0.25">
      <c r="H89" s="17"/>
      <c r="I89" s="20"/>
    </row>
    <row r="90" spans="8:9" x14ac:dyDescent="0.25">
      <c r="H90" s="17"/>
      <c r="I90" s="20"/>
    </row>
    <row r="91" spans="8:9" x14ac:dyDescent="0.25">
      <c r="H91" s="17"/>
      <c r="I91" s="20"/>
    </row>
    <row r="92" spans="8:9" x14ac:dyDescent="0.25">
      <c r="H92" s="17"/>
      <c r="I92" s="20"/>
    </row>
    <row r="93" spans="8:9" x14ac:dyDescent="0.25">
      <c r="H93" s="17"/>
      <c r="I93" s="20"/>
    </row>
    <row r="94" spans="8:9" x14ac:dyDescent="0.25">
      <c r="H94" s="17"/>
      <c r="I94" s="20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O63"/>
  <sheetViews>
    <sheetView topLeftCell="A7" workbookViewId="0">
      <selection activeCell="H42" sqref="H42"/>
    </sheetView>
  </sheetViews>
  <sheetFormatPr baseColWidth="10" defaultColWidth="11.42578125" defaultRowHeight="15" x14ac:dyDescent="0.25"/>
  <cols>
    <col min="2" max="2" width="15.42578125" bestFit="1" customWidth="1"/>
    <col min="3" max="3" width="12.7109375" bestFit="1" customWidth="1"/>
    <col min="4" max="4" width="11.5703125" bestFit="1" customWidth="1"/>
    <col min="6" max="6" width="8.85546875" bestFit="1" customWidth="1"/>
    <col min="7" max="7" width="14.5703125" bestFit="1" customWidth="1"/>
    <col min="8" max="8" width="10.5703125" bestFit="1" customWidth="1"/>
    <col min="9" max="9" width="15.140625" bestFit="1" customWidth="1"/>
    <col min="10" max="10" width="38.85546875" bestFit="1" customWidth="1"/>
    <col min="11" max="11" width="26" customWidth="1"/>
    <col min="12" max="12" width="12.5703125" bestFit="1" customWidth="1"/>
    <col min="13" max="13" width="13.85546875" bestFit="1" customWidth="1"/>
    <col min="14" max="14" width="12.7109375" bestFit="1" customWidth="1"/>
    <col min="15" max="15" width="24.7109375" bestFit="1" customWidth="1"/>
  </cols>
  <sheetData>
    <row r="2" spans="2:14" x14ac:dyDescent="0.25">
      <c r="B2" s="29"/>
      <c r="C2" s="29"/>
    </row>
    <row r="3" spans="2:14" x14ac:dyDescent="0.25">
      <c r="B3" s="29"/>
      <c r="C3" s="29"/>
    </row>
    <row r="4" spans="2:14" ht="14.25" customHeight="1" x14ac:dyDescent="0.25">
      <c r="B4" s="28" t="s">
        <v>80</v>
      </c>
      <c r="C4" s="29"/>
      <c r="D4" s="29" t="s">
        <v>74</v>
      </c>
      <c r="E4" s="42" t="s">
        <v>139</v>
      </c>
    </row>
    <row r="5" spans="2:14" x14ac:dyDescent="0.25">
      <c r="B5" s="35" t="s">
        <v>76</v>
      </c>
      <c r="C5" s="29"/>
      <c r="D5" s="29" t="s">
        <v>77</v>
      </c>
      <c r="E5" s="26">
        <v>40844</v>
      </c>
      <c r="L5" s="35" t="s">
        <v>130</v>
      </c>
      <c r="M5" s="35"/>
      <c r="N5">
        <v>8.2560000000000002</v>
      </c>
    </row>
    <row r="6" spans="2:14" x14ac:dyDescent="0.25">
      <c r="B6" s="4" t="s">
        <v>78</v>
      </c>
      <c r="L6" s="35" t="s">
        <v>131</v>
      </c>
      <c r="M6" s="35"/>
      <c r="N6">
        <v>25.02</v>
      </c>
    </row>
    <row r="7" spans="2:14" x14ac:dyDescent="0.25">
      <c r="B7" s="6" t="s">
        <v>79</v>
      </c>
      <c r="L7" s="35" t="s">
        <v>135</v>
      </c>
      <c r="M7" s="35"/>
      <c r="N7">
        <f>AVERAGE(N33:N62)</f>
        <v>7.7530017442666681</v>
      </c>
    </row>
    <row r="8" spans="2:14" x14ac:dyDescent="0.25">
      <c r="L8" s="29"/>
    </row>
    <row r="9" spans="2:14" x14ac:dyDescent="0.25">
      <c r="B9" s="28" t="s">
        <v>88</v>
      </c>
      <c r="C9" s="28" t="s">
        <v>89</v>
      </c>
      <c r="D9" s="28" t="s">
        <v>90</v>
      </c>
      <c r="E9" s="28" t="s">
        <v>91</v>
      </c>
      <c r="F9" s="28" t="s">
        <v>92</v>
      </c>
      <c r="G9" s="28" t="s">
        <v>93</v>
      </c>
      <c r="H9" s="28" t="s">
        <v>94</v>
      </c>
      <c r="I9" s="28" t="s">
        <v>95</v>
      </c>
      <c r="J9" s="28" t="s">
        <v>96</v>
      </c>
      <c r="K9" s="28" t="s">
        <v>97</v>
      </c>
      <c r="L9" s="4" t="s">
        <v>128</v>
      </c>
      <c r="M9" s="4" t="s">
        <v>129</v>
      </c>
      <c r="N9" s="6"/>
    </row>
    <row r="10" spans="2:14" x14ac:dyDescent="0.25">
      <c r="B10" s="56">
        <v>40179</v>
      </c>
      <c r="C10" s="28">
        <v>0</v>
      </c>
      <c r="D10" s="28" t="s">
        <v>98</v>
      </c>
      <c r="E10" s="28">
        <v>165</v>
      </c>
      <c r="F10" s="28" t="s">
        <v>99</v>
      </c>
      <c r="G10" s="28">
        <v>-108781.05655288701</v>
      </c>
      <c r="H10" s="28" t="s">
        <v>100</v>
      </c>
      <c r="I10" s="28" t="s">
        <v>101</v>
      </c>
      <c r="J10" s="28" t="s">
        <v>102</v>
      </c>
      <c r="K10" s="28" t="s">
        <v>103</v>
      </c>
      <c r="L10" s="4">
        <f>-5*3.66*30*24</f>
        <v>-13176</v>
      </c>
      <c r="M10" s="4">
        <f>L10*N$5</f>
        <v>-108781.056</v>
      </c>
      <c r="N10" s="6">
        <f>G10/M10-1</f>
        <v>5.0825670339094131E-9</v>
      </c>
    </row>
    <row r="11" spans="2:14" x14ac:dyDescent="0.25">
      <c r="B11" s="56">
        <v>40179</v>
      </c>
      <c r="C11" s="28">
        <v>0</v>
      </c>
      <c r="D11" s="28" t="s">
        <v>98</v>
      </c>
      <c r="E11" s="28">
        <v>165</v>
      </c>
      <c r="F11" s="28" t="s">
        <v>99</v>
      </c>
      <c r="G11" s="28">
        <v>125127.936635971</v>
      </c>
      <c r="H11" s="28" t="s">
        <v>100</v>
      </c>
      <c r="I11" s="28" t="s">
        <v>101</v>
      </c>
      <c r="J11" s="28" t="s">
        <v>102</v>
      </c>
      <c r="K11" s="28" t="s">
        <v>104</v>
      </c>
      <c r="L11" s="4">
        <f>5*4.21*30*24</f>
        <v>15156</v>
      </c>
      <c r="M11" s="4">
        <f t="shared" ref="M11:M30" si="0">L11*N$5</f>
        <v>125127.936</v>
      </c>
      <c r="N11" s="6">
        <f t="shared" ref="N11:N30" si="1">G11/M11-1</f>
        <v>5.0825659236863885E-9</v>
      </c>
    </row>
    <row r="12" spans="2:14" x14ac:dyDescent="0.25">
      <c r="B12" s="56">
        <v>40179</v>
      </c>
      <c r="C12" s="28">
        <v>0</v>
      </c>
      <c r="D12" s="28" t="s">
        <v>98</v>
      </c>
      <c r="E12" s="28">
        <v>165</v>
      </c>
      <c r="F12" s="28" t="s">
        <v>99</v>
      </c>
      <c r="G12" s="28">
        <v>-212212.22507858201</v>
      </c>
      <c r="H12" s="28" t="s">
        <v>100</v>
      </c>
      <c r="I12" s="28" t="s">
        <v>101</v>
      </c>
      <c r="J12" s="28" t="s">
        <v>102</v>
      </c>
      <c r="K12" s="28" t="s">
        <v>105</v>
      </c>
      <c r="L12" s="4">
        <f>-10*3.57*30*24</f>
        <v>-25703.999999999993</v>
      </c>
      <c r="M12" s="4">
        <f t="shared" si="0"/>
        <v>-212212.22399999996</v>
      </c>
      <c r="N12" s="6">
        <f t="shared" si="1"/>
        <v>5.0825632591511294E-9</v>
      </c>
    </row>
    <row r="13" spans="2:14" x14ac:dyDescent="0.25">
      <c r="B13" s="56">
        <v>40179</v>
      </c>
      <c r="C13" s="28">
        <v>0</v>
      </c>
      <c r="D13" s="28" t="s">
        <v>98</v>
      </c>
      <c r="E13" s="28">
        <v>165</v>
      </c>
      <c r="F13" s="28" t="s">
        <v>99</v>
      </c>
      <c r="G13" s="28">
        <v>-108781.05655288701</v>
      </c>
      <c r="H13" s="28" t="s">
        <v>100</v>
      </c>
      <c r="I13" s="28" t="s">
        <v>101</v>
      </c>
      <c r="J13" s="28" t="s">
        <v>106</v>
      </c>
      <c r="K13" s="28" t="s">
        <v>107</v>
      </c>
      <c r="L13" s="4">
        <f>-5*3.66*30*24</f>
        <v>-13176</v>
      </c>
      <c r="M13" s="4">
        <f t="shared" si="0"/>
        <v>-108781.056</v>
      </c>
      <c r="N13" s="6">
        <f t="shared" si="1"/>
        <v>5.0825670339094131E-9</v>
      </c>
    </row>
    <row r="14" spans="2:14" x14ac:dyDescent="0.25">
      <c r="B14" s="56">
        <v>40179</v>
      </c>
      <c r="C14" s="28">
        <v>0</v>
      </c>
      <c r="D14" s="28" t="s">
        <v>98</v>
      </c>
      <c r="E14" s="28">
        <v>165</v>
      </c>
      <c r="F14" s="28" t="s">
        <v>99</v>
      </c>
      <c r="G14" s="28">
        <v>125127.936635971</v>
      </c>
      <c r="H14" s="28" t="s">
        <v>100</v>
      </c>
      <c r="I14" s="28" t="s">
        <v>101</v>
      </c>
      <c r="J14" s="28" t="s">
        <v>106</v>
      </c>
      <c r="K14" s="28" t="s">
        <v>108</v>
      </c>
      <c r="L14" s="4">
        <f>5*4.21*30*24</f>
        <v>15156</v>
      </c>
      <c r="M14" s="4">
        <f t="shared" si="0"/>
        <v>125127.936</v>
      </c>
      <c r="N14" s="6">
        <f t="shared" si="1"/>
        <v>5.0825659236863885E-9</v>
      </c>
    </row>
    <row r="15" spans="2:14" x14ac:dyDescent="0.25">
      <c r="B15" s="56">
        <v>40179</v>
      </c>
      <c r="C15" s="28">
        <v>0</v>
      </c>
      <c r="D15" s="28" t="s">
        <v>98</v>
      </c>
      <c r="E15" s="28">
        <v>165</v>
      </c>
      <c r="F15" s="28" t="s">
        <v>99</v>
      </c>
      <c r="G15" s="28">
        <v>-212212.22507858201</v>
      </c>
      <c r="H15" s="28" t="s">
        <v>100</v>
      </c>
      <c r="I15" s="28" t="s">
        <v>101</v>
      </c>
      <c r="J15" s="28" t="s">
        <v>106</v>
      </c>
      <c r="K15" s="28" t="s">
        <v>109</v>
      </c>
      <c r="L15" s="4">
        <f t="shared" ref="L15:L23" si="2">-10*3.57*30*24</f>
        <v>-25703.999999999993</v>
      </c>
      <c r="M15" s="4">
        <f t="shared" si="0"/>
        <v>-212212.22399999996</v>
      </c>
      <c r="N15" s="6">
        <f t="shared" si="1"/>
        <v>5.0825632591511294E-9</v>
      </c>
    </row>
    <row r="16" spans="2:14" x14ac:dyDescent="0.25">
      <c r="B16" s="56">
        <v>40179</v>
      </c>
      <c r="C16" s="28">
        <v>0</v>
      </c>
      <c r="D16" s="28" t="s">
        <v>98</v>
      </c>
      <c r="E16" s="28">
        <v>165</v>
      </c>
      <c r="F16" s="28" t="s">
        <v>99</v>
      </c>
      <c r="G16" s="28">
        <v>-108781.05655288701</v>
      </c>
      <c r="H16" s="28" t="s">
        <v>100</v>
      </c>
      <c r="I16" s="28" t="s">
        <v>101</v>
      </c>
      <c r="J16" s="28" t="s">
        <v>110</v>
      </c>
      <c r="K16" s="28" t="s">
        <v>111</v>
      </c>
      <c r="L16" s="4">
        <f>-5*3.66*30*24</f>
        <v>-13176</v>
      </c>
      <c r="M16" s="4">
        <f t="shared" si="0"/>
        <v>-108781.056</v>
      </c>
      <c r="N16" s="6">
        <f t="shared" si="1"/>
        <v>5.0825670339094131E-9</v>
      </c>
    </row>
    <row r="17" spans="2:15" x14ac:dyDescent="0.25">
      <c r="B17" s="56">
        <v>40179</v>
      </c>
      <c r="C17" s="28">
        <v>0</v>
      </c>
      <c r="D17" s="28" t="s">
        <v>98</v>
      </c>
      <c r="E17" s="28">
        <v>165</v>
      </c>
      <c r="F17" s="28" t="s">
        <v>99</v>
      </c>
      <c r="G17" s="28">
        <v>125127.936635971</v>
      </c>
      <c r="H17" s="28" t="s">
        <v>100</v>
      </c>
      <c r="I17" s="28" t="s">
        <v>101</v>
      </c>
      <c r="J17" s="28" t="s">
        <v>110</v>
      </c>
      <c r="K17" s="28" t="s">
        <v>112</v>
      </c>
      <c r="L17" s="4">
        <f>5*4.21*30*24</f>
        <v>15156</v>
      </c>
      <c r="M17" s="4">
        <f t="shared" si="0"/>
        <v>125127.936</v>
      </c>
      <c r="N17" s="6">
        <f t="shared" si="1"/>
        <v>5.0825659236863885E-9</v>
      </c>
    </row>
    <row r="18" spans="2:15" x14ac:dyDescent="0.25">
      <c r="B18" s="56">
        <v>40179</v>
      </c>
      <c r="C18" s="28">
        <v>0</v>
      </c>
      <c r="D18" s="28" t="s">
        <v>98</v>
      </c>
      <c r="E18" s="28">
        <v>165</v>
      </c>
      <c r="F18" s="28" t="s">
        <v>99</v>
      </c>
      <c r="G18" s="28">
        <v>-212212.22507858201</v>
      </c>
      <c r="H18" s="28" t="s">
        <v>100</v>
      </c>
      <c r="I18" s="28" t="s">
        <v>101</v>
      </c>
      <c r="J18" s="28" t="s">
        <v>110</v>
      </c>
      <c r="K18" s="28" t="s">
        <v>113</v>
      </c>
      <c r="L18" s="4">
        <f t="shared" si="2"/>
        <v>-25703.999999999993</v>
      </c>
      <c r="M18" s="4">
        <f t="shared" si="0"/>
        <v>-212212.22399999996</v>
      </c>
      <c r="N18" s="6">
        <f t="shared" si="1"/>
        <v>5.0825632591511294E-9</v>
      </c>
    </row>
    <row r="19" spans="2:15" x14ac:dyDescent="0.25">
      <c r="B19" s="56">
        <v>40179</v>
      </c>
      <c r="C19" s="28">
        <v>0</v>
      </c>
      <c r="D19" s="28" t="s">
        <v>98</v>
      </c>
      <c r="E19" s="28">
        <v>165</v>
      </c>
      <c r="F19" s="28" t="s">
        <v>99</v>
      </c>
      <c r="G19" s="28">
        <v>-108781.05655288701</v>
      </c>
      <c r="H19" s="28" t="s">
        <v>100</v>
      </c>
      <c r="I19" s="28" t="s">
        <v>101</v>
      </c>
      <c r="J19" s="28" t="s">
        <v>114</v>
      </c>
      <c r="K19" s="28" t="s">
        <v>115</v>
      </c>
      <c r="L19" s="4">
        <f>-5*3.66*30*24</f>
        <v>-13176</v>
      </c>
      <c r="M19" s="4">
        <f t="shared" si="0"/>
        <v>-108781.056</v>
      </c>
      <c r="N19" s="6">
        <f t="shared" si="1"/>
        <v>5.0825670339094131E-9</v>
      </c>
    </row>
    <row r="20" spans="2:15" x14ac:dyDescent="0.25">
      <c r="B20" s="56">
        <v>41061</v>
      </c>
      <c r="C20" s="28">
        <v>0</v>
      </c>
      <c r="D20" s="28" t="s">
        <v>116</v>
      </c>
      <c r="E20" s="28">
        <v>165</v>
      </c>
      <c r="F20" s="28" t="s">
        <v>99</v>
      </c>
      <c r="G20" s="28">
        <v>698328.37310582295</v>
      </c>
      <c r="H20" s="28" t="s">
        <v>100</v>
      </c>
      <c r="I20" s="28" t="s">
        <v>101</v>
      </c>
      <c r="J20" s="28" t="s">
        <v>117</v>
      </c>
      <c r="K20" s="28" t="s">
        <v>115</v>
      </c>
      <c r="L20" s="4">
        <f>5*30*24*N6</f>
        <v>90072</v>
      </c>
      <c r="M20" s="4">
        <f>L20*N$7</f>
        <v>698328.37310958735</v>
      </c>
      <c r="N20" s="6">
        <f t="shared" si="1"/>
        <v>-5.3905768737649851E-12</v>
      </c>
    </row>
    <row r="21" spans="2:15" x14ac:dyDescent="0.25">
      <c r="B21" s="56">
        <v>40179</v>
      </c>
      <c r="C21" s="28">
        <v>0</v>
      </c>
      <c r="D21" s="28" t="s">
        <v>98</v>
      </c>
      <c r="E21" s="28">
        <v>165</v>
      </c>
      <c r="F21" s="28" t="s">
        <v>99</v>
      </c>
      <c r="G21" s="28">
        <v>125127.936635971</v>
      </c>
      <c r="H21" s="28" t="s">
        <v>100</v>
      </c>
      <c r="I21" s="28" t="s">
        <v>101</v>
      </c>
      <c r="J21" s="28" t="s">
        <v>114</v>
      </c>
      <c r="K21" s="28" t="s">
        <v>118</v>
      </c>
      <c r="L21" s="4">
        <f>5*4.21*30*24</f>
        <v>15156</v>
      </c>
      <c r="M21" s="4">
        <f t="shared" si="0"/>
        <v>125127.936</v>
      </c>
      <c r="N21" s="6">
        <f t="shared" si="1"/>
        <v>5.0825659236863885E-9</v>
      </c>
    </row>
    <row r="22" spans="2:15" x14ac:dyDescent="0.25">
      <c r="B22" s="56">
        <v>41061</v>
      </c>
      <c r="C22" s="28">
        <v>0</v>
      </c>
      <c r="D22" s="28" t="s">
        <v>116</v>
      </c>
      <c r="E22" s="28">
        <v>165</v>
      </c>
      <c r="F22" s="28" t="s">
        <v>99</v>
      </c>
      <c r="G22" s="28">
        <v>-698328.37310582295</v>
      </c>
      <c r="H22" s="28" t="s">
        <v>100</v>
      </c>
      <c r="I22" s="28" t="s">
        <v>101</v>
      </c>
      <c r="J22" s="28" t="s">
        <v>117</v>
      </c>
      <c r="K22" s="28" t="s">
        <v>118</v>
      </c>
      <c r="L22" s="4">
        <f>-5*30*24*N6</f>
        <v>-90072</v>
      </c>
      <c r="M22" s="4">
        <f>L22*N$7</f>
        <v>-698328.37310958735</v>
      </c>
      <c r="N22" s="6">
        <f t="shared" si="1"/>
        <v>-5.3905768737649851E-12</v>
      </c>
    </row>
    <row r="23" spans="2:15" x14ac:dyDescent="0.25">
      <c r="B23" s="56">
        <v>40179</v>
      </c>
      <c r="C23" s="28">
        <v>0</v>
      </c>
      <c r="D23" s="28" t="s">
        <v>98</v>
      </c>
      <c r="E23" s="28">
        <v>165</v>
      </c>
      <c r="F23" s="28" t="s">
        <v>99</v>
      </c>
      <c r="G23" s="28">
        <v>-212212.22507858201</v>
      </c>
      <c r="H23" s="28" t="s">
        <v>100</v>
      </c>
      <c r="I23" s="28" t="s">
        <v>101</v>
      </c>
      <c r="J23" s="28" t="s">
        <v>114</v>
      </c>
      <c r="K23" s="28" t="s">
        <v>119</v>
      </c>
      <c r="L23" s="4">
        <f t="shared" si="2"/>
        <v>-25703.999999999993</v>
      </c>
      <c r="M23" s="4">
        <f t="shared" si="0"/>
        <v>-212212.22399999996</v>
      </c>
      <c r="N23" s="6">
        <f t="shared" si="1"/>
        <v>5.0825632591511294E-9</v>
      </c>
    </row>
    <row r="24" spans="2:15" x14ac:dyDescent="0.25">
      <c r="B24" s="56">
        <v>41061</v>
      </c>
      <c r="C24" s="28">
        <v>0</v>
      </c>
      <c r="D24" s="28" t="s">
        <v>116</v>
      </c>
      <c r="E24" s="28">
        <v>165</v>
      </c>
      <c r="F24" s="28" t="s">
        <v>99</v>
      </c>
      <c r="G24" s="28">
        <v>1396656.7462116501</v>
      </c>
      <c r="H24" s="28" t="s">
        <v>100</v>
      </c>
      <c r="I24" s="28" t="s">
        <v>101</v>
      </c>
      <c r="J24" s="28" t="s">
        <v>117</v>
      </c>
      <c r="K24" s="28" t="s">
        <v>119</v>
      </c>
      <c r="L24" s="4">
        <f>10*30*24*N6</f>
        <v>180144</v>
      </c>
      <c r="M24" s="4">
        <f>L24*N$7</f>
        <v>1396656.7462191747</v>
      </c>
      <c r="N24" s="6">
        <f t="shared" si="1"/>
        <v>-5.3875792715984971E-12</v>
      </c>
    </row>
    <row r="25" spans="2:15" x14ac:dyDescent="0.25">
      <c r="B25" s="56">
        <v>40179</v>
      </c>
      <c r="C25" s="28">
        <v>0</v>
      </c>
      <c r="D25" s="28" t="s">
        <v>98</v>
      </c>
      <c r="E25" s="28">
        <v>165</v>
      </c>
      <c r="F25" s="28" t="s">
        <v>99</v>
      </c>
      <c r="G25" s="28">
        <v>-112256.006970548</v>
      </c>
      <c r="H25" s="28" t="s">
        <v>100</v>
      </c>
      <c r="I25" s="28" t="s">
        <v>101</v>
      </c>
      <c r="J25" s="28" t="s">
        <v>120</v>
      </c>
      <c r="K25" s="28" t="s">
        <v>121</v>
      </c>
      <c r="L25" s="4">
        <f>-5*3.66*(31*24-1)</f>
        <v>-13596.9</v>
      </c>
      <c r="M25" s="4">
        <f t="shared" si="0"/>
        <v>-112256.0064</v>
      </c>
      <c r="N25" s="6">
        <f t="shared" si="1"/>
        <v>5.0825610387050801E-9</v>
      </c>
    </row>
    <row r="26" spans="2:15" x14ac:dyDescent="0.25">
      <c r="B26" s="56">
        <v>40179</v>
      </c>
      <c r="C26" s="28">
        <v>0</v>
      </c>
      <c r="D26" s="28" t="s">
        <v>98</v>
      </c>
      <c r="E26" s="28">
        <v>165</v>
      </c>
      <c r="F26" s="28" t="s">
        <v>99</v>
      </c>
      <c r="G26" s="28">
        <v>129125.079056287</v>
      </c>
      <c r="H26" s="28" t="s">
        <v>100</v>
      </c>
      <c r="I26" s="28" t="s">
        <v>101</v>
      </c>
      <c r="J26" s="28" t="s">
        <v>120</v>
      </c>
      <c r="K26" s="28" t="s">
        <v>122</v>
      </c>
      <c r="L26" s="4">
        <f>5*4.21*(31*24-1)</f>
        <v>15640.15</v>
      </c>
      <c r="M26" s="4">
        <f t="shared" si="0"/>
        <v>129125.0784</v>
      </c>
      <c r="N26" s="6">
        <f t="shared" si="1"/>
        <v>5.0825681441324377E-9</v>
      </c>
    </row>
    <row r="27" spans="2:15" x14ac:dyDescent="0.25">
      <c r="B27" s="56">
        <v>40179</v>
      </c>
      <c r="C27" s="28">
        <v>0</v>
      </c>
      <c r="D27" s="28" t="s">
        <v>98</v>
      </c>
      <c r="E27" s="28">
        <v>165</v>
      </c>
      <c r="F27" s="28" t="s">
        <v>99</v>
      </c>
      <c r="G27" s="28">
        <v>-218991.226713037</v>
      </c>
      <c r="H27" s="28" t="s">
        <v>100</v>
      </c>
      <c r="I27" s="28" t="s">
        <v>101</v>
      </c>
      <c r="J27" s="28" t="s">
        <v>120</v>
      </c>
      <c r="K27" s="28" t="s">
        <v>123</v>
      </c>
      <c r="L27" s="4">
        <f>-10*3.57*(31*24-1)</f>
        <v>-26525.1</v>
      </c>
      <c r="M27" s="4">
        <f t="shared" si="0"/>
        <v>-218991.22560000001</v>
      </c>
      <c r="N27" s="6">
        <f t="shared" si="1"/>
        <v>5.082564369374154E-9</v>
      </c>
    </row>
    <row r="28" spans="2:15" x14ac:dyDescent="0.25">
      <c r="B28" s="56">
        <v>40179</v>
      </c>
      <c r="C28" s="28">
        <v>0</v>
      </c>
      <c r="D28" s="28" t="s">
        <v>98</v>
      </c>
      <c r="E28" s="28">
        <v>165</v>
      </c>
      <c r="F28" s="28" t="s">
        <v>99</v>
      </c>
      <c r="G28" s="28">
        <v>-112256.006970548</v>
      </c>
      <c r="H28" s="28" t="s">
        <v>100</v>
      </c>
      <c r="I28" s="28" t="s">
        <v>101</v>
      </c>
      <c r="J28" s="28" t="s">
        <v>124</v>
      </c>
      <c r="K28" s="28" t="s">
        <v>125</v>
      </c>
      <c r="L28" s="4">
        <f t="shared" ref="L28" si="3">-5*3.66*(31*24-1)</f>
        <v>-13596.9</v>
      </c>
      <c r="M28" s="4">
        <f t="shared" si="0"/>
        <v>-112256.0064</v>
      </c>
      <c r="N28" s="6">
        <f t="shared" si="1"/>
        <v>5.0825610387050801E-9</v>
      </c>
    </row>
    <row r="29" spans="2:15" x14ac:dyDescent="0.25">
      <c r="B29" s="56">
        <v>40179</v>
      </c>
      <c r="C29" s="28">
        <v>0</v>
      </c>
      <c r="D29" s="28" t="s">
        <v>98</v>
      </c>
      <c r="E29" s="28">
        <v>165</v>
      </c>
      <c r="F29" s="28" t="s">
        <v>99</v>
      </c>
      <c r="G29" s="28">
        <v>129125.079056287</v>
      </c>
      <c r="H29" s="28" t="s">
        <v>100</v>
      </c>
      <c r="I29" s="28" t="s">
        <v>101</v>
      </c>
      <c r="J29" s="28" t="s">
        <v>124</v>
      </c>
      <c r="K29" s="28" t="s">
        <v>126</v>
      </c>
      <c r="L29" s="4">
        <f>5*4.21*(31*24-1)</f>
        <v>15640.15</v>
      </c>
      <c r="M29" s="4">
        <f t="shared" si="0"/>
        <v>129125.0784</v>
      </c>
      <c r="N29" s="6">
        <f t="shared" si="1"/>
        <v>5.0825681441324377E-9</v>
      </c>
    </row>
    <row r="30" spans="2:15" x14ac:dyDescent="0.25">
      <c r="B30" s="56">
        <v>40179</v>
      </c>
      <c r="C30" s="28">
        <v>0</v>
      </c>
      <c r="D30" s="28" t="s">
        <v>98</v>
      </c>
      <c r="E30" s="28">
        <v>165</v>
      </c>
      <c r="F30" s="28" t="s">
        <v>99</v>
      </c>
      <c r="G30" s="28">
        <v>-218991.226713037</v>
      </c>
      <c r="H30" s="28" t="s">
        <v>100</v>
      </c>
      <c r="I30" s="28" t="s">
        <v>101</v>
      </c>
      <c r="J30" s="28" t="s">
        <v>124</v>
      </c>
      <c r="K30" s="28" t="s">
        <v>127</v>
      </c>
      <c r="L30" s="4">
        <f>-10*3.57*(31*24-1)</f>
        <v>-26525.1</v>
      </c>
      <c r="M30" s="4">
        <f t="shared" si="0"/>
        <v>-218991.22560000001</v>
      </c>
      <c r="N30" s="6">
        <f t="shared" si="1"/>
        <v>5.082564369374154E-9</v>
      </c>
    </row>
    <row r="32" spans="2:15" x14ac:dyDescent="0.25">
      <c r="K32" s="57" t="s">
        <v>136</v>
      </c>
      <c r="L32" s="57" t="s">
        <v>132</v>
      </c>
      <c r="M32" s="57" t="s">
        <v>133</v>
      </c>
      <c r="N32" s="57" t="s">
        <v>134</v>
      </c>
      <c r="O32" s="57" t="s">
        <v>137</v>
      </c>
    </row>
    <row r="33" spans="11:15" x14ac:dyDescent="0.25">
      <c r="K33">
        <f>$L$20/30</f>
        <v>3002.4</v>
      </c>
      <c r="L33" s="58">
        <v>41061</v>
      </c>
      <c r="M33" s="58">
        <v>41062</v>
      </c>
      <c r="N33" s="57">
        <v>7.7483014150000002</v>
      </c>
      <c r="O33" s="57">
        <f>K33*N33</f>
        <v>23263.500168396</v>
      </c>
    </row>
    <row r="34" spans="11:15" x14ac:dyDescent="0.25">
      <c r="K34" s="29">
        <f t="shared" ref="K34:K62" si="4">$L$20/30</f>
        <v>3002.4</v>
      </c>
      <c r="L34" s="58">
        <v>41062</v>
      </c>
      <c r="M34" s="58">
        <v>41063</v>
      </c>
      <c r="N34" s="57">
        <v>7.7486272759999997</v>
      </c>
      <c r="O34" s="57">
        <f t="shared" ref="O34:O62" si="5">K34*N34</f>
        <v>23264.478533462399</v>
      </c>
    </row>
    <row r="35" spans="11:15" x14ac:dyDescent="0.25">
      <c r="K35" s="29">
        <f t="shared" si="4"/>
        <v>3002.4</v>
      </c>
      <c r="L35" s="58">
        <v>41063</v>
      </c>
      <c r="M35" s="58">
        <v>41064</v>
      </c>
      <c r="N35" s="57">
        <v>7.7489529509999997</v>
      </c>
      <c r="O35" s="57">
        <f t="shared" si="5"/>
        <v>23265.456340082401</v>
      </c>
    </row>
    <row r="36" spans="11:15" x14ac:dyDescent="0.25">
      <c r="K36" s="29">
        <f t="shared" si="4"/>
        <v>3002.4</v>
      </c>
      <c r="L36" s="58">
        <v>41064</v>
      </c>
      <c r="M36" s="58">
        <v>41065</v>
      </c>
      <c r="N36" s="57">
        <v>7.7492784419999996</v>
      </c>
      <c r="O36" s="57">
        <f t="shared" si="5"/>
        <v>23266.433594260798</v>
      </c>
    </row>
    <row r="37" spans="11:15" x14ac:dyDescent="0.25">
      <c r="K37" s="29">
        <f t="shared" si="4"/>
        <v>3002.4</v>
      </c>
      <c r="L37" s="58">
        <v>41065</v>
      </c>
      <c r="M37" s="58">
        <v>41066</v>
      </c>
      <c r="N37" s="57">
        <v>7.7496037490000003</v>
      </c>
      <c r="O37" s="57">
        <f t="shared" si="5"/>
        <v>23267.410295997601</v>
      </c>
    </row>
    <row r="38" spans="11:15" x14ac:dyDescent="0.25">
      <c r="K38" s="29">
        <f t="shared" si="4"/>
        <v>3002.4</v>
      </c>
      <c r="L38" s="58">
        <v>41066</v>
      </c>
      <c r="M38" s="58">
        <v>41067</v>
      </c>
      <c r="N38" s="57">
        <v>7.7499288709999998</v>
      </c>
      <c r="O38" s="57">
        <f t="shared" si="5"/>
        <v>23268.386442290401</v>
      </c>
    </row>
    <row r="39" spans="11:15" x14ac:dyDescent="0.25">
      <c r="K39" s="29">
        <f t="shared" si="4"/>
        <v>3002.4</v>
      </c>
      <c r="L39" s="58">
        <v>41067</v>
      </c>
      <c r="M39" s="58">
        <v>41068</v>
      </c>
      <c r="N39" s="57">
        <v>7.7502538110000003</v>
      </c>
      <c r="O39" s="57">
        <f t="shared" si="5"/>
        <v>23269.3620421464</v>
      </c>
    </row>
    <row r="40" spans="11:15" x14ac:dyDescent="0.25">
      <c r="K40" s="29">
        <f t="shared" si="4"/>
        <v>3002.4</v>
      </c>
      <c r="L40" s="58">
        <v>41068</v>
      </c>
      <c r="M40" s="58">
        <v>41069</v>
      </c>
      <c r="N40" s="57">
        <v>7.7505785679999999</v>
      </c>
      <c r="O40" s="57">
        <f t="shared" si="5"/>
        <v>23270.337092563201</v>
      </c>
    </row>
    <row r="41" spans="11:15" x14ac:dyDescent="0.25">
      <c r="K41" s="29">
        <f t="shared" si="4"/>
        <v>3002.4</v>
      </c>
      <c r="L41" s="58">
        <v>41069</v>
      </c>
      <c r="M41" s="58">
        <v>41070</v>
      </c>
      <c r="N41" s="57">
        <v>7.7509031420000003</v>
      </c>
      <c r="O41" s="57">
        <f t="shared" si="5"/>
        <v>23271.311593540802</v>
      </c>
    </row>
    <row r="42" spans="11:15" x14ac:dyDescent="0.25">
      <c r="K42" s="29">
        <f t="shared" si="4"/>
        <v>3002.4</v>
      </c>
      <c r="L42" s="58">
        <v>41070</v>
      </c>
      <c r="M42" s="58">
        <v>41071</v>
      </c>
      <c r="N42" s="57">
        <v>7.7512275339999999</v>
      </c>
      <c r="O42" s="57">
        <f t="shared" si="5"/>
        <v>23272.2855480816</v>
      </c>
    </row>
    <row r="43" spans="11:15" x14ac:dyDescent="0.25">
      <c r="K43" s="29">
        <f t="shared" si="4"/>
        <v>3002.4</v>
      </c>
      <c r="L43" s="58">
        <v>41071</v>
      </c>
      <c r="M43" s="58">
        <v>41072</v>
      </c>
      <c r="N43" s="57">
        <v>7.7515517440000004</v>
      </c>
      <c r="O43" s="57">
        <f t="shared" si="5"/>
        <v>23273.2589561856</v>
      </c>
    </row>
    <row r="44" spans="11:15" x14ac:dyDescent="0.25">
      <c r="K44" s="29">
        <f t="shared" si="4"/>
        <v>3002.4</v>
      </c>
      <c r="L44" s="58">
        <v>41072</v>
      </c>
      <c r="M44" s="58">
        <v>41073</v>
      </c>
      <c r="N44" s="57">
        <v>7.7518757740000002</v>
      </c>
      <c r="O44" s="57">
        <f t="shared" si="5"/>
        <v>23274.231823857601</v>
      </c>
    </row>
    <row r="45" spans="11:15" x14ac:dyDescent="0.25">
      <c r="K45" s="29">
        <f t="shared" si="4"/>
        <v>3002.4</v>
      </c>
      <c r="L45" s="58">
        <v>41073</v>
      </c>
      <c r="M45" s="58">
        <v>41074</v>
      </c>
      <c r="N45" s="57">
        <v>7.752199622</v>
      </c>
      <c r="O45" s="57">
        <f t="shared" si="5"/>
        <v>23275.204145092801</v>
      </c>
    </row>
    <row r="46" spans="11:15" x14ac:dyDescent="0.25">
      <c r="K46" s="29">
        <f t="shared" si="4"/>
        <v>3002.4</v>
      </c>
      <c r="L46" s="58">
        <v>41074</v>
      </c>
      <c r="M46" s="58">
        <v>41075</v>
      </c>
      <c r="N46" s="57">
        <v>7.7525232900000001</v>
      </c>
      <c r="O46" s="57">
        <f t="shared" si="5"/>
        <v>23276.175925896001</v>
      </c>
    </row>
    <row r="47" spans="11:15" x14ac:dyDescent="0.25">
      <c r="K47" s="29">
        <f t="shared" si="4"/>
        <v>3002.4</v>
      </c>
      <c r="L47" s="58">
        <v>41075</v>
      </c>
      <c r="M47" s="58">
        <v>41076</v>
      </c>
      <c r="N47" s="57">
        <v>7.7528467780000003</v>
      </c>
      <c r="O47" s="57">
        <f t="shared" si="5"/>
        <v>23277.147166267201</v>
      </c>
    </row>
    <row r="48" spans="11:15" x14ac:dyDescent="0.25">
      <c r="K48" s="29">
        <f t="shared" si="4"/>
        <v>3002.4</v>
      </c>
      <c r="L48" s="58">
        <v>41076</v>
      </c>
      <c r="M48" s="58">
        <v>41077</v>
      </c>
      <c r="N48" s="57">
        <v>7.753170087</v>
      </c>
      <c r="O48" s="57">
        <f t="shared" si="5"/>
        <v>23278.1178692088</v>
      </c>
    </row>
    <row r="49" spans="11:15" x14ac:dyDescent="0.25">
      <c r="K49" s="29">
        <f t="shared" si="4"/>
        <v>3002.4</v>
      </c>
      <c r="L49" s="58">
        <v>41077</v>
      </c>
      <c r="M49" s="58">
        <v>41078</v>
      </c>
      <c r="N49" s="57">
        <v>7.7534932169999999</v>
      </c>
      <c r="O49" s="57">
        <f t="shared" si="5"/>
        <v>23279.0880347208</v>
      </c>
    </row>
    <row r="50" spans="11:15" x14ac:dyDescent="0.25">
      <c r="K50" s="29">
        <f t="shared" si="4"/>
        <v>3002.4</v>
      </c>
      <c r="L50" s="58">
        <v>41078</v>
      </c>
      <c r="M50" s="58">
        <v>41079</v>
      </c>
      <c r="N50" s="57">
        <v>7.7538161680000002</v>
      </c>
      <c r="O50" s="57">
        <f t="shared" si="5"/>
        <v>23280.057662803199</v>
      </c>
    </row>
    <row r="51" spans="11:15" x14ac:dyDescent="0.25">
      <c r="K51" s="29">
        <f t="shared" si="4"/>
        <v>3002.4</v>
      </c>
      <c r="L51" s="58">
        <v>41079</v>
      </c>
      <c r="M51" s="58">
        <v>41080</v>
      </c>
      <c r="N51" s="57">
        <v>7.754138942</v>
      </c>
      <c r="O51" s="57">
        <f t="shared" si="5"/>
        <v>23281.026759460801</v>
      </c>
    </row>
    <row r="52" spans="11:15" x14ac:dyDescent="0.25">
      <c r="K52" s="29">
        <f t="shared" si="4"/>
        <v>3002.4</v>
      </c>
      <c r="L52" s="58">
        <v>41080</v>
      </c>
      <c r="M52" s="58">
        <v>41081</v>
      </c>
      <c r="N52" s="57">
        <v>7.7544615370000001</v>
      </c>
      <c r="O52" s="57">
        <f t="shared" si="5"/>
        <v>23281.995318688801</v>
      </c>
    </row>
    <row r="53" spans="11:15" x14ac:dyDescent="0.25">
      <c r="K53" s="29">
        <f t="shared" si="4"/>
        <v>3002.4</v>
      </c>
      <c r="L53" s="58">
        <v>41081</v>
      </c>
      <c r="M53" s="58">
        <v>41082</v>
      </c>
      <c r="N53" s="57">
        <v>7.7547839559999998</v>
      </c>
      <c r="O53" s="57">
        <f t="shared" si="5"/>
        <v>23282.963349494399</v>
      </c>
    </row>
    <row r="54" spans="11:15" x14ac:dyDescent="0.25">
      <c r="K54" s="29">
        <f t="shared" si="4"/>
        <v>3002.4</v>
      </c>
      <c r="L54" s="58">
        <v>41082</v>
      </c>
      <c r="M54" s="58">
        <v>41083</v>
      </c>
      <c r="N54" s="57">
        <v>7.755106198</v>
      </c>
      <c r="O54" s="57">
        <f t="shared" si="5"/>
        <v>23283.930848875199</v>
      </c>
    </row>
    <row r="55" spans="11:15" x14ac:dyDescent="0.25">
      <c r="K55" s="29">
        <f t="shared" si="4"/>
        <v>3002.4</v>
      </c>
      <c r="L55" s="58">
        <v>41083</v>
      </c>
      <c r="M55" s="58">
        <v>41084</v>
      </c>
      <c r="N55" s="57">
        <v>7.7554282639999998</v>
      </c>
      <c r="O55" s="57">
        <f t="shared" si="5"/>
        <v>23284.897819833601</v>
      </c>
    </row>
    <row r="56" spans="11:15" x14ac:dyDescent="0.25">
      <c r="K56" s="29">
        <f t="shared" si="4"/>
        <v>3002.4</v>
      </c>
      <c r="L56" s="58">
        <v>41084</v>
      </c>
      <c r="M56" s="58">
        <v>41085</v>
      </c>
      <c r="N56" s="57">
        <v>7.7557501540000002</v>
      </c>
      <c r="O56" s="57">
        <f t="shared" si="5"/>
        <v>23285.8642623696</v>
      </c>
    </row>
    <row r="57" spans="11:15" x14ac:dyDescent="0.25">
      <c r="K57" s="29">
        <f t="shared" si="4"/>
        <v>3002.4</v>
      </c>
      <c r="L57" s="58">
        <v>41085</v>
      </c>
      <c r="M57" s="58">
        <v>41086</v>
      </c>
      <c r="N57" s="57">
        <v>7.7560718690000003</v>
      </c>
      <c r="O57" s="57">
        <f t="shared" si="5"/>
        <v>23286.830179485602</v>
      </c>
    </row>
    <row r="58" spans="11:15" x14ac:dyDescent="0.25">
      <c r="K58" s="29">
        <f t="shared" si="4"/>
        <v>3002.4</v>
      </c>
      <c r="L58" s="58">
        <v>41086</v>
      </c>
      <c r="M58" s="58">
        <v>41087</v>
      </c>
      <c r="N58" s="57">
        <v>7.7563934090000002</v>
      </c>
      <c r="O58" s="57">
        <f t="shared" si="5"/>
        <v>23287.795571181603</v>
      </c>
    </row>
    <row r="59" spans="11:15" x14ac:dyDescent="0.25">
      <c r="K59" s="29">
        <f t="shared" si="4"/>
        <v>3002.4</v>
      </c>
      <c r="L59" s="58">
        <v>41087</v>
      </c>
      <c r="M59" s="58">
        <v>41088</v>
      </c>
      <c r="N59" s="57">
        <v>7.7567147749999998</v>
      </c>
      <c r="O59" s="57">
        <f t="shared" si="5"/>
        <v>23288.760440459999</v>
      </c>
    </row>
    <row r="60" spans="11:15" x14ac:dyDescent="0.25">
      <c r="K60" s="29">
        <f t="shared" si="4"/>
        <v>3002.4</v>
      </c>
      <c r="L60" s="58">
        <v>41088</v>
      </c>
      <c r="M60" s="58">
        <v>41089</v>
      </c>
      <c r="N60" s="57">
        <v>7.7570359670000002</v>
      </c>
      <c r="O60" s="57">
        <f t="shared" si="5"/>
        <v>23289.7247873208</v>
      </c>
    </row>
    <row r="61" spans="11:15" x14ac:dyDescent="0.25">
      <c r="K61" s="29">
        <f t="shared" si="4"/>
        <v>3002.4</v>
      </c>
      <c r="L61" s="58">
        <v>41089</v>
      </c>
      <c r="M61" s="58">
        <v>41090</v>
      </c>
      <c r="N61" s="57">
        <v>7.7573569859999996</v>
      </c>
      <c r="O61" s="57">
        <f t="shared" si="5"/>
        <v>23290.688614766401</v>
      </c>
    </row>
    <row r="62" spans="11:15" x14ac:dyDescent="0.25">
      <c r="K62" s="29">
        <f t="shared" si="4"/>
        <v>3002.4</v>
      </c>
      <c r="L62" s="58">
        <v>41090</v>
      </c>
      <c r="M62" s="58">
        <v>41091</v>
      </c>
      <c r="N62" s="57">
        <v>7.7576778319999997</v>
      </c>
      <c r="O62" s="57">
        <f t="shared" si="5"/>
        <v>23291.651922796798</v>
      </c>
    </row>
    <row r="63" spans="11:15" x14ac:dyDescent="0.25">
      <c r="N63" s="57" t="s">
        <v>138</v>
      </c>
      <c r="O63" s="57">
        <f>SUM(O33:O62)</f>
        <v>698328.37310958712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P64"/>
  <sheetViews>
    <sheetView topLeftCell="A7" workbookViewId="0">
      <selection activeCell="M11" sqref="M11"/>
    </sheetView>
  </sheetViews>
  <sheetFormatPr baseColWidth="10" defaultColWidth="11.42578125" defaultRowHeight="15" x14ac:dyDescent="0.25"/>
  <cols>
    <col min="2" max="2" width="15.42578125" bestFit="1" customWidth="1"/>
    <col min="3" max="3" width="12.7109375" bestFit="1" customWidth="1"/>
    <col min="4" max="4" width="11.5703125" bestFit="1" customWidth="1"/>
    <col min="6" max="6" width="8.85546875" bestFit="1" customWidth="1"/>
    <col min="7" max="7" width="14.5703125" bestFit="1" customWidth="1"/>
    <col min="8" max="8" width="10.5703125" bestFit="1" customWidth="1"/>
    <col min="9" max="9" width="15.140625" bestFit="1" customWidth="1"/>
    <col min="10" max="10" width="37.140625" bestFit="1" customWidth="1"/>
    <col min="11" max="11" width="24.140625" bestFit="1" customWidth="1"/>
    <col min="12" max="12" width="27.5703125" bestFit="1" customWidth="1"/>
    <col min="13" max="13" width="13.85546875" bestFit="1" customWidth="1"/>
    <col min="14" max="14" width="12.7109375" bestFit="1" customWidth="1"/>
    <col min="15" max="15" width="24.7109375" bestFit="1" customWidth="1"/>
  </cols>
  <sheetData>
    <row r="2" spans="2:15" x14ac:dyDescent="0.25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</row>
    <row r="3" spans="2:15" x14ac:dyDescent="0.25"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</row>
    <row r="4" spans="2:15" ht="14.25" customHeight="1" x14ac:dyDescent="0.25">
      <c r="B4" s="28" t="s">
        <v>80</v>
      </c>
      <c r="C4" s="29"/>
      <c r="D4" s="29" t="s">
        <v>74</v>
      </c>
      <c r="E4" s="42" t="s">
        <v>142</v>
      </c>
      <c r="F4" s="29"/>
      <c r="G4" s="29"/>
      <c r="H4" s="29"/>
      <c r="I4" s="29"/>
      <c r="J4" s="29"/>
      <c r="K4" s="29"/>
      <c r="L4" s="29"/>
      <c r="M4" s="29"/>
      <c r="N4" s="29"/>
      <c r="O4" s="29"/>
    </row>
    <row r="5" spans="2:15" x14ac:dyDescent="0.25">
      <c r="B5" s="35" t="s">
        <v>76</v>
      </c>
      <c r="C5" s="29"/>
      <c r="D5" s="29" t="s">
        <v>77</v>
      </c>
      <c r="E5" s="26">
        <v>40844</v>
      </c>
      <c r="F5" s="29"/>
      <c r="G5" s="29"/>
      <c r="H5" s="29"/>
      <c r="I5" s="29"/>
      <c r="J5" s="29"/>
      <c r="K5" s="29"/>
      <c r="L5" s="35" t="s">
        <v>130</v>
      </c>
      <c r="M5" s="35"/>
      <c r="N5" s="29">
        <v>8.2560000000000002</v>
      </c>
      <c r="O5" s="29"/>
    </row>
    <row r="6" spans="2:15" x14ac:dyDescent="0.25">
      <c r="B6" s="4" t="s">
        <v>78</v>
      </c>
      <c r="C6" s="29"/>
      <c r="D6" s="29"/>
      <c r="E6" s="29"/>
      <c r="F6" s="29"/>
      <c r="G6" s="29"/>
      <c r="H6" s="29"/>
      <c r="I6" s="29"/>
      <c r="J6" s="29"/>
      <c r="K6" s="29"/>
      <c r="L6" s="35" t="s">
        <v>131</v>
      </c>
      <c r="M6" s="35"/>
      <c r="N6" s="29">
        <v>25.02</v>
      </c>
      <c r="O6" s="29"/>
    </row>
    <row r="7" spans="2:15" x14ac:dyDescent="0.25">
      <c r="B7" s="6" t="s">
        <v>79</v>
      </c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2:15" x14ac:dyDescent="0.25"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</row>
    <row r="9" spans="2:15" x14ac:dyDescent="0.25">
      <c r="B9" s="28" t="s">
        <v>88</v>
      </c>
      <c r="C9" s="28" t="s">
        <v>89</v>
      </c>
      <c r="D9" s="28" t="s">
        <v>90</v>
      </c>
      <c r="E9" s="28" t="s">
        <v>91</v>
      </c>
      <c r="F9" s="28" t="s">
        <v>92</v>
      </c>
      <c r="G9" s="28" t="s">
        <v>93</v>
      </c>
      <c r="H9" s="28" t="s">
        <v>94</v>
      </c>
      <c r="I9" s="28" t="s">
        <v>95</v>
      </c>
      <c r="J9" s="28" t="s">
        <v>96</v>
      </c>
      <c r="K9" s="28" t="s">
        <v>97</v>
      </c>
      <c r="L9" s="4" t="s">
        <v>128</v>
      </c>
      <c r="M9" s="4" t="s">
        <v>129</v>
      </c>
      <c r="N9" s="6"/>
      <c r="O9" s="29"/>
    </row>
    <row r="10" spans="2:15" x14ac:dyDescent="0.25">
      <c r="B10" s="55">
        <v>40179</v>
      </c>
      <c r="C10" s="28">
        <v>0</v>
      </c>
      <c r="D10" s="28" t="s">
        <v>98</v>
      </c>
      <c r="E10" s="28">
        <v>165</v>
      </c>
      <c r="F10" s="28" t="s">
        <v>99</v>
      </c>
      <c r="G10" s="28">
        <v>-108781.05655288701</v>
      </c>
      <c r="H10" s="28" t="s">
        <v>100</v>
      </c>
      <c r="I10" s="28" t="s">
        <v>101</v>
      </c>
      <c r="J10" s="28" t="s">
        <v>102</v>
      </c>
      <c r="K10" s="28" t="s">
        <v>103</v>
      </c>
      <c r="L10" s="4">
        <f>-5*3.66*30*24</f>
        <v>-13176</v>
      </c>
      <c r="M10" s="4">
        <f>L10*N$5</f>
        <v>-108781.056</v>
      </c>
      <c r="N10" s="6">
        <f>G10/M10-1</f>
        <v>5.0825670339094131E-9</v>
      </c>
      <c r="O10" s="29"/>
    </row>
    <row r="11" spans="2:15" x14ac:dyDescent="0.25">
      <c r="B11" s="55">
        <v>40179</v>
      </c>
      <c r="C11" s="28">
        <v>0</v>
      </c>
      <c r="D11" s="28" t="s">
        <v>98</v>
      </c>
      <c r="E11" s="28">
        <v>165</v>
      </c>
      <c r="F11" s="28" t="s">
        <v>99</v>
      </c>
      <c r="G11" s="28">
        <v>125127.936635971</v>
      </c>
      <c r="H11" s="28" t="s">
        <v>100</v>
      </c>
      <c r="I11" s="28" t="s">
        <v>101</v>
      </c>
      <c r="J11" s="28" t="s">
        <v>102</v>
      </c>
      <c r="K11" s="28" t="s">
        <v>104</v>
      </c>
      <c r="L11" s="4">
        <f>5*4.21*30*24</f>
        <v>15156</v>
      </c>
      <c r="M11" s="4">
        <f t="shared" ref="M11:M27" si="0">L11*N$5</f>
        <v>125127.936</v>
      </c>
      <c r="N11" s="6">
        <f t="shared" ref="N11:N27" si="1">G11/M11-1</f>
        <v>5.0825659236863885E-9</v>
      </c>
      <c r="O11" s="29"/>
    </row>
    <row r="12" spans="2:15" x14ac:dyDescent="0.25">
      <c r="B12" s="55">
        <v>40179</v>
      </c>
      <c r="C12" s="28">
        <v>0</v>
      </c>
      <c r="D12" s="28" t="s">
        <v>98</v>
      </c>
      <c r="E12" s="28">
        <v>165</v>
      </c>
      <c r="F12" s="28" t="s">
        <v>99</v>
      </c>
      <c r="G12" s="28">
        <v>-212212.22507858201</v>
      </c>
      <c r="H12" s="28" t="s">
        <v>100</v>
      </c>
      <c r="I12" s="28" t="s">
        <v>101</v>
      </c>
      <c r="J12" s="28" t="s">
        <v>102</v>
      </c>
      <c r="K12" s="28" t="s">
        <v>105</v>
      </c>
      <c r="L12" s="4">
        <f>-10*3.57*30*24</f>
        <v>-25703.999999999993</v>
      </c>
      <c r="M12" s="4">
        <f t="shared" si="0"/>
        <v>-212212.22399999996</v>
      </c>
      <c r="N12" s="6">
        <f t="shared" si="1"/>
        <v>5.0825632591511294E-9</v>
      </c>
      <c r="O12" s="29"/>
    </row>
    <row r="13" spans="2:15" x14ac:dyDescent="0.25">
      <c r="B13" s="55">
        <v>40179</v>
      </c>
      <c r="C13" s="28">
        <v>0</v>
      </c>
      <c r="D13" s="28" t="s">
        <v>98</v>
      </c>
      <c r="E13" s="28">
        <v>165</v>
      </c>
      <c r="F13" s="28" t="s">
        <v>99</v>
      </c>
      <c r="G13" s="28">
        <v>-108781.05655288701</v>
      </c>
      <c r="H13" s="28" t="s">
        <v>100</v>
      </c>
      <c r="I13" s="28" t="s">
        <v>101</v>
      </c>
      <c r="J13" s="28" t="s">
        <v>106</v>
      </c>
      <c r="K13" s="28" t="s">
        <v>107</v>
      </c>
      <c r="L13" s="4">
        <f>-5*3.66*30*24</f>
        <v>-13176</v>
      </c>
      <c r="M13" s="4">
        <f t="shared" si="0"/>
        <v>-108781.056</v>
      </c>
      <c r="N13" s="6">
        <f t="shared" si="1"/>
        <v>5.0825670339094131E-9</v>
      </c>
      <c r="O13" s="29"/>
    </row>
    <row r="14" spans="2:15" x14ac:dyDescent="0.25">
      <c r="B14" s="55">
        <v>40179</v>
      </c>
      <c r="C14" s="28">
        <v>0</v>
      </c>
      <c r="D14" s="28" t="s">
        <v>98</v>
      </c>
      <c r="E14" s="28">
        <v>165</v>
      </c>
      <c r="F14" s="28" t="s">
        <v>99</v>
      </c>
      <c r="G14" s="28">
        <v>125127.936635971</v>
      </c>
      <c r="H14" s="28" t="s">
        <v>100</v>
      </c>
      <c r="I14" s="28" t="s">
        <v>101</v>
      </c>
      <c r="J14" s="28" t="s">
        <v>106</v>
      </c>
      <c r="K14" s="28" t="s">
        <v>108</v>
      </c>
      <c r="L14" s="4">
        <f>5*4.21*30*24</f>
        <v>15156</v>
      </c>
      <c r="M14" s="4">
        <f t="shared" si="0"/>
        <v>125127.936</v>
      </c>
      <c r="N14" s="6">
        <f t="shared" si="1"/>
        <v>5.0825659236863885E-9</v>
      </c>
      <c r="O14" s="29"/>
    </row>
    <row r="15" spans="2:15" x14ac:dyDescent="0.25">
      <c r="B15" s="55">
        <v>40179</v>
      </c>
      <c r="C15" s="28">
        <v>0</v>
      </c>
      <c r="D15" s="28" t="s">
        <v>98</v>
      </c>
      <c r="E15" s="28">
        <v>165</v>
      </c>
      <c r="F15" s="28" t="s">
        <v>99</v>
      </c>
      <c r="G15" s="28">
        <v>-212212.22507858201</v>
      </c>
      <c r="H15" s="28" t="s">
        <v>100</v>
      </c>
      <c r="I15" s="28" t="s">
        <v>101</v>
      </c>
      <c r="J15" s="28" t="s">
        <v>106</v>
      </c>
      <c r="K15" s="28" t="s">
        <v>109</v>
      </c>
      <c r="L15" s="4">
        <f t="shared" ref="L15:L18" si="2">-10*3.57*30*24</f>
        <v>-25703.999999999993</v>
      </c>
      <c r="M15" s="4">
        <f t="shared" si="0"/>
        <v>-212212.22399999996</v>
      </c>
      <c r="N15" s="6">
        <f t="shared" si="1"/>
        <v>5.0825632591511294E-9</v>
      </c>
      <c r="O15" s="29"/>
    </row>
    <row r="16" spans="2:15" x14ac:dyDescent="0.25">
      <c r="B16" s="55">
        <v>40179</v>
      </c>
      <c r="C16" s="28">
        <v>0</v>
      </c>
      <c r="D16" s="28" t="s">
        <v>98</v>
      </c>
      <c r="E16" s="28">
        <v>165</v>
      </c>
      <c r="F16" s="28" t="s">
        <v>99</v>
      </c>
      <c r="G16" s="28">
        <v>-108781.05655288701</v>
      </c>
      <c r="H16" s="28" t="s">
        <v>100</v>
      </c>
      <c r="I16" s="28" t="s">
        <v>101</v>
      </c>
      <c r="J16" s="28" t="s">
        <v>110</v>
      </c>
      <c r="K16" s="28" t="s">
        <v>111</v>
      </c>
      <c r="L16" s="4">
        <f>-5*3.66*30*24</f>
        <v>-13176</v>
      </c>
      <c r="M16" s="4">
        <f t="shared" si="0"/>
        <v>-108781.056</v>
      </c>
      <c r="N16" s="6">
        <f t="shared" si="1"/>
        <v>5.0825670339094131E-9</v>
      </c>
      <c r="O16" s="29"/>
    </row>
    <row r="17" spans="2:16" x14ac:dyDescent="0.25">
      <c r="B17" s="55">
        <v>40179</v>
      </c>
      <c r="C17" s="28">
        <v>0</v>
      </c>
      <c r="D17" s="28" t="s">
        <v>98</v>
      </c>
      <c r="E17" s="28">
        <v>165</v>
      </c>
      <c r="F17" s="28" t="s">
        <v>99</v>
      </c>
      <c r="G17" s="28">
        <v>125127.936635971</v>
      </c>
      <c r="H17" s="28" t="s">
        <v>100</v>
      </c>
      <c r="I17" s="28" t="s">
        <v>101</v>
      </c>
      <c r="J17" s="28" t="s">
        <v>110</v>
      </c>
      <c r="K17" s="28" t="s">
        <v>112</v>
      </c>
      <c r="L17" s="4">
        <f>5*4.21*30*24</f>
        <v>15156</v>
      </c>
      <c r="M17" s="4">
        <f t="shared" si="0"/>
        <v>125127.936</v>
      </c>
      <c r="N17" s="6">
        <f t="shared" si="1"/>
        <v>5.0825659236863885E-9</v>
      </c>
      <c r="O17" s="29"/>
    </row>
    <row r="18" spans="2:16" x14ac:dyDescent="0.25">
      <c r="B18" s="55">
        <v>40179</v>
      </c>
      <c r="C18" s="28">
        <v>0</v>
      </c>
      <c r="D18" s="28" t="s">
        <v>98</v>
      </c>
      <c r="E18" s="28">
        <v>165</v>
      </c>
      <c r="F18" s="28" t="s">
        <v>99</v>
      </c>
      <c r="G18" s="28">
        <v>-212212.22507858201</v>
      </c>
      <c r="H18" s="28" t="s">
        <v>100</v>
      </c>
      <c r="I18" s="28" t="s">
        <v>101</v>
      </c>
      <c r="J18" s="28" t="s">
        <v>110</v>
      </c>
      <c r="K18" s="28" t="s">
        <v>113</v>
      </c>
      <c r="L18" s="4">
        <f t="shared" si="2"/>
        <v>-25703.999999999993</v>
      </c>
      <c r="M18" s="4">
        <f t="shared" si="0"/>
        <v>-212212.22399999996</v>
      </c>
      <c r="N18" s="6">
        <f t="shared" si="1"/>
        <v>5.0825632591511294E-9</v>
      </c>
      <c r="O18" s="29"/>
    </row>
    <row r="19" spans="2:16" x14ac:dyDescent="0.25">
      <c r="B19" s="55">
        <v>40179</v>
      </c>
      <c r="C19" s="28">
        <v>0</v>
      </c>
      <c r="D19" s="28" t="s">
        <v>98</v>
      </c>
      <c r="E19" s="28">
        <v>165</v>
      </c>
      <c r="F19" s="28" t="s">
        <v>99</v>
      </c>
      <c r="G19" s="28">
        <v>-108781.05655288701</v>
      </c>
      <c r="H19" s="28" t="s">
        <v>100</v>
      </c>
      <c r="I19" s="28" t="s">
        <v>101</v>
      </c>
      <c r="J19" s="28" t="s">
        <v>114</v>
      </c>
      <c r="K19" s="28" t="s">
        <v>115</v>
      </c>
      <c r="L19" s="4">
        <f>-5*3.66*30*24</f>
        <v>-13176</v>
      </c>
      <c r="M19" s="4">
        <f t="shared" si="0"/>
        <v>-108781.056</v>
      </c>
      <c r="N19" s="6">
        <f t="shared" si="1"/>
        <v>5.0825670339094131E-9</v>
      </c>
      <c r="O19" s="29"/>
    </row>
    <row r="20" spans="2:16" x14ac:dyDescent="0.25">
      <c r="B20" s="55">
        <v>40179</v>
      </c>
      <c r="C20" s="28">
        <v>0</v>
      </c>
      <c r="D20" s="28" t="s">
        <v>98</v>
      </c>
      <c r="E20" s="28">
        <v>165</v>
      </c>
      <c r="F20" s="28" t="s">
        <v>99</v>
      </c>
      <c r="G20" s="28">
        <v>125127.936635971</v>
      </c>
      <c r="H20" s="28" t="s">
        <v>100</v>
      </c>
      <c r="I20" s="28" t="s">
        <v>101</v>
      </c>
      <c r="J20" s="28" t="s">
        <v>114</v>
      </c>
      <c r="K20" s="28" t="s">
        <v>118</v>
      </c>
      <c r="L20" s="4">
        <f>5*4.21*30*24</f>
        <v>15156</v>
      </c>
      <c r="M20" s="4">
        <f>L20*N$5</f>
        <v>125127.936</v>
      </c>
      <c r="N20" s="6">
        <f t="shared" si="1"/>
        <v>5.0825659236863885E-9</v>
      </c>
      <c r="O20" s="29"/>
    </row>
    <row r="21" spans="2:16" x14ac:dyDescent="0.25">
      <c r="B21" s="55">
        <v>40179</v>
      </c>
      <c r="C21" s="28">
        <v>0</v>
      </c>
      <c r="D21" s="28" t="s">
        <v>98</v>
      </c>
      <c r="E21" s="28">
        <v>165</v>
      </c>
      <c r="F21" s="28" t="s">
        <v>99</v>
      </c>
      <c r="G21" s="28">
        <v>-212212.22507858201</v>
      </c>
      <c r="H21" s="28" t="s">
        <v>100</v>
      </c>
      <c r="I21" s="28" t="s">
        <v>101</v>
      </c>
      <c r="J21" s="28" t="s">
        <v>114</v>
      </c>
      <c r="K21" s="28" t="s">
        <v>119</v>
      </c>
      <c r="L21" s="4">
        <f>-10*3.57*30*24</f>
        <v>-25703.999999999993</v>
      </c>
      <c r="M21" s="4">
        <f t="shared" si="0"/>
        <v>-212212.22399999996</v>
      </c>
      <c r="N21" s="6">
        <f t="shared" si="1"/>
        <v>5.0825632591511294E-9</v>
      </c>
      <c r="O21" s="29"/>
    </row>
    <row r="22" spans="2:16" x14ac:dyDescent="0.25">
      <c r="B22" s="55">
        <v>40179</v>
      </c>
      <c r="C22" s="28">
        <v>0</v>
      </c>
      <c r="D22" s="28" t="s">
        <v>98</v>
      </c>
      <c r="E22" s="28">
        <v>165</v>
      </c>
      <c r="F22" s="28" t="s">
        <v>99</v>
      </c>
      <c r="G22" s="28">
        <v>-112256.006970548</v>
      </c>
      <c r="H22" s="28" t="s">
        <v>100</v>
      </c>
      <c r="I22" s="28" t="s">
        <v>101</v>
      </c>
      <c r="J22" s="28" t="s">
        <v>120</v>
      </c>
      <c r="K22" s="28" t="s">
        <v>121</v>
      </c>
      <c r="L22" s="4">
        <f>-5*3.66*(31*24-1)</f>
        <v>-13596.9</v>
      </c>
      <c r="M22" s="4">
        <f>L22*N$5</f>
        <v>-112256.0064</v>
      </c>
      <c r="N22" s="6">
        <f t="shared" si="1"/>
        <v>5.0825610387050801E-9</v>
      </c>
      <c r="O22" s="29"/>
    </row>
    <row r="23" spans="2:16" x14ac:dyDescent="0.25">
      <c r="B23" s="55">
        <v>40179</v>
      </c>
      <c r="C23" s="28">
        <v>0</v>
      </c>
      <c r="D23" s="28" t="s">
        <v>98</v>
      </c>
      <c r="E23" s="28">
        <v>165</v>
      </c>
      <c r="F23" s="28" t="s">
        <v>99</v>
      </c>
      <c r="G23" s="28">
        <v>129125.079056287</v>
      </c>
      <c r="H23" s="28" t="s">
        <v>100</v>
      </c>
      <c r="I23" s="28" t="s">
        <v>101</v>
      </c>
      <c r="J23" s="28" t="s">
        <v>120</v>
      </c>
      <c r="K23" s="28" t="s">
        <v>122</v>
      </c>
      <c r="L23" s="4">
        <f>5*4.21*(31*24-1)</f>
        <v>15640.15</v>
      </c>
      <c r="M23" s="4">
        <f t="shared" si="0"/>
        <v>129125.0784</v>
      </c>
      <c r="N23" s="6">
        <f t="shared" si="1"/>
        <v>5.0825681441324377E-9</v>
      </c>
      <c r="O23" s="29"/>
    </row>
    <row r="24" spans="2:16" x14ac:dyDescent="0.25">
      <c r="B24" s="55">
        <v>40179</v>
      </c>
      <c r="C24" s="28">
        <v>0</v>
      </c>
      <c r="D24" s="28" t="s">
        <v>98</v>
      </c>
      <c r="E24" s="28">
        <v>165</v>
      </c>
      <c r="F24" s="28" t="s">
        <v>99</v>
      </c>
      <c r="G24" s="28">
        <v>-218991.226713037</v>
      </c>
      <c r="H24" s="28" t="s">
        <v>100</v>
      </c>
      <c r="I24" s="28" t="s">
        <v>101</v>
      </c>
      <c r="J24" s="28" t="s">
        <v>120</v>
      </c>
      <c r="K24" s="28" t="s">
        <v>123</v>
      </c>
      <c r="L24" s="4">
        <f>-10*3.57*(31*24-1)</f>
        <v>-26525.1</v>
      </c>
      <c r="M24" s="4">
        <f>L24*N$5</f>
        <v>-218991.22560000001</v>
      </c>
      <c r="N24" s="6">
        <f t="shared" si="1"/>
        <v>5.082564369374154E-9</v>
      </c>
      <c r="O24" s="29"/>
    </row>
    <row r="25" spans="2:16" x14ac:dyDescent="0.25">
      <c r="B25" s="55">
        <v>40179</v>
      </c>
      <c r="C25" s="28">
        <v>0</v>
      </c>
      <c r="D25" s="28" t="s">
        <v>98</v>
      </c>
      <c r="E25" s="28">
        <v>165</v>
      </c>
      <c r="F25" s="28" t="s">
        <v>99</v>
      </c>
      <c r="G25" s="28">
        <v>-112256.006970548</v>
      </c>
      <c r="H25" s="28" t="s">
        <v>100</v>
      </c>
      <c r="I25" s="28" t="s">
        <v>101</v>
      </c>
      <c r="J25" s="28" t="s">
        <v>124</v>
      </c>
      <c r="K25" s="28" t="s">
        <v>125</v>
      </c>
      <c r="L25" s="4">
        <f>-5*3.66*(31*24-1)</f>
        <v>-13596.9</v>
      </c>
      <c r="M25" s="4">
        <f t="shared" si="0"/>
        <v>-112256.0064</v>
      </c>
      <c r="N25" s="6">
        <f t="shared" si="1"/>
        <v>5.0825610387050801E-9</v>
      </c>
      <c r="O25" s="29"/>
    </row>
    <row r="26" spans="2:16" x14ac:dyDescent="0.25">
      <c r="B26" s="55">
        <v>40179</v>
      </c>
      <c r="C26" s="28">
        <v>0</v>
      </c>
      <c r="D26" s="28" t="s">
        <v>98</v>
      </c>
      <c r="E26" s="28">
        <v>165</v>
      </c>
      <c r="F26" s="28" t="s">
        <v>99</v>
      </c>
      <c r="G26" s="28">
        <v>129125.079056287</v>
      </c>
      <c r="H26" s="28" t="s">
        <v>100</v>
      </c>
      <c r="I26" s="28" t="s">
        <v>101</v>
      </c>
      <c r="J26" s="28" t="s">
        <v>124</v>
      </c>
      <c r="K26" s="28" t="s">
        <v>126</v>
      </c>
      <c r="L26" s="4">
        <f>5*4.21*(31*24-1)</f>
        <v>15640.15</v>
      </c>
      <c r="M26" s="4">
        <f t="shared" si="0"/>
        <v>129125.0784</v>
      </c>
      <c r="N26" s="6">
        <f t="shared" si="1"/>
        <v>5.0825681441324377E-9</v>
      </c>
      <c r="O26" s="29"/>
    </row>
    <row r="27" spans="2:16" x14ac:dyDescent="0.25">
      <c r="B27" s="55">
        <v>40179</v>
      </c>
      <c r="C27" s="28">
        <v>0</v>
      </c>
      <c r="D27" s="28" t="s">
        <v>98</v>
      </c>
      <c r="E27" s="28">
        <v>165</v>
      </c>
      <c r="F27" s="28" t="s">
        <v>99</v>
      </c>
      <c r="G27" s="28">
        <v>-218991.226713037</v>
      </c>
      <c r="H27" s="28" t="s">
        <v>100</v>
      </c>
      <c r="I27" s="28" t="s">
        <v>101</v>
      </c>
      <c r="J27" s="28" t="s">
        <v>124</v>
      </c>
      <c r="K27" s="28" t="s">
        <v>127</v>
      </c>
      <c r="L27" s="4">
        <f>-10*3.57*(31*24-1)</f>
        <v>-26525.1</v>
      </c>
      <c r="M27" s="4">
        <f t="shared" si="0"/>
        <v>-218991.22560000001</v>
      </c>
      <c r="N27" s="6">
        <f t="shared" si="1"/>
        <v>5.082564369374154E-9</v>
      </c>
      <c r="O27" s="29"/>
    </row>
    <row r="28" spans="2:16" x14ac:dyDescent="0.25"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2:16" x14ac:dyDescent="0.25"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2:16" x14ac:dyDescent="0.25"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</row>
    <row r="31" spans="2:16" x14ac:dyDescent="0.25"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</row>
    <row r="32" spans="2:16" x14ac:dyDescent="0.25"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</row>
    <row r="33" spans="2:16" x14ac:dyDescent="0.25"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</row>
    <row r="34" spans="2:16" x14ac:dyDescent="0.25"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</row>
    <row r="35" spans="2:16" x14ac:dyDescent="0.25"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</row>
    <row r="36" spans="2:16" x14ac:dyDescent="0.25"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</row>
    <row r="37" spans="2:16" x14ac:dyDescent="0.25"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</row>
    <row r="38" spans="2:16" x14ac:dyDescent="0.25"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</row>
    <row r="39" spans="2:16" x14ac:dyDescent="0.25"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</row>
    <row r="40" spans="2:16" x14ac:dyDescent="0.25"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</row>
    <row r="41" spans="2:16" x14ac:dyDescent="0.25"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</row>
    <row r="42" spans="2:16" x14ac:dyDescent="0.25"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</row>
    <row r="43" spans="2:16" x14ac:dyDescent="0.25"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</row>
    <row r="44" spans="2:16" x14ac:dyDescent="0.25"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</row>
    <row r="45" spans="2:16" x14ac:dyDescent="0.25"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</row>
    <row r="46" spans="2:16" x14ac:dyDescent="0.25"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2:16" x14ac:dyDescent="0.25"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</row>
    <row r="48" spans="2:16" x14ac:dyDescent="0.25"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</row>
    <row r="49" spans="2:16" x14ac:dyDescent="0.25"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</row>
    <row r="50" spans="2:16" x14ac:dyDescent="0.25"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</row>
    <row r="51" spans="2:16" x14ac:dyDescent="0.25"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</row>
    <row r="52" spans="2:16" x14ac:dyDescent="0.25"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</row>
    <row r="53" spans="2:16" x14ac:dyDescent="0.25"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</row>
    <row r="54" spans="2:16" x14ac:dyDescent="0.25"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</row>
    <row r="55" spans="2:16" x14ac:dyDescent="0.25"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</row>
    <row r="56" spans="2:16" x14ac:dyDescent="0.25"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</row>
    <row r="57" spans="2:16" x14ac:dyDescent="0.25"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</row>
    <row r="58" spans="2:16" x14ac:dyDescent="0.25"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</row>
    <row r="59" spans="2:16" x14ac:dyDescent="0.25"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</row>
    <row r="60" spans="2:16" x14ac:dyDescent="0.25"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</row>
    <row r="61" spans="2:16" x14ac:dyDescent="0.25"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</row>
    <row r="62" spans="2:16" x14ac:dyDescent="0.25"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</row>
    <row r="63" spans="2:16" x14ac:dyDescent="0.25"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</row>
    <row r="64" spans="2:16" x14ac:dyDescent="0.25">
      <c r="K64" s="29"/>
      <c r="L64" s="29"/>
      <c r="M64" s="29"/>
      <c r="N64" s="29"/>
      <c r="O64" s="29"/>
      <c r="P64" s="2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N26"/>
  <sheetViews>
    <sheetView workbookViewId="0">
      <selection activeCell="B3" sqref="B3:N26"/>
    </sheetView>
  </sheetViews>
  <sheetFormatPr baseColWidth="10" defaultColWidth="11.42578125" defaultRowHeight="15" x14ac:dyDescent="0.25"/>
  <cols>
    <col min="2" max="2" width="15.42578125" bestFit="1" customWidth="1"/>
    <col min="3" max="3" width="12.7109375" bestFit="1" customWidth="1"/>
    <col min="4" max="4" width="11.5703125" bestFit="1" customWidth="1"/>
    <col min="6" max="6" width="8.85546875" bestFit="1" customWidth="1"/>
    <col min="7" max="7" width="14.5703125" bestFit="1" customWidth="1"/>
    <col min="8" max="8" width="10.5703125" bestFit="1" customWidth="1"/>
    <col min="9" max="9" width="15.140625" bestFit="1" customWidth="1"/>
    <col min="10" max="10" width="37.140625" bestFit="1" customWidth="1"/>
    <col min="11" max="11" width="22.42578125" bestFit="1" customWidth="1"/>
    <col min="12" max="12" width="21.7109375" bestFit="1" customWidth="1"/>
    <col min="13" max="13" width="13.85546875" bestFit="1" customWidth="1"/>
    <col min="14" max="14" width="12.7109375" bestFit="1" customWidth="1"/>
  </cols>
  <sheetData>
    <row r="2" spans="2:14" x14ac:dyDescent="0.25"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2:14" ht="13.5" customHeight="1" x14ac:dyDescent="0.25">
      <c r="B3" s="28" t="s">
        <v>80</v>
      </c>
      <c r="C3" s="29"/>
      <c r="D3" s="29" t="s">
        <v>74</v>
      </c>
      <c r="E3" s="42" t="s">
        <v>143</v>
      </c>
      <c r="F3" s="29"/>
      <c r="G3" s="29"/>
      <c r="H3" s="29"/>
      <c r="I3" s="29"/>
      <c r="J3" s="29"/>
      <c r="K3" s="29"/>
      <c r="L3" s="29"/>
      <c r="M3" s="29"/>
      <c r="N3" s="29"/>
    </row>
    <row r="4" spans="2:14" x14ac:dyDescent="0.25">
      <c r="B4" s="35" t="s">
        <v>76</v>
      </c>
      <c r="C4" s="29"/>
      <c r="D4" s="29" t="s">
        <v>77</v>
      </c>
      <c r="E4" s="26">
        <v>40844</v>
      </c>
      <c r="F4" s="29"/>
      <c r="G4" s="29"/>
      <c r="H4" s="29"/>
      <c r="I4" s="29"/>
      <c r="J4" s="29"/>
      <c r="K4" s="29"/>
      <c r="L4" s="35" t="s">
        <v>130</v>
      </c>
      <c r="M4" s="35"/>
      <c r="N4" s="29">
        <v>8.2560000000000002</v>
      </c>
    </row>
    <row r="5" spans="2:14" x14ac:dyDescent="0.25">
      <c r="B5" s="4" t="s">
        <v>78</v>
      </c>
      <c r="C5" s="29"/>
      <c r="D5" s="29"/>
      <c r="E5" s="29"/>
      <c r="F5" s="29"/>
      <c r="G5" s="29"/>
      <c r="H5" s="29"/>
      <c r="I5" s="29"/>
      <c r="J5" s="29"/>
      <c r="K5" s="29"/>
      <c r="L5" s="35" t="s">
        <v>131</v>
      </c>
      <c r="M5" s="35"/>
      <c r="N5" s="29">
        <v>25.02</v>
      </c>
    </row>
    <row r="6" spans="2:14" x14ac:dyDescent="0.25">
      <c r="B6" s="6" t="s">
        <v>79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</row>
    <row r="7" spans="2:14" x14ac:dyDescent="0.25"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</row>
    <row r="8" spans="2:14" x14ac:dyDescent="0.25">
      <c r="B8" s="28" t="s">
        <v>88</v>
      </c>
      <c r="C8" s="28" t="s">
        <v>89</v>
      </c>
      <c r="D8" s="28" t="s">
        <v>90</v>
      </c>
      <c r="E8" s="28" t="s">
        <v>91</v>
      </c>
      <c r="F8" s="28" t="s">
        <v>92</v>
      </c>
      <c r="G8" s="28" t="s">
        <v>93</v>
      </c>
      <c r="H8" s="28" t="s">
        <v>94</v>
      </c>
      <c r="I8" s="28" t="s">
        <v>95</v>
      </c>
      <c r="J8" s="28" t="s">
        <v>96</v>
      </c>
      <c r="K8" s="28" t="s">
        <v>97</v>
      </c>
      <c r="L8" s="4" t="s">
        <v>128</v>
      </c>
      <c r="M8" s="4" t="s">
        <v>129</v>
      </c>
      <c r="N8" s="6"/>
    </row>
    <row r="9" spans="2:14" x14ac:dyDescent="0.25">
      <c r="B9" s="56">
        <v>40179</v>
      </c>
      <c r="C9" s="28">
        <v>0</v>
      </c>
      <c r="D9" s="28" t="s">
        <v>98</v>
      </c>
      <c r="E9" s="28">
        <v>165</v>
      </c>
      <c r="F9" s="28" t="s">
        <v>99</v>
      </c>
      <c r="G9" s="28">
        <v>-108781.05655288701</v>
      </c>
      <c r="H9" s="28" t="s">
        <v>100</v>
      </c>
      <c r="I9" s="28" t="s">
        <v>101</v>
      </c>
      <c r="J9" s="28" t="s">
        <v>102</v>
      </c>
      <c r="K9" s="28" t="s">
        <v>103</v>
      </c>
      <c r="L9" s="4">
        <f>-5*3.66*30*24</f>
        <v>-13176</v>
      </c>
      <c r="M9" s="4">
        <f>L9*N$4</f>
        <v>-108781.056</v>
      </c>
      <c r="N9" s="6">
        <f>G9/M9-1</f>
        <v>5.0825670339094131E-9</v>
      </c>
    </row>
    <row r="10" spans="2:14" x14ac:dyDescent="0.25">
      <c r="B10" s="56">
        <v>40179</v>
      </c>
      <c r="C10" s="28">
        <v>0</v>
      </c>
      <c r="D10" s="28" t="s">
        <v>98</v>
      </c>
      <c r="E10" s="28">
        <v>165</v>
      </c>
      <c r="F10" s="28" t="s">
        <v>99</v>
      </c>
      <c r="G10" s="28">
        <v>125127.936635971</v>
      </c>
      <c r="H10" s="28" t="s">
        <v>100</v>
      </c>
      <c r="I10" s="28" t="s">
        <v>101</v>
      </c>
      <c r="J10" s="28" t="s">
        <v>102</v>
      </c>
      <c r="K10" s="28" t="s">
        <v>104</v>
      </c>
      <c r="L10" s="4">
        <f>5*4.21*30*24</f>
        <v>15156</v>
      </c>
      <c r="M10" s="4">
        <f t="shared" ref="M10:M26" si="0">L10*N$4</f>
        <v>125127.936</v>
      </c>
      <c r="N10" s="6">
        <f t="shared" ref="N10:N26" si="1">G10/M10-1</f>
        <v>5.0825659236863885E-9</v>
      </c>
    </row>
    <row r="11" spans="2:14" x14ac:dyDescent="0.25">
      <c r="B11" s="56">
        <v>40179</v>
      </c>
      <c r="C11" s="28">
        <v>0</v>
      </c>
      <c r="D11" s="28" t="s">
        <v>98</v>
      </c>
      <c r="E11" s="28">
        <v>165</v>
      </c>
      <c r="F11" s="28" t="s">
        <v>99</v>
      </c>
      <c r="G11" s="28">
        <v>-212212.22507858201</v>
      </c>
      <c r="H11" s="28" t="s">
        <v>100</v>
      </c>
      <c r="I11" s="28" t="s">
        <v>101</v>
      </c>
      <c r="J11" s="28" t="s">
        <v>102</v>
      </c>
      <c r="K11" s="28" t="s">
        <v>105</v>
      </c>
      <c r="L11" s="4">
        <f>-10*3.57*30*24</f>
        <v>-25703.999999999993</v>
      </c>
      <c r="M11" s="4">
        <f t="shared" si="0"/>
        <v>-212212.22399999996</v>
      </c>
      <c r="N11" s="6">
        <f t="shared" si="1"/>
        <v>5.0825632591511294E-9</v>
      </c>
    </row>
    <row r="12" spans="2:14" x14ac:dyDescent="0.25">
      <c r="B12" s="56">
        <v>40179</v>
      </c>
      <c r="C12" s="28">
        <v>0</v>
      </c>
      <c r="D12" s="28" t="s">
        <v>98</v>
      </c>
      <c r="E12" s="28">
        <v>165</v>
      </c>
      <c r="F12" s="28" t="s">
        <v>99</v>
      </c>
      <c r="G12" s="28">
        <v>-108781.05655288701</v>
      </c>
      <c r="H12" s="28" t="s">
        <v>100</v>
      </c>
      <c r="I12" s="28" t="s">
        <v>101</v>
      </c>
      <c r="J12" s="28" t="s">
        <v>106</v>
      </c>
      <c r="K12" s="28" t="s">
        <v>107</v>
      </c>
      <c r="L12" s="4">
        <f>-5*3.66*30*24</f>
        <v>-13176</v>
      </c>
      <c r="M12" s="4">
        <f t="shared" si="0"/>
        <v>-108781.056</v>
      </c>
      <c r="N12" s="6">
        <f t="shared" si="1"/>
        <v>5.0825670339094131E-9</v>
      </c>
    </row>
    <row r="13" spans="2:14" x14ac:dyDescent="0.25">
      <c r="B13" s="56">
        <v>40179</v>
      </c>
      <c r="C13" s="28">
        <v>0</v>
      </c>
      <c r="D13" s="28" t="s">
        <v>98</v>
      </c>
      <c r="E13" s="28">
        <v>165</v>
      </c>
      <c r="F13" s="28" t="s">
        <v>99</v>
      </c>
      <c r="G13" s="28">
        <v>125127.936635971</v>
      </c>
      <c r="H13" s="28" t="s">
        <v>100</v>
      </c>
      <c r="I13" s="28" t="s">
        <v>101</v>
      </c>
      <c r="J13" s="28" t="s">
        <v>106</v>
      </c>
      <c r="K13" s="28" t="s">
        <v>108</v>
      </c>
      <c r="L13" s="4">
        <f>5*4.21*30*24</f>
        <v>15156</v>
      </c>
      <c r="M13" s="4">
        <f t="shared" si="0"/>
        <v>125127.936</v>
      </c>
      <c r="N13" s="6">
        <f t="shared" si="1"/>
        <v>5.0825659236863885E-9</v>
      </c>
    </row>
    <row r="14" spans="2:14" x14ac:dyDescent="0.25">
      <c r="B14" s="56">
        <v>40179</v>
      </c>
      <c r="C14" s="28">
        <v>0</v>
      </c>
      <c r="D14" s="28" t="s">
        <v>98</v>
      </c>
      <c r="E14" s="28">
        <v>165</v>
      </c>
      <c r="F14" s="28" t="s">
        <v>99</v>
      </c>
      <c r="G14" s="28">
        <v>-212212.22507858201</v>
      </c>
      <c r="H14" s="28" t="s">
        <v>100</v>
      </c>
      <c r="I14" s="28" t="s">
        <v>101</v>
      </c>
      <c r="J14" s="28" t="s">
        <v>106</v>
      </c>
      <c r="K14" s="28" t="s">
        <v>109</v>
      </c>
      <c r="L14" s="4">
        <f t="shared" ref="L14:L17" si="2">-10*3.57*30*24</f>
        <v>-25703.999999999993</v>
      </c>
      <c r="M14" s="4">
        <f t="shared" si="0"/>
        <v>-212212.22399999996</v>
      </c>
      <c r="N14" s="6">
        <f t="shared" si="1"/>
        <v>5.0825632591511294E-9</v>
      </c>
    </row>
    <row r="15" spans="2:14" x14ac:dyDescent="0.25">
      <c r="B15" s="56">
        <v>40179</v>
      </c>
      <c r="C15" s="28">
        <v>0</v>
      </c>
      <c r="D15" s="28" t="s">
        <v>98</v>
      </c>
      <c r="E15" s="28">
        <v>165</v>
      </c>
      <c r="F15" s="28" t="s">
        <v>99</v>
      </c>
      <c r="G15" s="28">
        <v>-108781.05655288701</v>
      </c>
      <c r="H15" s="28" t="s">
        <v>100</v>
      </c>
      <c r="I15" s="28" t="s">
        <v>101</v>
      </c>
      <c r="J15" s="28" t="s">
        <v>110</v>
      </c>
      <c r="K15" s="28" t="s">
        <v>111</v>
      </c>
      <c r="L15" s="4">
        <f>-5*3.66*30*24</f>
        <v>-13176</v>
      </c>
      <c r="M15" s="4">
        <f t="shared" si="0"/>
        <v>-108781.056</v>
      </c>
      <c r="N15" s="6">
        <f t="shared" si="1"/>
        <v>5.0825670339094131E-9</v>
      </c>
    </row>
    <row r="16" spans="2:14" x14ac:dyDescent="0.25">
      <c r="B16" s="56">
        <v>40179</v>
      </c>
      <c r="C16" s="28">
        <v>0</v>
      </c>
      <c r="D16" s="28" t="s">
        <v>98</v>
      </c>
      <c r="E16" s="28">
        <v>165</v>
      </c>
      <c r="F16" s="28" t="s">
        <v>99</v>
      </c>
      <c r="G16" s="28">
        <v>125127.936635971</v>
      </c>
      <c r="H16" s="28" t="s">
        <v>100</v>
      </c>
      <c r="I16" s="28" t="s">
        <v>101</v>
      </c>
      <c r="J16" s="28" t="s">
        <v>110</v>
      </c>
      <c r="K16" s="28" t="s">
        <v>112</v>
      </c>
      <c r="L16" s="4">
        <f>5*4.21*30*24</f>
        <v>15156</v>
      </c>
      <c r="M16" s="4">
        <f t="shared" si="0"/>
        <v>125127.936</v>
      </c>
      <c r="N16" s="6">
        <f t="shared" si="1"/>
        <v>5.0825659236863885E-9</v>
      </c>
    </row>
    <row r="17" spans="2:14" x14ac:dyDescent="0.25">
      <c r="B17" s="56">
        <v>40179</v>
      </c>
      <c r="C17" s="28">
        <v>0</v>
      </c>
      <c r="D17" s="28" t="s">
        <v>98</v>
      </c>
      <c r="E17" s="28">
        <v>165</v>
      </c>
      <c r="F17" s="28" t="s">
        <v>99</v>
      </c>
      <c r="G17" s="28">
        <v>-212212.22507858201</v>
      </c>
      <c r="H17" s="28" t="s">
        <v>100</v>
      </c>
      <c r="I17" s="28" t="s">
        <v>101</v>
      </c>
      <c r="J17" s="28" t="s">
        <v>110</v>
      </c>
      <c r="K17" s="28" t="s">
        <v>113</v>
      </c>
      <c r="L17" s="4">
        <f t="shared" si="2"/>
        <v>-25703.999999999993</v>
      </c>
      <c r="M17" s="4">
        <f t="shared" si="0"/>
        <v>-212212.22399999996</v>
      </c>
      <c r="N17" s="6">
        <f t="shared" si="1"/>
        <v>5.0825632591511294E-9</v>
      </c>
    </row>
    <row r="18" spans="2:14" x14ac:dyDescent="0.25">
      <c r="B18" s="56">
        <v>40179</v>
      </c>
      <c r="C18" s="28">
        <v>0</v>
      </c>
      <c r="D18" s="28" t="s">
        <v>98</v>
      </c>
      <c r="E18" s="28">
        <v>165</v>
      </c>
      <c r="F18" s="28" t="s">
        <v>99</v>
      </c>
      <c r="G18" s="28">
        <v>-108781.05655288701</v>
      </c>
      <c r="H18" s="28" t="s">
        <v>100</v>
      </c>
      <c r="I18" s="28" t="s">
        <v>101</v>
      </c>
      <c r="J18" s="28" t="s">
        <v>114</v>
      </c>
      <c r="K18" s="28" t="s">
        <v>115</v>
      </c>
      <c r="L18" s="4">
        <f>-5*3.66*30*24</f>
        <v>-13176</v>
      </c>
      <c r="M18" s="4">
        <f t="shared" si="0"/>
        <v>-108781.056</v>
      </c>
      <c r="N18" s="6">
        <f t="shared" si="1"/>
        <v>5.0825670339094131E-9</v>
      </c>
    </row>
    <row r="19" spans="2:14" x14ac:dyDescent="0.25">
      <c r="B19" s="56">
        <v>40179</v>
      </c>
      <c r="C19" s="28">
        <v>0</v>
      </c>
      <c r="D19" s="28" t="s">
        <v>98</v>
      </c>
      <c r="E19" s="28">
        <v>165</v>
      </c>
      <c r="F19" s="28" t="s">
        <v>99</v>
      </c>
      <c r="G19" s="28">
        <v>125127.936635971</v>
      </c>
      <c r="H19" s="28" t="s">
        <v>100</v>
      </c>
      <c r="I19" s="28" t="s">
        <v>101</v>
      </c>
      <c r="J19" s="28" t="s">
        <v>114</v>
      </c>
      <c r="K19" s="28" t="s">
        <v>118</v>
      </c>
      <c r="L19" s="4">
        <f>5*4.21*30*24</f>
        <v>15156</v>
      </c>
      <c r="M19" s="4">
        <f t="shared" si="0"/>
        <v>125127.936</v>
      </c>
      <c r="N19" s="6">
        <f t="shared" si="1"/>
        <v>5.0825659236863885E-9</v>
      </c>
    </row>
    <row r="20" spans="2:14" x14ac:dyDescent="0.25">
      <c r="B20" s="56">
        <v>40179</v>
      </c>
      <c r="C20" s="28">
        <v>0</v>
      </c>
      <c r="D20" s="28" t="s">
        <v>98</v>
      </c>
      <c r="E20" s="28">
        <v>165</v>
      </c>
      <c r="F20" s="28" t="s">
        <v>99</v>
      </c>
      <c r="G20" s="28">
        <v>-212212.22507858201</v>
      </c>
      <c r="H20" s="28" t="s">
        <v>100</v>
      </c>
      <c r="I20" s="28" t="s">
        <v>101</v>
      </c>
      <c r="J20" s="28" t="s">
        <v>114</v>
      </c>
      <c r="K20" s="28" t="s">
        <v>119</v>
      </c>
      <c r="L20" s="4">
        <f>-10*3.57*30*24</f>
        <v>-25703.999999999993</v>
      </c>
      <c r="M20" s="4">
        <f t="shared" si="0"/>
        <v>-212212.22399999996</v>
      </c>
      <c r="N20" s="6">
        <f t="shared" si="1"/>
        <v>5.0825632591511294E-9</v>
      </c>
    </row>
    <row r="21" spans="2:14" x14ac:dyDescent="0.25">
      <c r="B21" s="56">
        <v>40179</v>
      </c>
      <c r="C21" s="28">
        <v>0</v>
      </c>
      <c r="D21" s="28" t="s">
        <v>98</v>
      </c>
      <c r="E21" s="28">
        <v>165</v>
      </c>
      <c r="F21" s="28" t="s">
        <v>99</v>
      </c>
      <c r="G21" s="28">
        <v>-112256.006970548</v>
      </c>
      <c r="H21" s="28" t="s">
        <v>100</v>
      </c>
      <c r="I21" s="28" t="s">
        <v>101</v>
      </c>
      <c r="J21" s="28" t="s">
        <v>120</v>
      </c>
      <c r="K21" s="28" t="s">
        <v>121</v>
      </c>
      <c r="L21" s="4">
        <f>-5*3.66*(31*24-1)</f>
        <v>-13596.9</v>
      </c>
      <c r="M21" s="4">
        <f t="shared" si="0"/>
        <v>-112256.0064</v>
      </c>
      <c r="N21" s="6">
        <f t="shared" si="1"/>
        <v>5.0825610387050801E-9</v>
      </c>
    </row>
    <row r="22" spans="2:14" x14ac:dyDescent="0.25">
      <c r="B22" s="56">
        <v>40179</v>
      </c>
      <c r="C22" s="28">
        <v>0</v>
      </c>
      <c r="D22" s="28" t="s">
        <v>98</v>
      </c>
      <c r="E22" s="28">
        <v>165</v>
      </c>
      <c r="F22" s="28" t="s">
        <v>99</v>
      </c>
      <c r="G22" s="28">
        <v>129125.079056287</v>
      </c>
      <c r="H22" s="28" t="s">
        <v>100</v>
      </c>
      <c r="I22" s="28" t="s">
        <v>101</v>
      </c>
      <c r="J22" s="28" t="s">
        <v>120</v>
      </c>
      <c r="K22" s="28" t="s">
        <v>122</v>
      </c>
      <c r="L22" s="4">
        <f>5*4.21*(31*24-1)</f>
        <v>15640.15</v>
      </c>
      <c r="M22" s="4">
        <f t="shared" si="0"/>
        <v>129125.0784</v>
      </c>
      <c r="N22" s="6">
        <f t="shared" si="1"/>
        <v>5.0825681441324377E-9</v>
      </c>
    </row>
    <row r="23" spans="2:14" x14ac:dyDescent="0.25">
      <c r="B23" s="56">
        <v>40179</v>
      </c>
      <c r="C23" s="28">
        <v>0</v>
      </c>
      <c r="D23" s="28" t="s">
        <v>98</v>
      </c>
      <c r="E23" s="28">
        <v>165</v>
      </c>
      <c r="F23" s="28" t="s">
        <v>99</v>
      </c>
      <c r="G23" s="28">
        <v>-218991.226713037</v>
      </c>
      <c r="H23" s="28" t="s">
        <v>100</v>
      </c>
      <c r="I23" s="28" t="s">
        <v>101</v>
      </c>
      <c r="J23" s="28" t="s">
        <v>120</v>
      </c>
      <c r="K23" s="28" t="s">
        <v>123</v>
      </c>
      <c r="L23" s="4">
        <f>-10*3.57*(31*24-1)</f>
        <v>-26525.1</v>
      </c>
      <c r="M23" s="4">
        <f t="shared" si="0"/>
        <v>-218991.22560000001</v>
      </c>
      <c r="N23" s="6">
        <f t="shared" si="1"/>
        <v>5.082564369374154E-9</v>
      </c>
    </row>
    <row r="24" spans="2:14" x14ac:dyDescent="0.25">
      <c r="B24" s="56">
        <v>40179</v>
      </c>
      <c r="C24" s="28">
        <v>0</v>
      </c>
      <c r="D24" s="28" t="s">
        <v>98</v>
      </c>
      <c r="E24" s="28">
        <v>165</v>
      </c>
      <c r="F24" s="28" t="s">
        <v>99</v>
      </c>
      <c r="G24" s="28">
        <v>-112256.006970548</v>
      </c>
      <c r="H24" s="28" t="s">
        <v>100</v>
      </c>
      <c r="I24" s="28" t="s">
        <v>101</v>
      </c>
      <c r="J24" s="28" t="s">
        <v>124</v>
      </c>
      <c r="K24" s="28" t="s">
        <v>125</v>
      </c>
      <c r="L24" s="4">
        <f>-5*3.66*(31*24-1)</f>
        <v>-13596.9</v>
      </c>
      <c r="M24" s="4">
        <f t="shared" si="0"/>
        <v>-112256.0064</v>
      </c>
      <c r="N24" s="6">
        <f t="shared" si="1"/>
        <v>5.0825610387050801E-9</v>
      </c>
    </row>
    <row r="25" spans="2:14" x14ac:dyDescent="0.25">
      <c r="B25" s="56">
        <v>40179</v>
      </c>
      <c r="C25" s="28">
        <v>0</v>
      </c>
      <c r="D25" s="28" t="s">
        <v>98</v>
      </c>
      <c r="E25" s="28">
        <v>165</v>
      </c>
      <c r="F25" s="28" t="s">
        <v>99</v>
      </c>
      <c r="G25" s="28">
        <v>129125.079056287</v>
      </c>
      <c r="H25" s="28" t="s">
        <v>100</v>
      </c>
      <c r="I25" s="28" t="s">
        <v>101</v>
      </c>
      <c r="J25" s="28" t="s">
        <v>124</v>
      </c>
      <c r="K25" s="28" t="s">
        <v>126</v>
      </c>
      <c r="L25" s="4">
        <f>5*4.21*(31*24-1)</f>
        <v>15640.15</v>
      </c>
      <c r="M25" s="4">
        <f t="shared" si="0"/>
        <v>129125.0784</v>
      </c>
      <c r="N25" s="6">
        <f t="shared" si="1"/>
        <v>5.0825681441324377E-9</v>
      </c>
    </row>
    <row r="26" spans="2:14" x14ac:dyDescent="0.25">
      <c r="B26" s="56">
        <v>40179</v>
      </c>
      <c r="C26" s="28">
        <v>0</v>
      </c>
      <c r="D26" s="28" t="s">
        <v>98</v>
      </c>
      <c r="E26" s="28">
        <v>165</v>
      </c>
      <c r="F26" s="28" t="s">
        <v>99</v>
      </c>
      <c r="G26" s="28">
        <v>-218991.226713037</v>
      </c>
      <c r="H26" s="28" t="s">
        <v>100</v>
      </c>
      <c r="I26" s="28" t="s">
        <v>101</v>
      </c>
      <c r="J26" s="28" t="s">
        <v>124</v>
      </c>
      <c r="K26" s="28" t="s">
        <v>127</v>
      </c>
      <c r="L26" s="4">
        <f>-10*3.57*(31*24-1)</f>
        <v>-26525.1</v>
      </c>
      <c r="M26" s="4">
        <f t="shared" si="0"/>
        <v>-218991.22560000001</v>
      </c>
      <c r="N26" s="6">
        <f t="shared" si="1"/>
        <v>5.082564369374154E-9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N25"/>
  <sheetViews>
    <sheetView workbookViewId="0">
      <selection activeCell="B2" sqref="B2:M10"/>
    </sheetView>
  </sheetViews>
  <sheetFormatPr baseColWidth="10" defaultColWidth="11.42578125" defaultRowHeight="15" x14ac:dyDescent="0.25"/>
  <sheetData>
    <row r="2" spans="2:14" ht="17.25" customHeight="1" x14ac:dyDescent="0.25">
      <c r="B2" s="28" t="s">
        <v>80</v>
      </c>
      <c r="C2" s="29"/>
      <c r="D2" s="29" t="s">
        <v>74</v>
      </c>
      <c r="E2" s="42" t="s">
        <v>144</v>
      </c>
      <c r="F2" s="29"/>
      <c r="G2" s="29"/>
      <c r="H2" s="29"/>
      <c r="I2" s="29"/>
      <c r="J2" s="29"/>
      <c r="K2" s="29"/>
      <c r="L2" s="29"/>
      <c r="M2" s="29"/>
      <c r="N2" s="29"/>
    </row>
    <row r="3" spans="2:14" x14ac:dyDescent="0.25">
      <c r="B3" s="35" t="s">
        <v>76</v>
      </c>
      <c r="C3" s="29"/>
      <c r="D3" s="29" t="s">
        <v>77</v>
      </c>
      <c r="E3" s="26">
        <v>40844</v>
      </c>
      <c r="F3" s="29"/>
      <c r="G3" s="29"/>
      <c r="H3" s="29"/>
      <c r="I3" s="29"/>
      <c r="J3" s="29"/>
      <c r="K3" s="29"/>
      <c r="L3" s="29"/>
      <c r="M3" s="29"/>
      <c r="N3" s="29"/>
    </row>
    <row r="4" spans="2:14" x14ac:dyDescent="0.25">
      <c r="B4" s="4" t="s">
        <v>78</v>
      </c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</row>
    <row r="5" spans="2:14" x14ac:dyDescent="0.25">
      <c r="B5" s="6" t="s">
        <v>79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</row>
    <row r="6" spans="2:14" x14ac:dyDescent="0.25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</row>
    <row r="7" spans="2:14" x14ac:dyDescent="0.25">
      <c r="B7" s="28" t="s">
        <v>88</v>
      </c>
      <c r="C7" s="28" t="s">
        <v>89</v>
      </c>
      <c r="D7" s="28" t="s">
        <v>90</v>
      </c>
      <c r="E7" s="28" t="s">
        <v>91</v>
      </c>
      <c r="F7" s="28" t="s">
        <v>92</v>
      </c>
      <c r="G7" s="28" t="s">
        <v>93</v>
      </c>
      <c r="H7" s="28" t="s">
        <v>94</v>
      </c>
      <c r="I7" s="28" t="s">
        <v>95</v>
      </c>
      <c r="J7" s="28" t="s">
        <v>96</v>
      </c>
      <c r="K7" s="28" t="s">
        <v>97</v>
      </c>
      <c r="L7" s="4" t="s">
        <v>128</v>
      </c>
      <c r="M7" s="6"/>
    </row>
    <row r="8" spans="2:14" x14ac:dyDescent="0.25">
      <c r="B8" s="56">
        <v>41061</v>
      </c>
      <c r="C8" s="28">
        <v>0</v>
      </c>
      <c r="D8" s="28" t="s">
        <v>116</v>
      </c>
      <c r="E8" s="28">
        <v>165</v>
      </c>
      <c r="F8" s="28" t="s">
        <v>145</v>
      </c>
      <c r="G8" s="28">
        <v>-3600</v>
      </c>
      <c r="H8" s="28" t="s">
        <v>100</v>
      </c>
      <c r="I8" s="28" t="s">
        <v>101</v>
      </c>
      <c r="J8" s="28" t="s">
        <v>22</v>
      </c>
      <c r="K8" s="28" t="s">
        <v>115</v>
      </c>
      <c r="L8" s="4">
        <f>-5*30*24</f>
        <v>-3600</v>
      </c>
      <c r="M8" s="6">
        <f>L8/G8-1</f>
        <v>0</v>
      </c>
    </row>
    <row r="9" spans="2:14" x14ac:dyDescent="0.25">
      <c r="B9" s="56">
        <v>41061</v>
      </c>
      <c r="C9" s="28">
        <v>0</v>
      </c>
      <c r="D9" s="28" t="s">
        <v>116</v>
      </c>
      <c r="E9" s="28">
        <v>165</v>
      </c>
      <c r="F9" s="28" t="s">
        <v>145</v>
      </c>
      <c r="G9" s="28">
        <v>3600</v>
      </c>
      <c r="H9" s="28" t="s">
        <v>100</v>
      </c>
      <c r="I9" s="28" t="s">
        <v>101</v>
      </c>
      <c r="J9" s="28" t="s">
        <v>22</v>
      </c>
      <c r="K9" s="28" t="s">
        <v>118</v>
      </c>
      <c r="L9" s="4">
        <f>5*30*24</f>
        <v>3600</v>
      </c>
      <c r="M9" s="6">
        <f t="shared" ref="M9:M10" si="0">L9/G9-1</f>
        <v>0</v>
      </c>
    </row>
    <row r="10" spans="2:14" x14ac:dyDescent="0.25">
      <c r="B10" s="56">
        <v>41061</v>
      </c>
      <c r="C10" s="28">
        <v>0</v>
      </c>
      <c r="D10" s="28" t="s">
        <v>116</v>
      </c>
      <c r="E10" s="28">
        <v>165</v>
      </c>
      <c r="F10" s="28" t="s">
        <v>145</v>
      </c>
      <c r="G10" s="28">
        <v>-7200</v>
      </c>
      <c r="H10" s="28" t="s">
        <v>100</v>
      </c>
      <c r="I10" s="28" t="s">
        <v>101</v>
      </c>
      <c r="J10" s="28" t="s">
        <v>22</v>
      </c>
      <c r="K10" s="28" t="s">
        <v>119</v>
      </c>
      <c r="L10" s="4">
        <f>-10*30*24</f>
        <v>-7200</v>
      </c>
      <c r="M10" s="6">
        <f t="shared" si="0"/>
        <v>0</v>
      </c>
    </row>
    <row r="11" spans="2:14" x14ac:dyDescent="0.25"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</row>
    <row r="12" spans="2:14" x14ac:dyDescent="0.25"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</row>
    <row r="13" spans="2:14" x14ac:dyDescent="0.25"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</row>
    <row r="14" spans="2:14" x14ac:dyDescent="0.25"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</row>
    <row r="15" spans="2:14" x14ac:dyDescent="0.25"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</row>
    <row r="16" spans="2:14" x14ac:dyDescent="0.25"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</row>
    <row r="17" spans="2:14" x14ac:dyDescent="0.25"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</row>
    <row r="18" spans="2:14" x14ac:dyDescent="0.25"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</row>
    <row r="19" spans="2:14" x14ac:dyDescent="0.25"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</row>
    <row r="20" spans="2:14" x14ac:dyDescent="0.25"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</row>
    <row r="21" spans="2:14" x14ac:dyDescent="0.25"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</row>
    <row r="22" spans="2:14" x14ac:dyDescent="0.25"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</row>
    <row r="23" spans="2:14" x14ac:dyDescent="0.25"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</row>
    <row r="24" spans="2:14" x14ac:dyDescent="0.25"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</row>
    <row r="25" spans="2:14" x14ac:dyDescent="0.25"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N10"/>
  <sheetViews>
    <sheetView workbookViewId="0">
      <selection activeCell="J16" sqref="J16"/>
    </sheetView>
  </sheetViews>
  <sheetFormatPr baseColWidth="10" defaultColWidth="11.42578125" defaultRowHeight="15" x14ac:dyDescent="0.25"/>
  <cols>
    <col min="2" max="2" width="15.42578125" bestFit="1" customWidth="1"/>
    <col min="3" max="3" width="12.7109375" bestFit="1" customWidth="1"/>
    <col min="4" max="4" width="11.5703125" bestFit="1" customWidth="1"/>
    <col min="6" max="6" width="8.85546875" bestFit="1" customWidth="1"/>
    <col min="7" max="7" width="14.5703125" bestFit="1" customWidth="1"/>
    <col min="8" max="8" width="10.5703125" bestFit="1" customWidth="1"/>
    <col min="9" max="9" width="15.140625" bestFit="1" customWidth="1"/>
    <col min="10" max="10" width="27" bestFit="1" customWidth="1"/>
    <col min="11" max="11" width="22.42578125" bestFit="1" customWidth="1"/>
    <col min="12" max="13" width="12.7109375" bestFit="1" customWidth="1"/>
    <col min="14" max="14" width="12" bestFit="1" customWidth="1"/>
  </cols>
  <sheetData>
    <row r="2" spans="2:14" ht="18.75" customHeight="1" x14ac:dyDescent="0.25">
      <c r="B2" s="28" t="s">
        <v>80</v>
      </c>
      <c r="C2" s="29"/>
      <c r="D2" s="29" t="s">
        <v>74</v>
      </c>
      <c r="E2" s="42" t="s">
        <v>146</v>
      </c>
      <c r="F2" s="29"/>
      <c r="G2" s="29"/>
      <c r="H2" s="29"/>
      <c r="I2" s="29"/>
      <c r="J2" s="29"/>
      <c r="K2" s="29"/>
      <c r="L2" s="29"/>
    </row>
    <row r="3" spans="2:14" x14ac:dyDescent="0.25">
      <c r="B3" s="35" t="s">
        <v>76</v>
      </c>
      <c r="C3" s="29"/>
      <c r="D3" s="29" t="s">
        <v>77</v>
      </c>
      <c r="E3" s="26">
        <v>40844</v>
      </c>
      <c r="F3" s="29"/>
      <c r="G3" s="29"/>
      <c r="H3" s="29"/>
      <c r="I3" s="29"/>
      <c r="J3" s="29"/>
      <c r="K3" s="29"/>
      <c r="L3" s="35" t="s">
        <v>26</v>
      </c>
    </row>
    <row r="4" spans="2:14" x14ac:dyDescent="0.25">
      <c r="B4" s="4" t="s">
        <v>78</v>
      </c>
      <c r="C4" s="29"/>
      <c r="D4" s="29"/>
      <c r="E4" s="29"/>
      <c r="F4" s="29"/>
      <c r="G4" s="29"/>
      <c r="H4" s="29"/>
      <c r="I4" s="29"/>
      <c r="J4" s="29"/>
      <c r="K4" s="29"/>
      <c r="L4" s="35">
        <v>-0.98826713019517598</v>
      </c>
    </row>
    <row r="5" spans="2:14" x14ac:dyDescent="0.25">
      <c r="B5" s="6" t="s">
        <v>79</v>
      </c>
      <c r="C5" s="29"/>
      <c r="D5" s="29"/>
      <c r="E5" s="29"/>
      <c r="F5" s="29"/>
      <c r="G5" s="29"/>
      <c r="H5" s="29"/>
      <c r="I5" s="29"/>
      <c r="J5" s="29"/>
      <c r="K5" s="29"/>
      <c r="L5" s="29"/>
    </row>
    <row r="6" spans="2:14" x14ac:dyDescent="0.25"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</row>
    <row r="7" spans="2:14" x14ac:dyDescent="0.25">
      <c r="B7" s="28" t="s">
        <v>88</v>
      </c>
      <c r="C7" s="28" t="s">
        <v>89</v>
      </c>
      <c r="D7" s="28" t="s">
        <v>90</v>
      </c>
      <c r="E7" s="28" t="s">
        <v>91</v>
      </c>
      <c r="F7" s="28" t="s">
        <v>92</v>
      </c>
      <c r="G7" s="28" t="s">
        <v>93</v>
      </c>
      <c r="H7" s="28" t="s">
        <v>94</v>
      </c>
      <c r="I7" s="28" t="s">
        <v>95</v>
      </c>
      <c r="J7" s="28" t="s">
        <v>96</v>
      </c>
      <c r="K7" s="28" t="s">
        <v>97</v>
      </c>
      <c r="L7" s="4" t="s">
        <v>128</v>
      </c>
      <c r="M7" s="28" t="s">
        <v>147</v>
      </c>
      <c r="N7" s="6"/>
    </row>
    <row r="8" spans="2:14" x14ac:dyDescent="0.25">
      <c r="B8" s="56">
        <v>41061</v>
      </c>
      <c r="C8" s="28">
        <v>0</v>
      </c>
      <c r="D8" s="28" t="s">
        <v>116</v>
      </c>
      <c r="E8" s="28">
        <v>165</v>
      </c>
      <c r="F8" s="28" t="s">
        <v>145</v>
      </c>
      <c r="G8" s="28">
        <v>-3557.7616687026298</v>
      </c>
      <c r="H8" s="28" t="s">
        <v>100</v>
      </c>
      <c r="I8" s="28" t="s">
        <v>101</v>
      </c>
      <c r="J8" s="28" t="s">
        <v>22</v>
      </c>
      <c r="K8" s="28" t="s">
        <v>115</v>
      </c>
      <c r="L8" s="4">
        <f>5*30*24</f>
        <v>3600</v>
      </c>
      <c r="M8">
        <f>L8*L4</f>
        <v>-3557.7616687026334</v>
      </c>
      <c r="N8" s="6">
        <f>M8/G8-1</f>
        <v>0</v>
      </c>
    </row>
    <row r="9" spans="2:14" x14ac:dyDescent="0.25">
      <c r="B9" s="56">
        <v>41061</v>
      </c>
      <c r="C9" s="28">
        <v>0</v>
      </c>
      <c r="D9" s="28" t="s">
        <v>116</v>
      </c>
      <c r="E9" s="28">
        <v>165</v>
      </c>
      <c r="F9" s="28" t="s">
        <v>145</v>
      </c>
      <c r="G9" s="28">
        <v>3557.7616687026298</v>
      </c>
      <c r="H9" s="28" t="s">
        <v>100</v>
      </c>
      <c r="I9" s="28" t="s">
        <v>101</v>
      </c>
      <c r="J9" s="28" t="s">
        <v>22</v>
      </c>
      <c r="K9" s="28" t="s">
        <v>118</v>
      </c>
      <c r="L9" s="4">
        <f>-5*30*24</f>
        <v>-3600</v>
      </c>
      <c r="M9">
        <f>L9*L4</f>
        <v>3557.7616687026334</v>
      </c>
      <c r="N9" s="6">
        <f>M9/G9-1</f>
        <v>0</v>
      </c>
    </row>
    <row r="10" spans="2:14" x14ac:dyDescent="0.25">
      <c r="B10" s="56">
        <v>41061</v>
      </c>
      <c r="C10" s="28">
        <v>0</v>
      </c>
      <c r="D10" s="28" t="s">
        <v>116</v>
      </c>
      <c r="E10" s="28">
        <v>165</v>
      </c>
      <c r="F10" s="28" t="s">
        <v>145</v>
      </c>
      <c r="G10" s="28">
        <v>-7115.5233374052596</v>
      </c>
      <c r="H10" s="28" t="s">
        <v>100</v>
      </c>
      <c r="I10" s="28" t="s">
        <v>101</v>
      </c>
      <c r="J10" s="28" t="s">
        <v>22</v>
      </c>
      <c r="K10" s="28" t="s">
        <v>119</v>
      </c>
      <c r="L10" s="4">
        <f>10*30*24</f>
        <v>7200</v>
      </c>
      <c r="M10">
        <f>L10*L4</f>
        <v>-7115.5233374052668</v>
      </c>
      <c r="N10" s="6">
        <f>M10/G10-1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B2:BN14"/>
  <sheetViews>
    <sheetView workbookViewId="0">
      <selection activeCell="F3" sqref="E2:F3"/>
    </sheetView>
  </sheetViews>
  <sheetFormatPr baseColWidth="10" defaultColWidth="11.42578125" defaultRowHeight="15" x14ac:dyDescent="0.25"/>
  <sheetData>
    <row r="2" spans="2:66" ht="409.5" x14ac:dyDescent="0.25">
      <c r="B2" s="29"/>
      <c r="C2" s="29"/>
      <c r="D2" s="29"/>
      <c r="E2" s="29" t="s">
        <v>74</v>
      </c>
      <c r="F2" s="42" t="s">
        <v>75</v>
      </c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</row>
    <row r="3" spans="2:66" x14ac:dyDescent="0.25">
      <c r="B3" s="29"/>
      <c r="C3" s="29"/>
      <c r="D3" s="29"/>
      <c r="E3" s="29" t="s">
        <v>77</v>
      </c>
      <c r="F3" s="26">
        <v>40843</v>
      </c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</row>
    <row r="4" spans="2:66" x14ac:dyDescent="0.25">
      <c r="B4" s="29"/>
      <c r="C4" s="29"/>
      <c r="D4" s="29"/>
      <c r="E4" s="29"/>
      <c r="F4" s="26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</row>
    <row r="5" spans="2:66" x14ac:dyDescent="0.25">
      <c r="B5" s="29"/>
      <c r="C5" s="29"/>
      <c r="D5" s="28" t="s">
        <v>80</v>
      </c>
      <c r="E5" s="29"/>
      <c r="F5" s="26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</row>
    <row r="6" spans="2:66" x14ac:dyDescent="0.25">
      <c r="B6" s="29"/>
      <c r="C6" s="29"/>
      <c r="D6" s="35" t="s">
        <v>76</v>
      </c>
      <c r="E6" s="29"/>
      <c r="F6" s="26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</row>
    <row r="7" spans="2:66" x14ac:dyDescent="0.25">
      <c r="B7" s="29"/>
      <c r="C7" s="29"/>
      <c r="D7" s="4" t="s">
        <v>78</v>
      </c>
      <c r="E7" s="29"/>
      <c r="F7" s="26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</row>
    <row r="8" spans="2:66" x14ac:dyDescent="0.25">
      <c r="B8" s="29"/>
      <c r="C8" s="29"/>
      <c r="D8" s="6" t="s">
        <v>79</v>
      </c>
      <c r="E8" s="29"/>
      <c r="F8" s="26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</row>
    <row r="9" spans="2:66" x14ac:dyDescent="0.25"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</row>
    <row r="10" spans="2:66" x14ac:dyDescent="0.25">
      <c r="B10" s="30" t="s">
        <v>9</v>
      </c>
      <c r="C10" s="30" t="s">
        <v>18</v>
      </c>
      <c r="D10" s="30" t="s">
        <v>10</v>
      </c>
      <c r="E10" s="30" t="s">
        <v>11</v>
      </c>
      <c r="F10" s="30" t="s">
        <v>12</v>
      </c>
      <c r="G10" s="30" t="s">
        <v>1</v>
      </c>
      <c r="H10" s="30" t="s">
        <v>2</v>
      </c>
      <c r="I10" s="30" t="s">
        <v>13</v>
      </c>
      <c r="J10" s="30" t="s">
        <v>14</v>
      </c>
      <c r="K10" s="30" t="s">
        <v>0</v>
      </c>
      <c r="L10" s="30" t="s">
        <v>15</v>
      </c>
      <c r="M10" s="30" t="s">
        <v>16</v>
      </c>
      <c r="N10" s="30" t="s">
        <v>17</v>
      </c>
      <c r="O10" s="30" t="s">
        <v>26</v>
      </c>
      <c r="P10" s="30" t="s">
        <v>27</v>
      </c>
      <c r="Q10" s="30" t="s">
        <v>28</v>
      </c>
      <c r="R10" s="30" t="s">
        <v>6</v>
      </c>
      <c r="S10" s="30" t="s">
        <v>7</v>
      </c>
      <c r="T10" s="30" t="s">
        <v>4</v>
      </c>
      <c r="U10" s="30" t="s">
        <v>29</v>
      </c>
      <c r="V10" s="30" t="s">
        <v>30</v>
      </c>
      <c r="W10" s="30" t="s">
        <v>31</v>
      </c>
      <c r="X10" s="30" t="s">
        <v>32</v>
      </c>
      <c r="Y10" s="30" t="s">
        <v>33</v>
      </c>
      <c r="Z10" s="30" t="s">
        <v>34</v>
      </c>
      <c r="AA10" s="30" t="s">
        <v>35</v>
      </c>
      <c r="AB10" s="30" t="s">
        <v>36</v>
      </c>
      <c r="AC10" s="21" t="s">
        <v>37</v>
      </c>
      <c r="AD10" s="34" t="s">
        <v>5</v>
      </c>
      <c r="AE10" s="37" t="s">
        <v>40</v>
      </c>
      <c r="AF10" s="36" t="s">
        <v>39</v>
      </c>
      <c r="AG10" s="3" t="s">
        <v>38</v>
      </c>
      <c r="AH10" s="3" t="s">
        <v>41</v>
      </c>
      <c r="AI10" s="3" t="s">
        <v>42</v>
      </c>
      <c r="AJ10" s="3" t="s">
        <v>43</v>
      </c>
      <c r="AK10" s="3" t="s">
        <v>44</v>
      </c>
      <c r="AL10" s="3" t="s">
        <v>45</v>
      </c>
      <c r="AM10" s="40" t="s">
        <v>46</v>
      </c>
      <c r="AN10" s="40" t="s">
        <v>47</v>
      </c>
      <c r="AO10" s="40" t="s">
        <v>48</v>
      </c>
      <c r="AP10" s="40" t="s">
        <v>49</v>
      </c>
      <c r="AQ10" s="40" t="s">
        <v>50</v>
      </c>
      <c r="AR10" s="40" t="s">
        <v>51</v>
      </c>
      <c r="AS10" s="40" t="s">
        <v>52</v>
      </c>
      <c r="AT10" s="40" t="s">
        <v>53</v>
      </c>
      <c r="AU10" s="40" t="s">
        <v>54</v>
      </c>
      <c r="AV10" s="40" t="s">
        <v>55</v>
      </c>
      <c r="AW10" s="41" t="s">
        <v>56</v>
      </c>
      <c r="AX10" s="41" t="s">
        <v>65</v>
      </c>
      <c r="AY10" s="41" t="s">
        <v>57</v>
      </c>
      <c r="AZ10" s="41" t="s">
        <v>58</v>
      </c>
      <c r="BA10" s="41" t="s">
        <v>66</v>
      </c>
      <c r="BB10" s="41" t="s">
        <v>59</v>
      </c>
      <c r="BC10" s="41" t="s">
        <v>60</v>
      </c>
      <c r="BD10" s="41" t="s">
        <v>61</v>
      </c>
      <c r="BE10" s="41" t="s">
        <v>62</v>
      </c>
      <c r="BF10" s="41" t="s">
        <v>63</v>
      </c>
      <c r="BG10" s="41" t="s">
        <v>64</v>
      </c>
      <c r="BH10" s="41" t="s">
        <v>67</v>
      </c>
      <c r="BI10" s="41" t="s">
        <v>68</v>
      </c>
      <c r="BJ10" s="41" t="s">
        <v>69</v>
      </c>
      <c r="BK10" s="41" t="s">
        <v>70</v>
      </c>
      <c r="BL10" s="41" t="s">
        <v>71</v>
      </c>
      <c r="BM10" s="41" t="s">
        <v>72</v>
      </c>
      <c r="BN10" s="41" t="s">
        <v>73</v>
      </c>
    </row>
    <row r="11" spans="2:66" x14ac:dyDescent="0.25">
      <c r="B11" s="30" t="s">
        <v>19</v>
      </c>
      <c r="C11" s="30" t="s">
        <v>20</v>
      </c>
      <c r="D11" s="30" t="s">
        <v>21</v>
      </c>
      <c r="E11" s="31">
        <v>41061</v>
      </c>
      <c r="F11" s="31">
        <v>41090</v>
      </c>
      <c r="G11" s="39">
        <v>41056</v>
      </c>
      <c r="H11" s="32">
        <v>45</v>
      </c>
      <c r="I11" s="30" t="s">
        <v>3</v>
      </c>
      <c r="J11" s="30">
        <v>10</v>
      </c>
      <c r="K11" s="30">
        <v>720</v>
      </c>
      <c r="L11" s="30">
        <v>3.57</v>
      </c>
      <c r="M11" s="30">
        <v>-25704</v>
      </c>
      <c r="N11" s="30">
        <v>8.6427314495333897E-4</v>
      </c>
      <c r="O11" s="30">
        <v>7.3744832347931802E-4</v>
      </c>
      <c r="P11" s="30">
        <v>5.6182282548629598E-4</v>
      </c>
      <c r="Q11" s="30">
        <v>4.7540740811023302E-2</v>
      </c>
      <c r="R11" s="33">
        <v>-2.76141062138536E-5</v>
      </c>
      <c r="S11" s="30">
        <v>-4.9251729901449799E-4</v>
      </c>
      <c r="T11" s="30">
        <v>0.24201600166669501</v>
      </c>
      <c r="U11" s="30">
        <v>6.2227666436640403</v>
      </c>
      <c r="V11" s="30">
        <v>6.2227666436640403</v>
      </c>
      <c r="W11" s="30">
        <v>1980</v>
      </c>
      <c r="X11" s="30">
        <v>-23724</v>
      </c>
      <c r="Y11" s="30">
        <v>6.2227666436640403</v>
      </c>
      <c r="Z11" s="30">
        <v>-23717.777233356301</v>
      </c>
      <c r="AA11" s="30">
        <v>-23724</v>
      </c>
      <c r="AB11" s="30">
        <v>6.2227666436640403</v>
      </c>
      <c r="AC11" s="21">
        <v>-23717.777233356301</v>
      </c>
      <c r="AD11" s="35">
        <v>1.8427599465993608E-2</v>
      </c>
      <c r="AE11" s="38">
        <v>24.77</v>
      </c>
      <c r="AF11" s="3" t="str">
        <f>MID(D11,4,1)</f>
        <v>C</v>
      </c>
      <c r="AG11" s="3">
        <f>B76Future($F$3,AF11,AE11,H11,G11,T11,AD11)</f>
        <v>1.0417803302102656E-3</v>
      </c>
      <c r="AH11" s="3">
        <f>B76Delta($F$3,AF11,AE11,H11,G11,T11,AD11)</f>
        <v>8.6732711987109394E-4</v>
      </c>
      <c r="AI11" s="3">
        <f>B76Gamma($F$3,AF11,AE11,H11,G11,T11,AD11)</f>
        <v>6.4306808004761795E-4</v>
      </c>
      <c r="AJ11" s="3">
        <f>B76Vega($F$3,AF11,AE11,H11,G11,T11,AD11)</f>
        <v>5.59852931788914E-2</v>
      </c>
      <c r="AK11" s="3">
        <f>B76Theta($F$3,AF11,AE11,H11,G11,T11,AD11)</f>
        <v>-3.1604733069395007E-5</v>
      </c>
      <c r="AL11" s="3">
        <f>B76Rho($F$3,AF11,AE11,H11,G11,T11,AD11)</f>
        <v>-6.1079723469862149E-4</v>
      </c>
      <c r="AM11" s="43">
        <f>AK11/R11-1</f>
        <v>0.14451406917307241</v>
      </c>
      <c r="AN11" s="3">
        <f>AL11/S11-1</f>
        <v>0.24015387057631399</v>
      </c>
      <c r="AO11" s="3"/>
      <c r="AP11" s="3"/>
      <c r="AQ11" s="3"/>
      <c r="AR11" s="3"/>
      <c r="AS11" s="3"/>
      <c r="AT11" s="3"/>
      <c r="AU11" s="3"/>
      <c r="AV11" s="3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</row>
    <row r="12" spans="2:66" x14ac:dyDescent="0.25">
      <c r="B12" s="30" t="s">
        <v>19</v>
      </c>
      <c r="C12" s="30" t="s">
        <v>20</v>
      </c>
      <c r="D12" s="30" t="s">
        <v>22</v>
      </c>
      <c r="E12" s="31">
        <v>41061</v>
      </c>
      <c r="F12" s="31">
        <v>41090</v>
      </c>
      <c r="G12" s="39">
        <v>41056</v>
      </c>
      <c r="H12" s="32">
        <v>45</v>
      </c>
      <c r="I12" s="32" t="s">
        <v>3</v>
      </c>
      <c r="J12" s="30">
        <v>10</v>
      </c>
      <c r="K12" s="30">
        <v>720</v>
      </c>
      <c r="L12" s="32">
        <v>3.57</v>
      </c>
      <c r="M12" s="30">
        <v>-25704</v>
      </c>
      <c r="N12" s="30">
        <v>20.019536389107198</v>
      </c>
      <c r="O12" s="30">
        <v>-0.98881628948982603</v>
      </c>
      <c r="P12" s="32">
        <v>5.6182282548629598E-4</v>
      </c>
      <c r="Q12" s="32">
        <v>4.7540740811023302E-2</v>
      </c>
      <c r="R12" s="30">
        <v>9.8306006253684897E-4</v>
      </c>
      <c r="S12" s="32">
        <v>-11.4083933389112</v>
      </c>
      <c r="T12" s="30">
        <v>0.24201600166669501</v>
      </c>
      <c r="U12" s="30">
        <v>144140.662001572</v>
      </c>
      <c r="V12" s="32">
        <v>144140.662001572</v>
      </c>
      <c r="W12" s="30">
        <v>1980</v>
      </c>
      <c r="X12" s="30">
        <v>-23724</v>
      </c>
      <c r="Y12" s="30">
        <v>144140.662001572</v>
      </c>
      <c r="Z12" s="30">
        <v>120416.662001572</v>
      </c>
      <c r="AA12" s="32">
        <v>-23724</v>
      </c>
      <c r="AB12" s="30">
        <v>144140.662001572</v>
      </c>
      <c r="AC12" s="21">
        <v>120416.662001572</v>
      </c>
      <c r="AD12" s="35">
        <v>1.8427599465993608E-2</v>
      </c>
      <c r="AE12" s="38">
        <v>24.77</v>
      </c>
      <c r="AF12" s="3" t="str">
        <f>MID(D12,4,1)</f>
        <v>P</v>
      </c>
      <c r="AG12" s="3">
        <f t="shared" ref="AG12:AG14" si="0">B76Future($F$3,AF12,AE12,H12,G12,T12,AD12)</f>
        <v>20.013650769635021</v>
      </c>
      <c r="AH12" s="3">
        <f t="shared" ref="AH12:AH14" si="1">B76Delta($F$3,AF12,AE12,H12,G12,T12,AD12)</f>
        <v>-0.98838670102174053</v>
      </c>
      <c r="AI12" s="3">
        <f t="shared" ref="AI12:AI14" si="2">B76Gamma($F$3,AF12,AE12,H12,G12,T12,AD12)</f>
        <v>6.4306808004761795E-4</v>
      </c>
      <c r="AJ12" s="3">
        <f>B76Vega($F$3,AF12,AE12,H12,G12,T12,AD12)</f>
        <v>5.59852931788914E-2</v>
      </c>
      <c r="AK12" s="3">
        <f t="shared" ref="AK12:AK14" si="3">B76Theta($F$3,AF12,AE12,H12,G12,T12,AD12)</f>
        <v>9.7876332918937835E-4</v>
      </c>
      <c r="AL12" s="44">
        <f t="shared" ref="AL12:AL14" si="4">B76Rho($F$3,AF12,AE12,H12,G12,T12,AD12)</f>
        <v>-11.734030862196972</v>
      </c>
      <c r="AM12" s="43">
        <f t="shared" ref="AM12:AN14" si="5">AK12/R12-1</f>
        <v>-4.3707739854497163E-3</v>
      </c>
      <c r="AN12" s="3">
        <f t="shared" si="5"/>
        <v>2.8543679518403753E-2</v>
      </c>
      <c r="AO12" s="3"/>
      <c r="AP12" s="3"/>
      <c r="AQ12" s="3"/>
      <c r="AR12" s="3"/>
      <c r="AS12" s="3"/>
      <c r="AT12" s="3"/>
      <c r="AU12" s="3"/>
      <c r="AV12" s="3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</row>
    <row r="13" spans="2:66" x14ac:dyDescent="0.25">
      <c r="B13" s="30" t="s">
        <v>19</v>
      </c>
      <c r="C13" s="30" t="s">
        <v>23</v>
      </c>
      <c r="D13" s="30" t="s">
        <v>24</v>
      </c>
      <c r="E13" s="31">
        <v>40848</v>
      </c>
      <c r="F13" s="31">
        <v>40877</v>
      </c>
      <c r="G13" s="39">
        <v>40843</v>
      </c>
      <c r="H13" s="32">
        <v>45</v>
      </c>
      <c r="I13" s="32" t="s">
        <v>8</v>
      </c>
      <c r="J13" s="30">
        <v>10</v>
      </c>
      <c r="K13" s="30">
        <v>720</v>
      </c>
      <c r="L13" s="32">
        <v>3.57</v>
      </c>
      <c r="M13" s="30">
        <v>-25704</v>
      </c>
      <c r="N13" s="30">
        <v>0</v>
      </c>
      <c r="O13" s="30">
        <v>0</v>
      </c>
      <c r="P13" s="32">
        <v>0</v>
      </c>
      <c r="Q13" s="32">
        <v>0</v>
      </c>
      <c r="R13" s="30">
        <v>0</v>
      </c>
      <c r="S13" s="32">
        <v>0</v>
      </c>
      <c r="T13" s="30">
        <v>0</v>
      </c>
      <c r="U13" s="30">
        <v>0</v>
      </c>
      <c r="V13" s="32">
        <v>0</v>
      </c>
      <c r="W13" s="30">
        <v>1980</v>
      </c>
      <c r="X13" s="30">
        <v>-23724</v>
      </c>
      <c r="Y13" s="30">
        <v>0</v>
      </c>
      <c r="Z13" s="30">
        <v>-23724</v>
      </c>
      <c r="AA13" s="32">
        <v>-23724</v>
      </c>
      <c r="AB13" s="30">
        <v>0</v>
      </c>
      <c r="AC13" s="21">
        <v>-23724</v>
      </c>
      <c r="AD13" s="35">
        <v>1.4444728711645632E-2</v>
      </c>
      <c r="AE13" s="38">
        <v>60</v>
      </c>
      <c r="AF13" s="3" t="str">
        <f>MID(D13,4,1)</f>
        <v>C</v>
      </c>
      <c r="AG13" s="3" t="e">
        <f t="shared" si="0"/>
        <v>#VALUE!</v>
      </c>
      <c r="AH13" s="3" t="e">
        <f t="shared" si="1"/>
        <v>#VALUE!</v>
      </c>
      <c r="AI13" s="3" t="e">
        <f t="shared" si="2"/>
        <v>#VALUE!</v>
      </c>
      <c r="AJ13" s="3" t="e">
        <f t="shared" ref="AJ13:AJ14" si="6">B76Vega($F$3,AF13,AE13,H13,G13,T13,AD13)</f>
        <v>#VALUE!</v>
      </c>
      <c r="AK13" s="3" t="e">
        <f t="shared" si="3"/>
        <v>#VALUE!</v>
      </c>
      <c r="AL13" s="3" t="e">
        <f t="shared" si="4"/>
        <v>#VALUE!</v>
      </c>
      <c r="AM13" s="43" t="e">
        <f t="shared" si="5"/>
        <v>#VALUE!</v>
      </c>
      <c r="AN13" s="3" t="e">
        <f t="shared" si="5"/>
        <v>#VALUE!</v>
      </c>
      <c r="AO13" s="3"/>
      <c r="AP13" s="3"/>
      <c r="AQ13" s="3"/>
      <c r="AR13" s="3"/>
      <c r="AS13" s="3"/>
      <c r="AT13" s="3"/>
      <c r="AU13" s="3"/>
      <c r="AV13" s="3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</row>
    <row r="14" spans="2:66" x14ac:dyDescent="0.25">
      <c r="B14" s="30" t="s">
        <v>19</v>
      </c>
      <c r="C14" s="30" t="s">
        <v>23</v>
      </c>
      <c r="D14" s="30" t="s">
        <v>25</v>
      </c>
      <c r="E14" s="31">
        <v>40848</v>
      </c>
      <c r="F14" s="31">
        <v>40877</v>
      </c>
      <c r="G14" s="39">
        <v>40843</v>
      </c>
      <c r="H14" s="32">
        <v>45</v>
      </c>
      <c r="I14" s="32" t="s">
        <v>8</v>
      </c>
      <c r="J14" s="30">
        <v>10</v>
      </c>
      <c r="K14" s="30">
        <v>720</v>
      </c>
      <c r="L14" s="32">
        <v>3.57</v>
      </c>
      <c r="M14" s="30">
        <v>-25704</v>
      </c>
      <c r="N14" s="30">
        <v>0</v>
      </c>
      <c r="O14" s="30">
        <v>0</v>
      </c>
      <c r="P14" s="32">
        <v>0</v>
      </c>
      <c r="Q14" s="32">
        <v>0</v>
      </c>
      <c r="R14" s="30">
        <v>0</v>
      </c>
      <c r="S14" s="32">
        <v>0</v>
      </c>
      <c r="T14" s="30">
        <v>0</v>
      </c>
      <c r="U14" s="30">
        <v>0</v>
      </c>
      <c r="V14" s="32">
        <v>0</v>
      </c>
      <c r="W14" s="30">
        <v>1980</v>
      </c>
      <c r="X14" s="30">
        <v>-23724</v>
      </c>
      <c r="Y14" s="30">
        <v>0</v>
      </c>
      <c r="Z14" s="30">
        <v>-23724</v>
      </c>
      <c r="AA14" s="32">
        <v>-23724</v>
      </c>
      <c r="AB14" s="30">
        <v>0</v>
      </c>
      <c r="AC14" s="21">
        <v>-23724</v>
      </c>
      <c r="AD14" s="35">
        <v>1.4444728711645632E-2</v>
      </c>
      <c r="AE14" s="38"/>
      <c r="AF14" s="3" t="str">
        <f>MID(D14,4,1)</f>
        <v>P</v>
      </c>
      <c r="AG14" s="3" t="e">
        <f t="shared" si="0"/>
        <v>#VALUE!</v>
      </c>
      <c r="AH14" s="3" t="e">
        <f t="shared" si="1"/>
        <v>#VALUE!</v>
      </c>
      <c r="AI14" s="3" t="e">
        <f t="shared" si="2"/>
        <v>#VALUE!</v>
      </c>
      <c r="AJ14" s="3" t="e">
        <f t="shared" si="6"/>
        <v>#VALUE!</v>
      </c>
      <c r="AK14" s="3" t="e">
        <f t="shared" si="3"/>
        <v>#VALUE!</v>
      </c>
      <c r="AL14" s="3" t="e">
        <f t="shared" si="4"/>
        <v>#VALUE!</v>
      </c>
      <c r="AM14" s="43" t="e">
        <f t="shared" si="5"/>
        <v>#VALUE!</v>
      </c>
      <c r="AN14" s="3" t="e">
        <f t="shared" si="5"/>
        <v>#VALUE!</v>
      </c>
      <c r="AO14" s="3"/>
      <c r="AP14" s="3"/>
      <c r="AQ14" s="3"/>
      <c r="AR14" s="3"/>
      <c r="AS14" s="3"/>
      <c r="AT14" s="3"/>
      <c r="AU14" s="3"/>
      <c r="AV14" s="3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B2:BN14"/>
  <sheetViews>
    <sheetView workbookViewId="0">
      <selection activeCell="B2" sqref="B2:BN14"/>
    </sheetView>
  </sheetViews>
  <sheetFormatPr baseColWidth="10" defaultColWidth="11.42578125" defaultRowHeight="15" x14ac:dyDescent="0.25"/>
  <sheetData>
    <row r="2" spans="2:66" ht="409.5" x14ac:dyDescent="0.25">
      <c r="B2" s="29"/>
      <c r="C2" s="29"/>
      <c r="D2" s="29"/>
      <c r="E2" s="29" t="s">
        <v>74</v>
      </c>
      <c r="F2" s="42" t="s">
        <v>75</v>
      </c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</row>
    <row r="3" spans="2:66" x14ac:dyDescent="0.25">
      <c r="B3" s="29"/>
      <c r="C3" s="29"/>
      <c r="D3" s="29"/>
      <c r="E3" s="29" t="s">
        <v>77</v>
      </c>
      <c r="F3" s="26">
        <v>40843</v>
      </c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</row>
    <row r="4" spans="2:66" x14ac:dyDescent="0.25">
      <c r="B4" s="29"/>
      <c r="C4" s="29"/>
      <c r="D4" s="29"/>
      <c r="E4" s="29"/>
      <c r="F4" s="26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</row>
    <row r="5" spans="2:66" x14ac:dyDescent="0.25">
      <c r="B5" s="29"/>
      <c r="C5" s="29"/>
      <c r="D5" s="28" t="s">
        <v>80</v>
      </c>
      <c r="E5" s="29"/>
      <c r="F5" s="26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</row>
    <row r="6" spans="2:66" x14ac:dyDescent="0.25">
      <c r="B6" s="29"/>
      <c r="C6" s="29"/>
      <c r="D6" s="35" t="s">
        <v>76</v>
      </c>
      <c r="E6" s="29"/>
      <c r="F6" s="26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</row>
    <row r="7" spans="2:66" x14ac:dyDescent="0.25">
      <c r="B7" s="29"/>
      <c r="C7" s="29"/>
      <c r="D7" s="4" t="s">
        <v>78</v>
      </c>
      <c r="E7" s="29"/>
      <c r="F7" s="26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</row>
    <row r="8" spans="2:66" x14ac:dyDescent="0.25">
      <c r="B8" s="29"/>
      <c r="C8" s="29"/>
      <c r="D8" s="6" t="s">
        <v>79</v>
      </c>
      <c r="E8" s="29"/>
      <c r="F8" s="26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</row>
    <row r="9" spans="2:66" x14ac:dyDescent="0.25"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</row>
    <row r="10" spans="2:66" x14ac:dyDescent="0.25">
      <c r="B10" s="30" t="s">
        <v>9</v>
      </c>
      <c r="C10" s="30" t="s">
        <v>18</v>
      </c>
      <c r="D10" s="30" t="s">
        <v>10</v>
      </c>
      <c r="E10" s="30" t="s">
        <v>11</v>
      </c>
      <c r="F10" s="30" t="s">
        <v>12</v>
      </c>
      <c r="G10" s="30" t="s">
        <v>1</v>
      </c>
      <c r="H10" s="30" t="s">
        <v>2</v>
      </c>
      <c r="I10" s="30" t="s">
        <v>13</v>
      </c>
      <c r="J10" s="30" t="s">
        <v>14</v>
      </c>
      <c r="K10" s="30" t="s">
        <v>0</v>
      </c>
      <c r="L10" s="30" t="s">
        <v>15</v>
      </c>
      <c r="M10" s="30" t="s">
        <v>16</v>
      </c>
      <c r="N10" s="30" t="s">
        <v>17</v>
      </c>
      <c r="O10" s="30" t="s">
        <v>26</v>
      </c>
      <c r="P10" s="30" t="s">
        <v>27</v>
      </c>
      <c r="Q10" s="30" t="s">
        <v>28</v>
      </c>
      <c r="R10" s="30" t="s">
        <v>6</v>
      </c>
      <c r="S10" s="30" t="s">
        <v>7</v>
      </c>
      <c r="T10" s="30" t="s">
        <v>4</v>
      </c>
      <c r="U10" s="30" t="s">
        <v>29</v>
      </c>
      <c r="V10" s="30" t="s">
        <v>30</v>
      </c>
      <c r="W10" s="30" t="s">
        <v>31</v>
      </c>
      <c r="X10" s="30" t="s">
        <v>32</v>
      </c>
      <c r="Y10" s="30" t="s">
        <v>33</v>
      </c>
      <c r="Z10" s="30" t="s">
        <v>34</v>
      </c>
      <c r="AA10" s="30" t="s">
        <v>35</v>
      </c>
      <c r="AB10" s="30" t="s">
        <v>36</v>
      </c>
      <c r="AC10" s="21" t="s">
        <v>37</v>
      </c>
      <c r="AD10" s="34" t="s">
        <v>5</v>
      </c>
      <c r="AE10" s="37" t="s">
        <v>40</v>
      </c>
      <c r="AF10" s="36" t="s">
        <v>39</v>
      </c>
      <c r="AG10" s="3" t="s">
        <v>38</v>
      </c>
      <c r="AH10" s="3" t="s">
        <v>41</v>
      </c>
      <c r="AI10" s="3" t="s">
        <v>42</v>
      </c>
      <c r="AJ10" s="3" t="s">
        <v>43</v>
      </c>
      <c r="AK10" s="3" t="s">
        <v>44</v>
      </c>
      <c r="AL10" s="3" t="s">
        <v>45</v>
      </c>
      <c r="AM10" s="40" t="s">
        <v>46</v>
      </c>
      <c r="AN10" s="40" t="s">
        <v>47</v>
      </c>
      <c r="AO10" s="40" t="s">
        <v>48</v>
      </c>
      <c r="AP10" s="40" t="s">
        <v>49</v>
      </c>
      <c r="AQ10" s="40" t="s">
        <v>50</v>
      </c>
      <c r="AR10" s="40" t="s">
        <v>51</v>
      </c>
      <c r="AS10" s="40" t="s">
        <v>52</v>
      </c>
      <c r="AT10" s="40" t="s">
        <v>53</v>
      </c>
      <c r="AU10" s="40" t="s">
        <v>54</v>
      </c>
      <c r="AV10" s="40" t="s">
        <v>55</v>
      </c>
      <c r="AW10" s="41" t="s">
        <v>56</v>
      </c>
      <c r="AX10" s="41" t="s">
        <v>65</v>
      </c>
      <c r="AY10" s="41" t="s">
        <v>57</v>
      </c>
      <c r="AZ10" s="41" t="s">
        <v>58</v>
      </c>
      <c r="BA10" s="41" t="s">
        <v>66</v>
      </c>
      <c r="BB10" s="41" t="s">
        <v>59</v>
      </c>
      <c r="BC10" s="41" t="s">
        <v>60</v>
      </c>
      <c r="BD10" s="41" t="s">
        <v>61</v>
      </c>
      <c r="BE10" s="41" t="s">
        <v>62</v>
      </c>
      <c r="BF10" s="41" t="s">
        <v>63</v>
      </c>
      <c r="BG10" s="41" t="s">
        <v>64</v>
      </c>
      <c r="BH10" s="41" t="s">
        <v>67</v>
      </c>
      <c r="BI10" s="41" t="s">
        <v>68</v>
      </c>
      <c r="BJ10" s="41" t="s">
        <v>69</v>
      </c>
      <c r="BK10" s="41" t="s">
        <v>70</v>
      </c>
      <c r="BL10" s="41" t="s">
        <v>71</v>
      </c>
      <c r="BM10" s="41" t="s">
        <v>72</v>
      </c>
      <c r="BN10" s="41" t="s">
        <v>73</v>
      </c>
    </row>
    <row r="11" spans="2:66" x14ac:dyDescent="0.25">
      <c r="B11" s="30" t="s">
        <v>19</v>
      </c>
      <c r="C11" s="30" t="s">
        <v>20</v>
      </c>
      <c r="D11" s="30" t="s">
        <v>21</v>
      </c>
      <c r="E11" s="31">
        <v>41061</v>
      </c>
      <c r="F11" s="31">
        <v>41090</v>
      </c>
      <c r="G11" s="39">
        <v>41056</v>
      </c>
      <c r="H11" s="32">
        <v>45</v>
      </c>
      <c r="I11" s="30" t="s">
        <v>3</v>
      </c>
      <c r="J11" s="30">
        <v>10</v>
      </c>
      <c r="K11" s="30">
        <v>720</v>
      </c>
      <c r="L11" s="30">
        <v>3.57</v>
      </c>
      <c r="M11" s="30">
        <v>-25704</v>
      </c>
      <c r="N11" s="30">
        <v>8.6427314495333897E-4</v>
      </c>
      <c r="O11" s="30">
        <v>7.3744832347931802E-4</v>
      </c>
      <c r="P11" s="30">
        <v>5.6182282548629598E-4</v>
      </c>
      <c r="Q11" s="30">
        <v>4.7540740811023302E-2</v>
      </c>
      <c r="R11" s="33">
        <v>-2.76141062138536E-5</v>
      </c>
      <c r="S11" s="30">
        <v>-4.9251729901449799E-4</v>
      </c>
      <c r="T11" s="30">
        <v>0.24201600166669501</v>
      </c>
      <c r="U11" s="30">
        <v>6.2227666436640403</v>
      </c>
      <c r="V11" s="30">
        <v>6.2227666436640403</v>
      </c>
      <c r="W11" s="30">
        <v>1980</v>
      </c>
      <c r="X11" s="30">
        <v>-23724</v>
      </c>
      <c r="Y11" s="30">
        <v>6.2227666436640403</v>
      </c>
      <c r="Z11" s="30">
        <v>-23717.777233356301</v>
      </c>
      <c r="AA11" s="30">
        <v>-23724</v>
      </c>
      <c r="AB11" s="30">
        <v>6.2227666436640403</v>
      </c>
      <c r="AC11" s="21">
        <v>-23717.777233356301</v>
      </c>
      <c r="AD11" s="35">
        <v>1.8427599465993608E-2</v>
      </c>
      <c r="AE11" s="38">
        <v>24.77</v>
      </c>
      <c r="AF11" s="3" t="str">
        <f>MID(D11,4,1)</f>
        <v>C</v>
      </c>
      <c r="AG11" s="3">
        <f>B76Future($F$3,AF11,AE11,H11,G11,T11,AD11)</f>
        <v>1.0417803302102656E-3</v>
      </c>
      <c r="AH11" s="3">
        <f>B76Delta($F$3,AF11,AE11,H11,G11,T11,AD11)</f>
        <v>8.6732711987109394E-4</v>
      </c>
      <c r="AI11" s="3">
        <f>B76Gamma($F$3,AF11,AE11,H11,G11,T11,AD11)</f>
        <v>6.4306808004761795E-4</v>
      </c>
      <c r="AJ11" s="3">
        <f>B76Vega($F$3,AF11,AE11,H11,G11,T11,AD11)</f>
        <v>5.59852931788914E-2</v>
      </c>
      <c r="AK11" s="3">
        <f>B76Theta($F$3,AF11,AE11,H11,G11,T11,AD11)</f>
        <v>-3.1604733069395007E-5</v>
      </c>
      <c r="AL11" s="3">
        <f>B76Rho($F$3,AF11,AE11,H11,G11,T11,AD11)</f>
        <v>-6.1079723469862149E-4</v>
      </c>
      <c r="AM11" s="43">
        <f>AK11/R11-1</f>
        <v>0.14451406917307241</v>
      </c>
      <c r="AN11" s="3">
        <f>AL11/S11-1</f>
        <v>0.24015387057631399</v>
      </c>
      <c r="AO11" s="3"/>
      <c r="AP11" s="3"/>
      <c r="AQ11" s="3"/>
      <c r="AR11" s="3"/>
      <c r="AS11" s="3"/>
      <c r="AT11" s="3"/>
      <c r="AU11" s="3"/>
      <c r="AV11" s="3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</row>
    <row r="12" spans="2:66" x14ac:dyDescent="0.25">
      <c r="B12" s="30" t="s">
        <v>19</v>
      </c>
      <c r="C12" s="30" t="s">
        <v>20</v>
      </c>
      <c r="D12" s="30" t="s">
        <v>22</v>
      </c>
      <c r="E12" s="31">
        <v>41061</v>
      </c>
      <c r="F12" s="31">
        <v>41090</v>
      </c>
      <c r="G12" s="39">
        <v>41056</v>
      </c>
      <c r="H12" s="32">
        <v>45</v>
      </c>
      <c r="I12" s="32" t="s">
        <v>3</v>
      </c>
      <c r="J12" s="30">
        <v>10</v>
      </c>
      <c r="K12" s="30">
        <v>720</v>
      </c>
      <c r="L12" s="32">
        <v>3.57</v>
      </c>
      <c r="M12" s="30">
        <v>-25704</v>
      </c>
      <c r="N12" s="30">
        <v>20.019536389107198</v>
      </c>
      <c r="O12" s="30">
        <v>-0.98881628948982603</v>
      </c>
      <c r="P12" s="32">
        <v>5.6182282548629598E-4</v>
      </c>
      <c r="Q12" s="32">
        <v>4.7540740811023302E-2</v>
      </c>
      <c r="R12" s="30">
        <v>9.8306006253684897E-4</v>
      </c>
      <c r="S12" s="32">
        <v>-11.4083933389112</v>
      </c>
      <c r="T12" s="30">
        <v>0.24201600166669501</v>
      </c>
      <c r="U12" s="30">
        <v>144140.662001572</v>
      </c>
      <c r="V12" s="32">
        <v>144140.662001572</v>
      </c>
      <c r="W12" s="30">
        <v>1980</v>
      </c>
      <c r="X12" s="30">
        <v>-23724</v>
      </c>
      <c r="Y12" s="30">
        <v>144140.662001572</v>
      </c>
      <c r="Z12" s="30">
        <v>120416.662001572</v>
      </c>
      <c r="AA12" s="32">
        <v>-23724</v>
      </c>
      <c r="AB12" s="30">
        <v>144140.662001572</v>
      </c>
      <c r="AC12" s="21">
        <v>120416.662001572</v>
      </c>
      <c r="AD12" s="35">
        <v>1.8427599465993608E-2</v>
      </c>
      <c r="AE12" s="38">
        <v>24.77</v>
      </c>
      <c r="AF12" s="3" t="str">
        <f>MID(D12,4,1)</f>
        <v>P</v>
      </c>
      <c r="AG12" s="3">
        <f t="shared" ref="AG12:AG14" si="0">B76Future($F$3,AF12,AE12,H12,G12,T12,AD12)</f>
        <v>20.013650769635021</v>
      </c>
      <c r="AH12" s="3">
        <f t="shared" ref="AH12:AH14" si="1">B76Delta($F$3,AF12,AE12,H12,G12,T12,AD12)</f>
        <v>-0.98838670102174053</v>
      </c>
      <c r="AI12" s="3">
        <f t="shared" ref="AI12:AI14" si="2">B76Gamma($F$3,AF12,AE12,H12,G12,T12,AD12)</f>
        <v>6.4306808004761795E-4</v>
      </c>
      <c r="AJ12" s="3">
        <f>B76Vega($F$3,AF12,AE12,H12,G12,T12,AD12)</f>
        <v>5.59852931788914E-2</v>
      </c>
      <c r="AK12" s="3">
        <f t="shared" ref="AK12:AK14" si="3">B76Theta($F$3,AF12,AE12,H12,G12,T12,AD12)</f>
        <v>9.7876332918937835E-4</v>
      </c>
      <c r="AL12" s="44">
        <f t="shared" ref="AL12:AL14" si="4">B76Rho($F$3,AF12,AE12,H12,G12,T12,AD12)</f>
        <v>-11.734030862196972</v>
      </c>
      <c r="AM12" s="43">
        <f t="shared" ref="AM12:AN14" si="5">AK12/R12-1</f>
        <v>-4.3707739854497163E-3</v>
      </c>
      <c r="AN12" s="3">
        <f t="shared" si="5"/>
        <v>2.8543679518403753E-2</v>
      </c>
      <c r="AO12" s="3"/>
      <c r="AP12" s="3"/>
      <c r="AQ12" s="3"/>
      <c r="AR12" s="3"/>
      <c r="AS12" s="3"/>
      <c r="AT12" s="3"/>
      <c r="AU12" s="3"/>
      <c r="AV12" s="3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</row>
    <row r="13" spans="2:66" x14ac:dyDescent="0.25">
      <c r="B13" s="30" t="s">
        <v>19</v>
      </c>
      <c r="C13" s="30" t="s">
        <v>23</v>
      </c>
      <c r="D13" s="30" t="s">
        <v>24</v>
      </c>
      <c r="E13" s="31">
        <v>40848</v>
      </c>
      <c r="F13" s="31">
        <v>40877</v>
      </c>
      <c r="G13" s="39">
        <v>40843</v>
      </c>
      <c r="H13" s="32">
        <v>45</v>
      </c>
      <c r="I13" s="32" t="s">
        <v>8</v>
      </c>
      <c r="J13" s="30">
        <v>10</v>
      </c>
      <c r="K13" s="30">
        <v>720</v>
      </c>
      <c r="L13" s="32">
        <v>3.57</v>
      </c>
      <c r="M13" s="30">
        <v>-25704</v>
      </c>
      <c r="N13" s="30">
        <v>0</v>
      </c>
      <c r="O13" s="30">
        <v>0</v>
      </c>
      <c r="P13" s="32">
        <v>0</v>
      </c>
      <c r="Q13" s="32">
        <v>0</v>
      </c>
      <c r="R13" s="30">
        <v>0</v>
      </c>
      <c r="S13" s="32">
        <v>0</v>
      </c>
      <c r="T13" s="30">
        <v>0</v>
      </c>
      <c r="U13" s="30">
        <v>0</v>
      </c>
      <c r="V13" s="32">
        <v>0</v>
      </c>
      <c r="W13" s="30">
        <v>1980</v>
      </c>
      <c r="X13" s="30">
        <v>-23724</v>
      </c>
      <c r="Y13" s="30">
        <v>0</v>
      </c>
      <c r="Z13" s="30">
        <v>-23724</v>
      </c>
      <c r="AA13" s="32">
        <v>-23724</v>
      </c>
      <c r="AB13" s="30">
        <v>0</v>
      </c>
      <c r="AC13" s="21">
        <v>-23724</v>
      </c>
      <c r="AD13" s="35">
        <v>1.4444728711645632E-2</v>
      </c>
      <c r="AE13" s="38">
        <v>60</v>
      </c>
      <c r="AF13" s="3" t="str">
        <f>MID(D13,4,1)</f>
        <v>C</v>
      </c>
      <c r="AG13" s="3" t="e">
        <f t="shared" si="0"/>
        <v>#VALUE!</v>
      </c>
      <c r="AH13" s="3" t="e">
        <f t="shared" si="1"/>
        <v>#VALUE!</v>
      </c>
      <c r="AI13" s="3" t="e">
        <f t="shared" si="2"/>
        <v>#VALUE!</v>
      </c>
      <c r="AJ13" s="3" t="e">
        <f t="shared" ref="AJ13:AJ14" si="6">B76Vega($F$3,AF13,AE13,H13,G13,T13,AD13)</f>
        <v>#VALUE!</v>
      </c>
      <c r="AK13" s="3" t="e">
        <f t="shared" si="3"/>
        <v>#VALUE!</v>
      </c>
      <c r="AL13" s="3" t="e">
        <f t="shared" si="4"/>
        <v>#VALUE!</v>
      </c>
      <c r="AM13" s="43" t="e">
        <f t="shared" si="5"/>
        <v>#VALUE!</v>
      </c>
      <c r="AN13" s="3" t="e">
        <f t="shared" si="5"/>
        <v>#VALUE!</v>
      </c>
      <c r="AO13" s="3"/>
      <c r="AP13" s="3"/>
      <c r="AQ13" s="3"/>
      <c r="AR13" s="3"/>
      <c r="AS13" s="3"/>
      <c r="AT13" s="3"/>
      <c r="AU13" s="3"/>
      <c r="AV13" s="3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</row>
    <row r="14" spans="2:66" x14ac:dyDescent="0.25">
      <c r="B14" s="30" t="s">
        <v>19</v>
      </c>
      <c r="C14" s="30" t="s">
        <v>23</v>
      </c>
      <c r="D14" s="30" t="s">
        <v>25</v>
      </c>
      <c r="E14" s="31">
        <v>40848</v>
      </c>
      <c r="F14" s="31">
        <v>40877</v>
      </c>
      <c r="G14" s="39">
        <v>40843</v>
      </c>
      <c r="H14" s="32">
        <v>45</v>
      </c>
      <c r="I14" s="32" t="s">
        <v>8</v>
      </c>
      <c r="J14" s="30">
        <v>10</v>
      </c>
      <c r="K14" s="30">
        <v>720</v>
      </c>
      <c r="L14" s="32">
        <v>3.57</v>
      </c>
      <c r="M14" s="30">
        <v>-25704</v>
      </c>
      <c r="N14" s="30">
        <v>0</v>
      </c>
      <c r="O14" s="30">
        <v>0</v>
      </c>
      <c r="P14" s="32">
        <v>0</v>
      </c>
      <c r="Q14" s="32">
        <v>0</v>
      </c>
      <c r="R14" s="30">
        <v>0</v>
      </c>
      <c r="S14" s="32">
        <v>0</v>
      </c>
      <c r="T14" s="30">
        <v>0</v>
      </c>
      <c r="U14" s="30">
        <v>0</v>
      </c>
      <c r="V14" s="32">
        <v>0</v>
      </c>
      <c r="W14" s="30">
        <v>1980</v>
      </c>
      <c r="X14" s="30">
        <v>-23724</v>
      </c>
      <c r="Y14" s="30">
        <v>0</v>
      </c>
      <c r="Z14" s="30">
        <v>-23724</v>
      </c>
      <c r="AA14" s="32">
        <v>-23724</v>
      </c>
      <c r="AB14" s="30">
        <v>0</v>
      </c>
      <c r="AC14" s="21">
        <v>-23724</v>
      </c>
      <c r="AD14" s="35">
        <v>1.4444728711645632E-2</v>
      </c>
      <c r="AE14" s="38"/>
      <c r="AF14" s="3" t="str">
        <f>MID(D14,4,1)</f>
        <v>P</v>
      </c>
      <c r="AG14" s="3" t="e">
        <f t="shared" si="0"/>
        <v>#VALUE!</v>
      </c>
      <c r="AH14" s="3" t="e">
        <f t="shared" si="1"/>
        <v>#VALUE!</v>
      </c>
      <c r="AI14" s="3" t="e">
        <f t="shared" si="2"/>
        <v>#VALUE!</v>
      </c>
      <c r="AJ14" s="3" t="e">
        <f t="shared" si="6"/>
        <v>#VALUE!</v>
      </c>
      <c r="AK14" s="3" t="e">
        <f t="shared" si="3"/>
        <v>#VALUE!</v>
      </c>
      <c r="AL14" s="3" t="e">
        <f t="shared" si="4"/>
        <v>#VALUE!</v>
      </c>
      <c r="AM14" s="43" t="e">
        <f t="shared" si="5"/>
        <v>#VALUE!</v>
      </c>
      <c r="AN14" s="3" t="e">
        <f t="shared" si="5"/>
        <v>#VALUE!</v>
      </c>
      <c r="AO14" s="3"/>
      <c r="AP14" s="3"/>
      <c r="AQ14" s="3"/>
      <c r="AR14" s="3"/>
      <c r="AS14" s="3"/>
      <c r="AT14" s="3"/>
      <c r="AU14" s="3"/>
      <c r="AV14" s="3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baseColWidth="10" defaultColWidth="11.42578125" defaultRowHeight="15" x14ac:dyDescent="0.25"/>
  <sheetData>
    <row r="1" spans="1:1" x14ac:dyDescent="0.25">
      <c r="A1" t="s">
        <v>87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baseColWidth="10" defaultColWidth="11.425781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20</vt:i4>
      </vt:variant>
    </vt:vector>
  </HeadingPairs>
  <TitlesOfParts>
    <vt:vector size="20" baseType="lpstr">
      <vt:lpstr>PosMon-EUR-MtM-VolSurf</vt:lpstr>
      <vt:lpstr>PosMon-EUR-MtM-VolSurf-IntraDay</vt:lpstr>
      <vt:lpstr>PosMon-EUR-MtM-ClosePrice</vt:lpstr>
      <vt:lpstr>PosMon-EUR-MtM</vt:lpstr>
      <vt:lpstr>ActualCF-NOK-MtM</vt:lpstr>
      <vt:lpstr>ActualPL-EUR-Delta-Volsurf</vt:lpstr>
      <vt:lpstr>PosMon-EUR-Delta</vt:lpstr>
      <vt:lpstr>ActualCf-NOK-Bin</vt:lpstr>
      <vt:lpstr>ActualPL-NOK-Bin</vt:lpstr>
      <vt:lpstr>ActualPl-NOK-DeltaBin</vt:lpstr>
      <vt:lpstr>VolMwh-EUR-Bin</vt:lpstr>
      <vt:lpstr>VolMwh-EUR-DeltaBin</vt:lpstr>
      <vt:lpstr>TransMon-EUR</vt:lpstr>
      <vt:lpstr>PosMon-NOK-Bin-VolSurf</vt:lpstr>
      <vt:lpstr>PosMon-NOK-DeltaBin-VolSurf.</vt:lpstr>
      <vt:lpstr>ActualCf-EUR-DeltaBin-Volsurf</vt:lpstr>
      <vt:lpstr>ActualCf-Nok-Delta-VolSurf</vt:lpstr>
      <vt:lpstr>ActualPL-EUR-MtM-VolSurf</vt:lpstr>
      <vt:lpstr>VolMwh-EUR-Delta-VolSurf</vt:lpstr>
      <vt:lpstr>VolOrg-EUR-Delta-VolSurf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QA Install</dc:creator>
  <cp:lastModifiedBy>Oyvind Kvamme</cp:lastModifiedBy>
  <dcterms:created xsi:type="dcterms:W3CDTF">2013-08-22T06:34:41Z</dcterms:created>
  <dcterms:modified xsi:type="dcterms:W3CDTF">2015-11-26T08:44:18Z</dcterms:modified>
</cp:coreProperties>
</file>