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niel.watanabe\Documents\TFS\Elviz\Development\QA\Regression\Bin\Verification\"/>
    </mc:Choice>
  </mc:AlternateContent>
  <bookViews>
    <workbookView xWindow="240" yWindow="105" windowWidth="19320" windowHeight="9030"/>
  </bookViews>
  <sheets>
    <sheet name="PosMon-EUR-MtM" sheetId="13" r:id="rId1"/>
  </sheets>
  <functionGroups builtInGroupCount="18"/>
  <calcPr calcId="152511"/>
</workbook>
</file>

<file path=xl/calcChain.xml><?xml version="1.0" encoding="utf-8"?>
<calcChain xmlns="http://schemas.openxmlformats.org/spreadsheetml/2006/main">
  <c r="BB18" i="13" l="1"/>
  <c r="BB19" i="13"/>
  <c r="BB21" i="13"/>
  <c r="AG14" i="13"/>
  <c r="BB14" i="13" s="1"/>
  <c r="AG15" i="13"/>
  <c r="BB15" i="13" s="1"/>
  <c r="AG16" i="13"/>
  <c r="BB16" i="13" s="1"/>
  <c r="AG17" i="13"/>
  <c r="BB17" i="13" s="1"/>
  <c r="AG18" i="13"/>
  <c r="AG19" i="13"/>
  <c r="AG20" i="13"/>
  <c r="BB20" i="13" s="1"/>
  <c r="AG21" i="13"/>
  <c r="AG22" i="13"/>
  <c r="BB22" i="13" s="1"/>
  <c r="AG23" i="13"/>
  <c r="BB23" i="13" s="1"/>
  <c r="AG24" i="13"/>
  <c r="BB24" i="13" s="1"/>
  <c r="AP14" i="13"/>
  <c r="AP15" i="13"/>
  <c r="AP16" i="13"/>
  <c r="AP17" i="13"/>
  <c r="AP18" i="13"/>
  <c r="AP19" i="13"/>
  <c r="AP20" i="13"/>
  <c r="AP21" i="13"/>
  <c r="AP22" i="13"/>
  <c r="AP23" i="13"/>
  <c r="AP24" i="13"/>
  <c r="AP25" i="13"/>
  <c r="AP26" i="13"/>
  <c r="AP27" i="13"/>
  <c r="AP28" i="13"/>
  <c r="AP29" i="13"/>
  <c r="AP30" i="13"/>
  <c r="AP31" i="13"/>
  <c r="AP32" i="13"/>
  <c r="AP33" i="13"/>
  <c r="AP34" i="13"/>
  <c r="AP35" i="13"/>
  <c r="AP36" i="13"/>
  <c r="AP37" i="13"/>
  <c r="AP38" i="13"/>
  <c r="AP39" i="13"/>
  <c r="AP40" i="13"/>
  <c r="AP41" i="13"/>
  <c r="AP42" i="13"/>
  <c r="AP43" i="13"/>
  <c r="AP44" i="13"/>
  <c r="AP45" i="13"/>
  <c r="AP46" i="13"/>
  <c r="AP47" i="13"/>
  <c r="AP48" i="13"/>
  <c r="AP49" i="13"/>
  <c r="AP50" i="13"/>
  <c r="AP51" i="13"/>
  <c r="AP52" i="13"/>
  <c r="AP53" i="13"/>
  <c r="AP54" i="13"/>
  <c r="AP55" i="13"/>
  <c r="AP56" i="13"/>
  <c r="AP57" i="13"/>
  <c r="AP58" i="13"/>
  <c r="AP59" i="13"/>
  <c r="AP60" i="13"/>
  <c r="AP61" i="13"/>
  <c r="AP62" i="13"/>
  <c r="AP63" i="13"/>
  <c r="AP64" i="13"/>
  <c r="AP65" i="13"/>
  <c r="AP66" i="13"/>
  <c r="AP13" i="13"/>
  <c r="AO14" i="13"/>
  <c r="AO15" i="13"/>
  <c r="AO16" i="13"/>
  <c r="AO17" i="13"/>
  <c r="AO18" i="13"/>
  <c r="AO19" i="13"/>
  <c r="AO20" i="13"/>
  <c r="AO21" i="13"/>
  <c r="AO22" i="13"/>
  <c r="AO23" i="13"/>
  <c r="AO24" i="13"/>
  <c r="AO25" i="13"/>
  <c r="AO26" i="13"/>
  <c r="AO27" i="13"/>
  <c r="AO28" i="13"/>
  <c r="AO29" i="13"/>
  <c r="AO30" i="13"/>
  <c r="AO31" i="13"/>
  <c r="AO32" i="13"/>
  <c r="AO33" i="13"/>
  <c r="AO34" i="13"/>
  <c r="AO35" i="13"/>
  <c r="AO36" i="13"/>
  <c r="AO37" i="13"/>
  <c r="AO38" i="13"/>
  <c r="AO39" i="13"/>
  <c r="AO40" i="13"/>
  <c r="AO41" i="13"/>
  <c r="AO42" i="13"/>
  <c r="AO43" i="13"/>
  <c r="AO44" i="13"/>
  <c r="AO45" i="13"/>
  <c r="AO46" i="13"/>
  <c r="AO47" i="13"/>
  <c r="AO48" i="13"/>
  <c r="AO49" i="13"/>
  <c r="AO50" i="13"/>
  <c r="AO51" i="13"/>
  <c r="AO52" i="13"/>
  <c r="AO53" i="13"/>
  <c r="AO54" i="13"/>
  <c r="AO55" i="13"/>
  <c r="AO56" i="13"/>
  <c r="AO57" i="13"/>
  <c r="AO58" i="13"/>
  <c r="AO59" i="13"/>
  <c r="AO60" i="13"/>
  <c r="AO61" i="13"/>
  <c r="AO62" i="13"/>
  <c r="AO63" i="13"/>
  <c r="AO64" i="13"/>
  <c r="AO65" i="13"/>
  <c r="AO66" i="13"/>
  <c r="AO13" i="13"/>
  <c r="BN14" i="13"/>
  <c r="BN16" i="13"/>
  <c r="BN24" i="13"/>
  <c r="BN17" i="13"/>
  <c r="BN18" i="13"/>
  <c r="BN15" i="13"/>
  <c r="BN19" i="13"/>
  <c r="BN20" i="13"/>
  <c r="BN21" i="13"/>
  <c r="BN22" i="13"/>
  <c r="BN23" i="13"/>
  <c r="AV14" i="13"/>
  <c r="AV16" i="13"/>
  <c r="AV24" i="13"/>
  <c r="AV19" i="13"/>
  <c r="AV23" i="13"/>
  <c r="AV17" i="13"/>
  <c r="AV18" i="13"/>
  <c r="AV20" i="13"/>
  <c r="AV21" i="13"/>
  <c r="AV22" i="13"/>
  <c r="AV15" i="13"/>
  <c r="AV13" i="13"/>
  <c r="AU16" i="13"/>
  <c r="AU24" i="13"/>
  <c r="AU17" i="13"/>
  <c r="AU22" i="13"/>
  <c r="AU18" i="13"/>
  <c r="AU19" i="13"/>
  <c r="AU23" i="13"/>
  <c r="AU20" i="13"/>
  <c r="AU21" i="13"/>
  <c r="AU14" i="13"/>
  <c r="AU15" i="13"/>
  <c r="AU13" i="13"/>
  <c r="AI14" i="13" l="1"/>
  <c r="AI15" i="13"/>
  <c r="AI16" i="13"/>
  <c r="AI17" i="13"/>
  <c r="AI18" i="13"/>
  <c r="AI19" i="13"/>
  <c r="AI20" i="13"/>
  <c r="AI21" i="13"/>
  <c r="AI22" i="13"/>
  <c r="AI23" i="13"/>
  <c r="AI24" i="13"/>
  <c r="AI13" i="13"/>
  <c r="AS13" i="13" s="1"/>
  <c r="AJ14" i="13" l="1"/>
  <c r="AJ15" i="13"/>
  <c r="AJ16" i="13"/>
  <c r="AJ17" i="13"/>
  <c r="AJ18" i="13"/>
  <c r="AJ19" i="13"/>
  <c r="AJ20" i="13"/>
  <c r="AJ21" i="13"/>
  <c r="AJ22" i="13"/>
  <c r="AJ23" i="13"/>
  <c r="AJ24" i="13"/>
  <c r="AJ13" i="13"/>
  <c r="AS14" i="13" l="1"/>
  <c r="AY14" i="13" s="1"/>
  <c r="AS15" i="13"/>
  <c r="AY15" i="13" s="1"/>
  <c r="AS16" i="13"/>
  <c r="AY16" i="13" s="1"/>
  <c r="AS17" i="13"/>
  <c r="AY17" i="13" s="1"/>
  <c r="AS18" i="13"/>
  <c r="AY18" i="13" s="1"/>
  <c r="AS19" i="13"/>
  <c r="AY19" i="13" s="1"/>
  <c r="AS20" i="13"/>
  <c r="AY20" i="13" s="1"/>
  <c r="AS21" i="13"/>
  <c r="AY21" i="13" s="1"/>
  <c r="AS22" i="13"/>
  <c r="AY22" i="13" s="1"/>
  <c r="AS23" i="13"/>
  <c r="AY23" i="13" s="1"/>
  <c r="AS24" i="13"/>
  <c r="AY24" i="13" s="1"/>
  <c r="AG13" i="13"/>
  <c r="AQ19" i="13"/>
  <c r="AQ20" i="13"/>
  <c r="AQ21" i="13"/>
  <c r="AQ22" i="13"/>
  <c r="AQ23" i="13"/>
  <c r="AQ24" i="13"/>
  <c r="AQ14" i="13"/>
  <c r="AQ15" i="13"/>
  <c r="AQ16" i="13"/>
  <c r="AQ17" i="13"/>
  <c r="AQ18" i="13"/>
  <c r="AR23" i="13"/>
  <c r="AT23" i="13"/>
  <c r="AW23" i="13"/>
  <c r="AX23" i="13"/>
  <c r="AR24" i="13"/>
  <c r="AT24" i="13"/>
  <c r="AW24" i="13"/>
  <c r="AX24" i="13"/>
  <c r="AR14" i="13"/>
  <c r="AT14" i="13"/>
  <c r="AW14" i="13"/>
  <c r="AX14" i="13"/>
  <c r="AR20" i="13"/>
  <c r="AT20" i="13"/>
  <c r="AW20" i="13"/>
  <c r="AX20" i="13"/>
  <c r="AR15" i="13"/>
  <c r="AT15" i="13"/>
  <c r="AW15" i="13"/>
  <c r="AX15" i="13"/>
  <c r="AR18" i="13"/>
  <c r="AT18" i="13"/>
  <c r="AW18" i="13"/>
  <c r="AX18" i="13"/>
  <c r="AR19" i="13"/>
  <c r="AT19" i="13"/>
  <c r="AW19" i="13"/>
  <c r="AX19" i="13"/>
  <c r="AR16" i="13"/>
  <c r="AT16" i="13"/>
  <c r="AW16" i="13"/>
  <c r="AX16" i="13"/>
  <c r="AR17" i="13"/>
  <c r="AT17" i="13"/>
  <c r="AW17" i="13"/>
  <c r="AX17" i="13"/>
  <c r="AR22" i="13"/>
  <c r="AT22" i="13"/>
  <c r="AW22" i="13"/>
  <c r="AX22" i="13"/>
  <c r="AR21" i="13"/>
  <c r="AT21" i="13"/>
  <c r="AW21" i="13"/>
  <c r="AX21" i="13"/>
  <c r="BJ13" i="13"/>
  <c r="BJ18" i="13"/>
  <c r="BJ17" i="13"/>
  <c r="BK24" i="13"/>
  <c r="BJ19" i="13"/>
  <c r="BJ14" i="13"/>
  <c r="BJ15" i="13"/>
  <c r="BJ20" i="13"/>
  <c r="BJ23" i="13"/>
  <c r="BK20" i="13"/>
  <c r="BK16" i="13"/>
  <c r="BJ24" i="13"/>
  <c r="BJ16" i="13"/>
  <c r="BJ22" i="13"/>
  <c r="BJ21" i="13"/>
  <c r="AY13" i="13" l="1"/>
  <c r="BB13" i="13"/>
  <c r="BC21" i="13"/>
  <c r="BF18" i="13"/>
  <c r="AZ22" i="13"/>
  <c r="BA22" i="13" s="1"/>
  <c r="AZ14" i="13"/>
  <c r="BA14" i="13" s="1"/>
  <c r="AZ18" i="13"/>
  <c r="BA18" i="13" s="1"/>
  <c r="AZ23" i="13"/>
  <c r="BA23" i="13" s="1"/>
  <c r="AZ20" i="13"/>
  <c r="BA20" i="13" s="1"/>
  <c r="AZ19" i="13"/>
  <c r="BA19" i="13" s="1"/>
  <c r="AZ24" i="13"/>
  <c r="AZ21" i="13"/>
  <c r="BA21" i="13" s="1"/>
  <c r="AZ16" i="13"/>
  <c r="BA16" i="13" s="1"/>
  <c r="AZ15" i="13"/>
  <c r="BA15" i="13" s="1"/>
  <c r="AZ17" i="13"/>
  <c r="BA17" i="13" s="1"/>
  <c r="BC17" i="13"/>
  <c r="BF20" i="13"/>
  <c r="BF14" i="13"/>
  <c r="BA24" i="13"/>
  <c r="BC16" i="13"/>
  <c r="BC15" i="13"/>
  <c r="BC24" i="13"/>
  <c r="BC22" i="13"/>
  <c r="BF17" i="13"/>
  <c r="BC20" i="13"/>
  <c r="BF19" i="13"/>
  <c r="BC18" i="13"/>
  <c r="BF22" i="13"/>
  <c r="BF24" i="13"/>
  <c r="BF16" i="13"/>
  <c r="BF15" i="13"/>
  <c r="BK13" i="13"/>
  <c r="BN13" i="13"/>
  <c r="BK15" i="13"/>
  <c r="BK18" i="13"/>
  <c r="BO22" i="13"/>
  <c r="BO20" i="13"/>
  <c r="BK17" i="13"/>
  <c r="BR24" i="13"/>
  <c r="BR14" i="13"/>
  <c r="BK14" i="13"/>
  <c r="BO17" i="13"/>
  <c r="BO16" i="13"/>
  <c r="BR16" i="13"/>
  <c r="BK19" i="13"/>
  <c r="BO21" i="13"/>
  <c r="BR22" i="13"/>
  <c r="BR17" i="13"/>
  <c r="BK22" i="13"/>
  <c r="BO24" i="13"/>
  <c r="BO18" i="13"/>
  <c r="BR15" i="13"/>
  <c r="BK23" i="13"/>
  <c r="BR19" i="13"/>
  <c r="BR18" i="13"/>
  <c r="BR20" i="13"/>
  <c r="BK21" i="13"/>
  <c r="BO15" i="13"/>
  <c r="BF21" i="13" l="1"/>
  <c r="BC14" i="13"/>
  <c r="BF23" i="13"/>
  <c r="BC23" i="13"/>
  <c r="BC19" i="13"/>
  <c r="AQ13" i="13"/>
  <c r="AR13" i="13"/>
  <c r="AT13" i="13"/>
  <c r="AW13" i="13"/>
  <c r="AX13" i="13"/>
  <c r="BM24" i="13"/>
  <c r="BX22" i="13"/>
  <c r="BY17" i="13"/>
  <c r="BI14" i="13"/>
  <c r="BY19" i="13"/>
  <c r="BL17" i="13"/>
  <c r="BL20" i="13"/>
  <c r="BX15" i="13"/>
  <c r="BM15" i="13"/>
  <c r="BW21" i="13"/>
  <c r="BW19" i="13"/>
  <c r="BI15" i="13"/>
  <c r="BX20" i="13"/>
  <c r="BV23" i="13"/>
  <c r="BX24" i="13"/>
  <c r="BI19" i="13"/>
  <c r="BW24" i="13"/>
  <c r="BL24" i="13"/>
  <c r="BL23" i="13"/>
  <c r="BV17" i="13"/>
  <c r="BI23" i="13"/>
  <c r="BV16" i="13"/>
  <c r="BY20" i="13"/>
  <c r="BW15" i="13"/>
  <c r="BI24" i="13"/>
  <c r="BL21" i="13"/>
  <c r="BL19" i="13"/>
  <c r="BU19" i="13"/>
  <c r="BU17" i="13"/>
  <c r="BY15" i="13"/>
  <c r="BI16" i="13"/>
  <c r="BV22" i="13"/>
  <c r="BM21" i="13"/>
  <c r="BM16" i="13"/>
  <c r="BV21" i="13"/>
  <c r="BV14" i="13"/>
  <c r="BY23" i="13"/>
  <c r="BL22" i="13"/>
  <c r="BU15" i="13"/>
  <c r="BX18" i="13"/>
  <c r="BO19" i="13"/>
  <c r="BI17" i="13"/>
  <c r="BX16" i="13"/>
  <c r="BL16" i="13"/>
  <c r="BV24" i="13"/>
  <c r="BW17" i="13"/>
  <c r="BI20" i="13"/>
  <c r="BY21" i="13"/>
  <c r="BV20" i="13"/>
  <c r="BI13" i="13"/>
  <c r="BX14" i="13"/>
  <c r="BX19" i="13"/>
  <c r="BM22" i="13"/>
  <c r="BI18" i="13"/>
  <c r="BL14" i="13"/>
  <c r="BW14" i="13"/>
  <c r="BW18" i="13"/>
  <c r="BU16" i="13"/>
  <c r="BM18" i="13"/>
  <c r="BY18" i="13"/>
  <c r="BU18" i="13"/>
  <c r="BR21" i="13"/>
  <c r="BX21" i="13"/>
  <c r="BV18" i="13"/>
  <c r="BR23" i="13"/>
  <c r="BL15" i="13"/>
  <c r="BU14" i="13"/>
  <c r="BW23" i="13"/>
  <c r="BM14" i="13"/>
  <c r="BL18" i="13"/>
  <c r="BM19" i="13"/>
  <c r="BU20" i="13"/>
  <c r="BM17" i="13"/>
  <c r="BU21" i="13"/>
  <c r="BI21" i="13"/>
  <c r="BY14" i="13"/>
  <c r="BW16" i="13"/>
  <c r="BI22" i="13"/>
  <c r="BM23" i="13"/>
  <c r="BY24" i="13"/>
  <c r="BO23" i="13"/>
  <c r="BW22" i="13"/>
  <c r="BU24" i="13"/>
  <c r="BX17" i="13"/>
  <c r="BU23" i="13"/>
  <c r="BY16" i="13"/>
  <c r="BV19" i="13"/>
  <c r="BV15" i="13"/>
  <c r="BM20" i="13"/>
  <c r="BW20" i="13"/>
  <c r="BY22" i="13"/>
  <c r="BO14" i="13"/>
  <c r="BX23" i="13"/>
  <c r="BU22" i="13"/>
  <c r="AZ13" i="13" l="1"/>
  <c r="BA13" i="13" s="1"/>
  <c r="BG22" i="13"/>
  <c r="BD22" i="13"/>
  <c r="BD24" i="13"/>
  <c r="BG24" i="13"/>
  <c r="BG21" i="13"/>
  <c r="BD21" i="13"/>
  <c r="BD19" i="13"/>
  <c r="BG19" i="13"/>
  <c r="BD23" i="13"/>
  <c r="BG23" i="13"/>
  <c r="BG20" i="13"/>
  <c r="BD20" i="13"/>
  <c r="BD18" i="13"/>
  <c r="BG18" i="13"/>
  <c r="BD15" i="13"/>
  <c r="BG15" i="13"/>
  <c r="BD14" i="13"/>
  <c r="BG14" i="13"/>
  <c r="BD17" i="13"/>
  <c r="BG17" i="13"/>
  <c r="BD16" i="13"/>
  <c r="BG16" i="13"/>
  <c r="BF13" i="13"/>
  <c r="BC13" i="13"/>
  <c r="BP23" i="13"/>
  <c r="BP21" i="13"/>
  <c r="BP24" i="13"/>
  <c r="BP18" i="13"/>
  <c r="BS22" i="13"/>
  <c r="BP16" i="13"/>
  <c r="BR13" i="13"/>
  <c r="BO13" i="13"/>
  <c r="BS20" i="13"/>
  <c r="BP20" i="13"/>
  <c r="BV13" i="13"/>
  <c r="BS19" i="13"/>
  <c r="BU13" i="13"/>
  <c r="BW13" i="13"/>
  <c r="BS24" i="13"/>
  <c r="BS18" i="13"/>
  <c r="BP14" i="13"/>
  <c r="BS15" i="13"/>
  <c r="BP19" i="13"/>
  <c r="BP22" i="13"/>
  <c r="BS23" i="13"/>
  <c r="BP15" i="13"/>
  <c r="BM13" i="13"/>
  <c r="BY13" i="13"/>
  <c r="BL13" i="13"/>
  <c r="BP17" i="13"/>
  <c r="BS14" i="13"/>
  <c r="BX13" i="13"/>
  <c r="BS21" i="13"/>
  <c r="BS17" i="13"/>
  <c r="BS16" i="13"/>
  <c r="BE19" i="13" l="1"/>
  <c r="BE21" i="13"/>
  <c r="BH21" i="13"/>
  <c r="BE20" i="13"/>
  <c r="BH24" i="13"/>
  <c r="BH20" i="13"/>
  <c r="BE24" i="13"/>
  <c r="BH14" i="13"/>
  <c r="BH23" i="13"/>
  <c r="BE22" i="13"/>
  <c r="BE14" i="13"/>
  <c r="BE23" i="13"/>
  <c r="BH22" i="13"/>
  <c r="BH19" i="13"/>
  <c r="BE17" i="13"/>
  <c r="BH17" i="13"/>
  <c r="BH15" i="13"/>
  <c r="BE15" i="13"/>
  <c r="BH16" i="13"/>
  <c r="BH18" i="13"/>
  <c r="BE16" i="13"/>
  <c r="BE18" i="13"/>
  <c r="BG13" i="13"/>
  <c r="BD13" i="13"/>
  <c r="BT18" i="13"/>
  <c r="BQ23" i="13"/>
  <c r="BQ24" i="13"/>
  <c r="BT23" i="13"/>
  <c r="BT20" i="13"/>
  <c r="BQ15" i="13"/>
  <c r="BT21" i="13"/>
  <c r="BQ21" i="13"/>
  <c r="BS13" i="13"/>
  <c r="BQ22" i="13"/>
  <c r="BQ17" i="13"/>
  <c r="BT16" i="13"/>
  <c r="BQ18" i="13"/>
  <c r="BT22" i="13"/>
  <c r="BQ16" i="13"/>
  <c r="BQ19" i="13"/>
  <c r="BT19" i="13"/>
  <c r="BT24" i="13"/>
  <c r="BT15" i="13"/>
  <c r="BQ20" i="13"/>
  <c r="BP13" i="13"/>
  <c r="BQ14" i="13"/>
  <c r="BH13" i="13" l="1"/>
  <c r="BE13" i="13"/>
  <c r="BQ13" i="13"/>
  <c r="BT14" i="13"/>
  <c r="BT17" i="13"/>
  <c r="BT13" i="13"/>
</calcChain>
</file>

<file path=xl/sharedStrings.xml><?xml version="1.0" encoding="utf-8"?>
<sst xmlns="http://schemas.openxmlformats.org/spreadsheetml/2006/main" count="299" uniqueCount="140">
  <si>
    <t>Hours</t>
  </si>
  <si>
    <t>Expiry</t>
  </si>
  <si>
    <t>Strike</t>
  </si>
  <si>
    <t>Active</t>
  </si>
  <si>
    <t>Volat</t>
  </si>
  <si>
    <t>ExpriyRate</t>
  </si>
  <si>
    <t>Theta</t>
  </si>
  <si>
    <t>Rho</t>
  </si>
  <si>
    <t>Expired</t>
  </si>
  <si>
    <t>PriceBasis</t>
  </si>
  <si>
    <t>Instrument</t>
  </si>
  <si>
    <t>FromDate</t>
  </si>
  <si>
    <t>ToDate</t>
  </si>
  <si>
    <t>PosStatus</t>
  </si>
  <si>
    <t>QTY</t>
  </si>
  <si>
    <t>Bkprice</t>
  </si>
  <si>
    <t>Bkvalue</t>
  </si>
  <si>
    <t>Mktprice</t>
  </si>
  <si>
    <t>Prod</t>
  </si>
  <si>
    <t>delta</t>
  </si>
  <si>
    <t>Gamma</t>
  </si>
  <si>
    <t>Vega</t>
  </si>
  <si>
    <t>GrossValue</t>
  </si>
  <si>
    <t>MtmValue</t>
  </si>
  <si>
    <t>Trade_PL</t>
  </si>
  <si>
    <t>Real_PL</t>
  </si>
  <si>
    <t>Unreal_PL</t>
  </si>
  <si>
    <t>Net_PL</t>
  </si>
  <si>
    <t>CFstoDate</t>
  </si>
  <si>
    <t>FwdCFs</t>
  </si>
  <si>
    <t>NetCfs</t>
  </si>
  <si>
    <t>PriceCalc</t>
  </si>
  <si>
    <t>PutCall</t>
  </si>
  <si>
    <t>UndrelyingPrice</t>
  </si>
  <si>
    <t>CalcDelta</t>
  </si>
  <si>
    <t>CalcGamma</t>
  </si>
  <si>
    <t>CalcVega</t>
  </si>
  <si>
    <t>CalcTheta</t>
  </si>
  <si>
    <t>CalcRho</t>
  </si>
  <si>
    <t>CalcBookValue</t>
  </si>
  <si>
    <t>CalcGrossValue</t>
  </si>
  <si>
    <t>CalcMtM</t>
  </si>
  <si>
    <t>Calc TradePL</t>
  </si>
  <si>
    <t>CalcRealizedPL</t>
  </si>
  <si>
    <t>CalcUnrealizedPL</t>
  </si>
  <si>
    <t>CalcNetPL</t>
  </si>
  <si>
    <t>CalcCFToDate</t>
  </si>
  <si>
    <t>CalcFwdCF</t>
  </si>
  <si>
    <t>CalcNetCF</t>
  </si>
  <si>
    <t>ErrorBookValue</t>
  </si>
  <si>
    <t>ErrorGrossValue</t>
  </si>
  <si>
    <t>ErrorMtM</t>
  </si>
  <si>
    <t>ErrorRealizedPL</t>
  </si>
  <si>
    <t>ErrorUnrealizedPL</t>
  </si>
  <si>
    <t>ErrorNetPL</t>
  </si>
  <si>
    <t>ErrorCFToDate</t>
  </si>
  <si>
    <t>ErrorFwdCF</t>
  </si>
  <si>
    <t>ErrorNetCF</t>
  </si>
  <si>
    <t>ErrorBookPrice</t>
  </si>
  <si>
    <t>ErrorTradePL</t>
  </si>
  <si>
    <t>ErrorGamma1</t>
  </si>
  <si>
    <t>ErrorRho</t>
  </si>
  <si>
    <t>ErrorTheta</t>
  </si>
  <si>
    <t>Query</t>
  </si>
  <si>
    <t>Elviz other input</t>
  </si>
  <si>
    <t>Effective Rd</t>
  </si>
  <si>
    <t>Calculated</t>
  </si>
  <si>
    <t>Errors</t>
  </si>
  <si>
    <t>Elviz output</t>
  </si>
  <si>
    <t>PriceError</t>
  </si>
  <si>
    <t>FX</t>
  </si>
  <si>
    <t>Total Q</t>
  </si>
  <si>
    <t>Scaling</t>
  </si>
  <si>
    <t>OrgBookPrice</t>
  </si>
  <si>
    <t>ErrorDelta</t>
  </si>
  <si>
    <t>ErrorVega</t>
  </si>
  <si>
    <t>CalcBookPrice</t>
  </si>
  <si>
    <t>NordPool System Price</t>
  </si>
  <si>
    <t>NordPool System Price-Y2011</t>
  </si>
  <si>
    <t>ASIC/A YR-11 45.00 - Peak</t>
  </si>
  <si>
    <t>ASIP/A YR-11 45.00 - Peak</t>
  </si>
  <si>
    <t>ASIC/A YR-11 45.00 - Base</t>
  </si>
  <si>
    <t>ASIP/A YR-11 45.00 - Base</t>
  </si>
  <si>
    <t>Norway 1</t>
  </si>
  <si>
    <t>Norway 1-Y2011</t>
  </si>
  <si>
    <t>NordPool System Price-Q4-11</t>
  </si>
  <si>
    <t>ASIC/A Q4-11 45.00 - Peak</t>
  </si>
  <si>
    <t>ASIP/A Q4-11 45.00 - Peak</t>
  </si>
  <si>
    <t>ASIC/A Q4-11 45.00 - Base</t>
  </si>
  <si>
    <t>ASIP/A Q4-11 45.00 - Base</t>
  </si>
  <si>
    <t>Norway 1-Q4-11</t>
  </si>
  <si>
    <t>NordPool System Price-M11-11</t>
  </si>
  <si>
    <t>ASIC/A M11-11 45.00 - Peak</t>
  </si>
  <si>
    <t>ASIP/A M11-11 45.00 - Peak</t>
  </si>
  <si>
    <t>ASIC/A M11-11 45.00 - Base</t>
  </si>
  <si>
    <t>ASIP/A M11-11 45.00 - Base</t>
  </si>
  <si>
    <t>Norway 1-M11-11</t>
  </si>
  <si>
    <t>NordPool System Price-Y2012</t>
  </si>
  <si>
    <t>ASIC/A YR-12 45.00 - Peak</t>
  </si>
  <si>
    <t>ASIP/A YR-12 45.00 - Peak</t>
  </si>
  <si>
    <t>ASIC/A YR-12 45.00 - Base</t>
  </si>
  <si>
    <t>ASIP/A YR-12 45.00 - Base</t>
  </si>
  <si>
    <t>Norway 1-Y2012</t>
  </si>
  <si>
    <t>NordPool System Price-Q2-12</t>
  </si>
  <si>
    <t>ASIC/A Q2-12 45.00 - Peak</t>
  </si>
  <si>
    <t>ASIP/A Q2-12 45.00 - Peak</t>
  </si>
  <si>
    <t>ASIC/A Q2-12 45.00 - Base</t>
  </si>
  <si>
    <t>ASIP/A Q2-12 45.00 - Base</t>
  </si>
  <si>
    <t>Norway 1-Q2-12</t>
  </si>
  <si>
    <t>NordPool System Price-M06-12</t>
  </si>
  <si>
    <t>ASIC/A M06-12 45.00 - Peak</t>
  </si>
  <si>
    <t>ASIP/A M06-12 45.00 - Peak</t>
  </si>
  <si>
    <t>ASIC/A M06-12 45.00 - Base</t>
  </si>
  <si>
    <t>ASIP/A M06-12 45.00 - Base</t>
  </si>
  <si>
    <t>Norway 1-M06-12</t>
  </si>
  <si>
    <t>NordPool System Price-M01-10</t>
  </si>
  <si>
    <t>ASIC/A M01-10 45.00 - Peak</t>
  </si>
  <si>
    <t>ASIP/A M01-10 45.00 - Peak</t>
  </si>
  <si>
    <t>ASIC/A M01-10 45.00 - Base</t>
  </si>
  <si>
    <t>ASIP/A M01-10 45.00 - Base</t>
  </si>
  <si>
    <t>Norway 1-M01-10</t>
  </si>
  <si>
    <t>NordPool System Price-Y2010</t>
  </si>
  <si>
    <t>ASIC/A YR-10 45.00 - Peak</t>
  </si>
  <si>
    <t>ASIP/A YR-10 45.00 - Peak</t>
  </si>
  <si>
    <t>ASIC/A YR-10 45.00 - Base</t>
  </si>
  <si>
    <t>ASIP/A YR-10 45.00 - Base</t>
  </si>
  <si>
    <t>Norway 1-Y2010</t>
  </si>
  <si>
    <t>NordPool System Price-Q4-10</t>
  </si>
  <si>
    <t>ASIC/A Q4-10 45.00 - Peak</t>
  </si>
  <si>
    <t>ASIP/A Q4-10 45.00 - Peak</t>
  </si>
  <si>
    <t>ASIC/A Q4-10 45.00 - Base</t>
  </si>
  <si>
    <t>ASIP/A Q4-10 45.00 - Base</t>
  </si>
  <si>
    <t>Norway 1-Q4-10</t>
  </si>
  <si>
    <t xml:space="preserve">   DECLARE @workspace varchar(255)
   DECLARE @reportDate Date
   set @workspace='el-asian-eur-posmon-eur-mtm'
   set @reportDate='2011-11-01'
   SELECT 
      [PriceBasis]
    ,pricebasis+'-'+Period as Prod
      ,[Instrument]
      ,[FromDate]
      ,[ToDate]
   ,Expiry
      ,Strike
      ,[PosStatus]
      ,[QTY]
      ,[Hours]
       ,[Bkprice]
      ,[Bkvalue]
      ,[Mktprice]
      ,delta
      ,Gamma
      ,Vega
      ,Theta
      ,Rho
      ,Volat
      ,GrossValue
      ,[MtmValue]
      ,[Trade_PL]
      ,[Real_PL]
      ,[Unreal_PL]
      ,[Net_PL]
      ,[CFstoDate]
      ,[FwdCFs]
      ,[NetCfs]
      --,[Expiry]
      --,[Strike]
      --,[Gamma]
      --,[Theta]
      --,[Vega]
      --,[Rho]
      --,[Delta]
      --,[Uprice]
      --,[Volat]
     FROM [VizPosMonData]
     WHERE ReportID=(
        SELECT [ReportID]
        FROM [VizPosMonReports]
        WHERE [ReportDate]=@reportDate
        AND [Workspace]=@workspace
        AND [MonitorTitle]=@workspace
         )
</t>
  </si>
  <si>
    <t>FloatingPrice</t>
  </si>
  <si>
    <t>T1</t>
  </si>
  <si>
    <t>T2</t>
  </si>
  <si>
    <t>TT</t>
  </si>
  <si>
    <t>Factor</t>
  </si>
  <si>
    <t>AdjStrike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</si>
</sst>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_-;\-* #,##0.00_-;_-* &quot;-&quot;??_-;_-@_-"/>
    <numFmt numFmtId="164" formatCode="_-* #,##0_-;\-* #,##0_-;_-* &quot;-&quot;??_-;_-@_-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6" borderId="0" applyNumberFormat="0" applyBorder="0" applyAlignment="0" applyProtection="0"/>
  </cellStyleXfs>
  <cellXfs count="34">
    <xf numFmtId="0" fontId="0" fillId="0" borderId="0" xfId="0"/>
    <xf numFmtId="0" fontId="0" fillId="3" borderId="0" xfId="0" applyNumberFormat="1" applyFill="1"/>
    <xf numFmtId="0" fontId="0" fillId="3" borderId="0" xfId="0" applyFill="1"/>
    <xf numFmtId="0" fontId="0" fillId="4" borderId="0" xfId="0" applyNumberFormat="1" applyFill="1"/>
    <xf numFmtId="0" fontId="0" fillId="4" borderId="0" xfId="0" applyFill="1"/>
    <xf numFmtId="14" fontId="0" fillId="0" borderId="0" xfId="0" applyNumberFormat="1"/>
    <xf numFmtId="0" fontId="0" fillId="2" borderId="0" xfId="0" applyFill="1"/>
    <xf numFmtId="0" fontId="0" fillId="0" borderId="0" xfId="0"/>
    <xf numFmtId="49" fontId="1" fillId="5" borderId="0" xfId="0" applyNumberFormat="1" applyFont="1" applyFill="1"/>
    <xf numFmtId="0" fontId="0" fillId="5" borderId="0" xfId="0" applyFill="1"/>
    <xf numFmtId="0" fontId="0" fillId="3" borderId="0" xfId="0" applyNumberFormat="1" applyFont="1" applyFill="1"/>
    <xf numFmtId="0" fontId="0" fillId="5" borderId="0" xfId="0" applyNumberFormat="1" applyFill="1"/>
    <xf numFmtId="0" fontId="1" fillId="3" borderId="0" xfId="0" applyFont="1" applyFill="1"/>
    <xf numFmtId="0" fontId="1" fillId="4" borderId="0" xfId="0" applyFont="1" applyFill="1"/>
    <xf numFmtId="0" fontId="0" fillId="0" borderId="0" xfId="0" applyAlignment="1">
      <alignment wrapText="1"/>
    </xf>
    <xf numFmtId="17" fontId="0" fillId="0" borderId="0" xfId="0" applyNumberFormat="1"/>
    <xf numFmtId="47" fontId="0" fillId="2" borderId="0" xfId="0" applyNumberFormat="1" applyFill="1"/>
    <xf numFmtId="0" fontId="4" fillId="2" borderId="0" xfId="3" applyNumberFormat="1" applyFont="1" applyFill="1"/>
    <xf numFmtId="47" fontId="4" fillId="2" borderId="0" xfId="3" applyNumberFormat="1" applyFont="1" applyFill="1"/>
    <xf numFmtId="11" fontId="4" fillId="2" borderId="0" xfId="3" applyNumberFormat="1" applyFont="1" applyFill="1"/>
    <xf numFmtId="0" fontId="4" fillId="2" borderId="0" xfId="3" applyFont="1" applyFill="1"/>
    <xf numFmtId="164" fontId="4" fillId="2" borderId="0" xfId="3" applyNumberFormat="1" applyFont="1" applyFill="1"/>
    <xf numFmtId="0" fontId="4" fillId="2" borderId="0" xfId="0" applyFont="1" applyFill="1"/>
    <xf numFmtId="47" fontId="4" fillId="2" borderId="0" xfId="0" applyNumberFormat="1" applyFont="1" applyFill="1"/>
    <xf numFmtId="0" fontId="0" fillId="0" borderId="0" xfId="0" applyFill="1"/>
    <xf numFmtId="2" fontId="0" fillId="3" borderId="0" xfId="0" applyNumberFormat="1" applyFill="1"/>
    <xf numFmtId="0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11" fontId="4" fillId="2" borderId="0" xfId="0" applyNumberFormat="1" applyFont="1" applyFill="1"/>
    <xf numFmtId="11" fontId="0" fillId="2" borderId="0" xfId="0" applyNumberFormat="1" applyFill="1"/>
    <xf numFmtId="0" fontId="1" fillId="5" borderId="0" xfId="0" applyNumberFormat="1" applyFont="1" applyFill="1"/>
  </cellXfs>
  <cellStyles count="4">
    <cellStyle name="Comma 2" xfId="1"/>
    <cellStyle name="Comma 3" xfId="2"/>
    <cellStyle name="Neutral" xfId="3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B2:CB138"/>
  <sheetViews>
    <sheetView tabSelected="1" topLeftCell="AK7" workbookViewId="0">
      <selection activeCell="AR13" sqref="AR13"/>
    </sheetView>
  </sheetViews>
  <sheetFormatPr defaultColWidth="11.42578125" defaultRowHeight="15" x14ac:dyDescent="0.25"/>
  <cols>
    <col min="2" max="3" width="15.140625" bestFit="1" customWidth="1"/>
    <col min="4" max="4" width="27.42578125" bestFit="1" customWidth="1"/>
    <col min="6" max="6" width="22.85546875" customWidth="1"/>
    <col min="7" max="7" width="10.7109375" bestFit="1" customWidth="1"/>
    <col min="29" max="29" width="12" bestFit="1" customWidth="1"/>
    <col min="30" max="30" width="12.7109375" bestFit="1" customWidth="1"/>
    <col min="32" max="35" width="11.42578125" style="27"/>
    <col min="36" max="36" width="11.42578125" style="29"/>
    <col min="37" max="42" width="11.42578125" style="30"/>
    <col min="45" max="45" width="13.5703125" style="27" bestFit="1" customWidth="1"/>
    <col min="47" max="48" width="12" bestFit="1" customWidth="1"/>
    <col min="49" max="49" width="12.7109375" bestFit="1" customWidth="1"/>
    <col min="51" max="51" width="16.42578125" bestFit="1" customWidth="1"/>
    <col min="61" max="61" width="11.42578125" style="7"/>
    <col min="62" max="62" width="14.28515625" style="27" bestFit="1" customWidth="1"/>
    <col min="63" max="63" width="15" bestFit="1" customWidth="1"/>
    <col min="64" max="64" width="12.7109375" bestFit="1" customWidth="1"/>
    <col min="68" max="68" width="14.85546875" bestFit="1" customWidth="1"/>
    <col min="69" max="69" width="17.140625" bestFit="1" customWidth="1"/>
  </cols>
  <sheetData>
    <row r="2" spans="2:80" ht="13.5" customHeight="1" x14ac:dyDescent="0.25">
      <c r="B2" s="7"/>
      <c r="C2" s="7"/>
      <c r="D2" s="7"/>
      <c r="E2" s="7"/>
      <c r="F2" s="5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Q2" s="7"/>
      <c r="AR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</row>
    <row r="3" spans="2:80" x14ac:dyDescent="0.25">
      <c r="B3" s="7"/>
      <c r="C3" s="7"/>
      <c r="D3" s="6" t="s">
        <v>68</v>
      </c>
      <c r="E3" s="7"/>
      <c r="F3" s="5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15"/>
      <c r="AE3" s="7"/>
      <c r="AQ3" s="7"/>
      <c r="AR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</row>
    <row r="4" spans="2:80" x14ac:dyDescent="0.25">
      <c r="B4" s="7"/>
      <c r="C4" s="7"/>
      <c r="D4" s="9" t="s">
        <v>64</v>
      </c>
      <c r="E4" s="7"/>
      <c r="F4" s="5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Q4" s="7"/>
      <c r="AR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</row>
    <row r="5" spans="2:80" x14ac:dyDescent="0.25">
      <c r="B5" s="7"/>
      <c r="C5" s="7"/>
      <c r="D5" s="2" t="s">
        <v>66</v>
      </c>
      <c r="E5" s="7"/>
      <c r="F5" s="5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Q5" s="7"/>
      <c r="AR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</row>
    <row r="6" spans="2:80" x14ac:dyDescent="0.25">
      <c r="B6" s="7"/>
      <c r="C6" s="7"/>
      <c r="D6" s="4" t="s">
        <v>67</v>
      </c>
      <c r="E6" s="7"/>
      <c r="F6" s="5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Q6" s="7"/>
      <c r="AR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</row>
    <row r="7" spans="2:80" s="7" customFormat="1" x14ac:dyDescent="0.25">
      <c r="D7" s="24"/>
      <c r="F7" s="5"/>
      <c r="AF7" s="27"/>
      <c r="AG7" s="27"/>
      <c r="AH7" s="27"/>
      <c r="AI7" s="27"/>
      <c r="AJ7" s="29"/>
      <c r="AK7" s="30"/>
      <c r="AL7" s="30"/>
      <c r="AM7" s="30"/>
      <c r="AN7" s="30"/>
      <c r="AO7" s="30"/>
      <c r="AP7" s="30"/>
      <c r="AS7" s="27"/>
      <c r="BJ7" s="27"/>
    </row>
    <row r="8" spans="2:80" s="7" customFormat="1" ht="93" customHeight="1" x14ac:dyDescent="0.25">
      <c r="D8" s="7" t="s">
        <v>63</v>
      </c>
      <c r="E8" s="14" t="s">
        <v>133</v>
      </c>
      <c r="F8" s="5"/>
      <c r="AD8" s="26"/>
      <c r="AF8" s="27"/>
      <c r="AG8" s="27"/>
      <c r="AH8" s="27"/>
      <c r="AI8" s="27"/>
      <c r="AJ8" s="29"/>
      <c r="AK8" s="30"/>
      <c r="AL8" s="30"/>
      <c r="AM8" s="30"/>
      <c r="AN8" s="30"/>
      <c r="AO8" s="30"/>
      <c r="AP8" s="30"/>
      <c r="AS8" s="27"/>
      <c r="BJ8" s="27"/>
    </row>
    <row r="9" spans="2:80" s="7" customFormat="1" x14ac:dyDescent="0.25">
      <c r="D9" s="7" t="s">
        <v>65</v>
      </c>
      <c r="E9" s="5">
        <v>40849</v>
      </c>
      <c r="F9" s="5"/>
      <c r="AB9" s="28"/>
      <c r="AE9" s="29"/>
      <c r="AF9" s="27"/>
      <c r="AG9" s="27"/>
      <c r="AH9" s="27"/>
      <c r="AI9" s="27"/>
      <c r="AJ9" s="29"/>
      <c r="AK9" s="30"/>
      <c r="AL9" s="30"/>
      <c r="AM9" s="30"/>
      <c r="AN9" s="30"/>
      <c r="AO9" s="30"/>
      <c r="AP9" s="30"/>
      <c r="AS9" s="27"/>
      <c r="BJ9" s="27"/>
    </row>
    <row r="10" spans="2:80" s="7" customFormat="1" x14ac:dyDescent="0.25">
      <c r="D10" s="24"/>
      <c r="F10" s="5"/>
      <c r="AF10" s="27"/>
      <c r="AG10" s="27"/>
      <c r="AH10" s="27"/>
      <c r="AI10" s="27"/>
      <c r="AJ10" s="29"/>
      <c r="AK10" s="30"/>
      <c r="AL10" s="30"/>
      <c r="AM10" s="30"/>
      <c r="AN10" s="30"/>
      <c r="AO10" s="30"/>
      <c r="AP10" s="30"/>
      <c r="AS10" s="27"/>
      <c r="BJ10" s="27"/>
    </row>
    <row r="11" spans="2:80" x14ac:dyDescent="0.25"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Q11" s="7"/>
      <c r="AR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</row>
    <row r="12" spans="2:80" x14ac:dyDescent="0.25">
      <c r="B12" s="17" t="s">
        <v>9</v>
      </c>
      <c r="C12" s="17" t="s">
        <v>18</v>
      </c>
      <c r="D12" s="17" t="s">
        <v>10</v>
      </c>
      <c r="E12" s="17" t="s">
        <v>11</v>
      </c>
      <c r="F12" s="17" t="s">
        <v>12</v>
      </c>
      <c r="G12" s="17" t="s">
        <v>1</v>
      </c>
      <c r="H12" s="17" t="s">
        <v>2</v>
      </c>
      <c r="I12" s="17" t="s">
        <v>13</v>
      </c>
      <c r="J12" s="17" t="s">
        <v>14</v>
      </c>
      <c r="K12" s="17" t="s">
        <v>0</v>
      </c>
      <c r="L12" s="17" t="s">
        <v>15</v>
      </c>
      <c r="M12" s="17" t="s">
        <v>16</v>
      </c>
      <c r="N12" s="17" t="s">
        <v>17</v>
      </c>
      <c r="O12" s="17" t="s">
        <v>19</v>
      </c>
      <c r="P12" s="17" t="s">
        <v>20</v>
      </c>
      <c r="Q12" s="17" t="s">
        <v>21</v>
      </c>
      <c r="R12" s="17" t="s">
        <v>6</v>
      </c>
      <c r="S12" s="17" t="s">
        <v>7</v>
      </c>
      <c r="T12" s="17" t="s">
        <v>4</v>
      </c>
      <c r="U12" s="17" t="s">
        <v>22</v>
      </c>
      <c r="V12" s="17" t="s">
        <v>23</v>
      </c>
      <c r="W12" s="17" t="s">
        <v>24</v>
      </c>
      <c r="X12" s="17" t="s">
        <v>25</v>
      </c>
      <c r="Y12" s="17" t="s">
        <v>26</v>
      </c>
      <c r="Z12" s="17" t="s">
        <v>27</v>
      </c>
      <c r="AA12" s="17" t="s">
        <v>28</v>
      </c>
      <c r="AB12" s="17" t="s">
        <v>29</v>
      </c>
      <c r="AC12" s="17" t="s">
        <v>30</v>
      </c>
      <c r="AD12" s="8" t="s">
        <v>5</v>
      </c>
      <c r="AE12" s="33" t="s">
        <v>33</v>
      </c>
      <c r="AF12" s="33" t="s">
        <v>70</v>
      </c>
      <c r="AG12" s="33" t="s">
        <v>71</v>
      </c>
      <c r="AH12" s="33" t="s">
        <v>72</v>
      </c>
      <c r="AI12" s="33" t="s">
        <v>73</v>
      </c>
      <c r="AJ12" s="33" t="s">
        <v>10</v>
      </c>
      <c r="AK12" s="33" t="s">
        <v>134</v>
      </c>
      <c r="AL12" s="33" t="s">
        <v>135</v>
      </c>
      <c r="AM12" s="33" t="s">
        <v>136</v>
      </c>
      <c r="AN12" s="33" t="s">
        <v>137</v>
      </c>
      <c r="AO12" s="33" t="s">
        <v>138</v>
      </c>
      <c r="AP12" s="33" t="s">
        <v>139</v>
      </c>
      <c r="AQ12" s="10" t="s">
        <v>32</v>
      </c>
      <c r="AR12" s="1" t="s">
        <v>31</v>
      </c>
      <c r="AS12" s="1" t="s">
        <v>76</v>
      </c>
      <c r="AT12" s="1" t="s">
        <v>34</v>
      </c>
      <c r="AU12" s="1" t="s">
        <v>35</v>
      </c>
      <c r="AV12" s="1" t="s">
        <v>36</v>
      </c>
      <c r="AW12" s="1" t="s">
        <v>37</v>
      </c>
      <c r="AX12" s="1" t="s">
        <v>38</v>
      </c>
      <c r="AY12" s="12" t="s">
        <v>39</v>
      </c>
      <c r="AZ12" s="12" t="s">
        <v>40</v>
      </c>
      <c r="BA12" s="12" t="s">
        <v>41</v>
      </c>
      <c r="BB12" s="12" t="s">
        <v>42</v>
      </c>
      <c r="BC12" s="12" t="s">
        <v>43</v>
      </c>
      <c r="BD12" s="12" t="s">
        <v>44</v>
      </c>
      <c r="BE12" s="12" t="s">
        <v>45</v>
      </c>
      <c r="BF12" s="12" t="s">
        <v>46</v>
      </c>
      <c r="BG12" s="12" t="s">
        <v>47</v>
      </c>
      <c r="BH12" s="12" t="s">
        <v>48</v>
      </c>
      <c r="BI12" s="13" t="s">
        <v>69</v>
      </c>
      <c r="BJ12" s="13" t="s">
        <v>58</v>
      </c>
      <c r="BK12" s="13" t="s">
        <v>49</v>
      </c>
      <c r="BL12" s="13" t="s">
        <v>50</v>
      </c>
      <c r="BM12" s="13" t="s">
        <v>51</v>
      </c>
      <c r="BN12" s="13" t="s">
        <v>59</v>
      </c>
      <c r="BO12" s="13" t="s">
        <v>52</v>
      </c>
      <c r="BP12" s="13" t="s">
        <v>53</v>
      </c>
      <c r="BQ12" s="13" t="s">
        <v>54</v>
      </c>
      <c r="BR12" s="13" t="s">
        <v>55</v>
      </c>
      <c r="BS12" s="13" t="s">
        <v>56</v>
      </c>
      <c r="BT12" s="13" t="s">
        <v>57</v>
      </c>
      <c r="BU12" s="13" t="s">
        <v>74</v>
      </c>
      <c r="BV12" s="13" t="s">
        <v>60</v>
      </c>
      <c r="BW12" s="13" t="s">
        <v>75</v>
      </c>
      <c r="BX12" s="13" t="s">
        <v>61</v>
      </c>
      <c r="BY12" s="13" t="s">
        <v>62</v>
      </c>
      <c r="BZ12" s="7"/>
      <c r="CA12" s="7"/>
      <c r="CB12" s="7"/>
    </row>
    <row r="13" spans="2:80" x14ac:dyDescent="0.25">
      <c r="B13" s="17" t="s">
        <v>77</v>
      </c>
      <c r="C13" s="17" t="s">
        <v>78</v>
      </c>
      <c r="D13" s="17" t="s">
        <v>79</v>
      </c>
      <c r="E13" s="18">
        <v>40544</v>
      </c>
      <c r="F13" s="18">
        <v>40908</v>
      </c>
      <c r="G13" s="18">
        <v>40908</v>
      </c>
      <c r="H13" s="17">
        <v>45</v>
      </c>
      <c r="I13" s="17" t="s">
        <v>3</v>
      </c>
      <c r="J13" s="17">
        <v>10</v>
      </c>
      <c r="K13" s="17">
        <v>3120</v>
      </c>
      <c r="L13" s="17">
        <v>4.21</v>
      </c>
      <c r="M13" s="17">
        <v>-131352</v>
      </c>
      <c r="N13" s="17">
        <v>7.3382423267012697</v>
      </c>
      <c r="O13" s="17">
        <v>0.16497645104594999</v>
      </c>
      <c r="P13" s="19">
        <v>1.0043401471124799E-14</v>
      </c>
      <c r="Q13" s="19">
        <v>2.9598384095422299E-12</v>
      </c>
      <c r="R13" s="19">
        <v>3.0221583335611799E-4</v>
      </c>
      <c r="S13" s="17">
        <v>-1.2062864098687001</v>
      </c>
      <c r="T13" s="17">
        <v>0.66353721104510899</v>
      </c>
      <c r="U13" s="17">
        <v>228953.16059308001</v>
      </c>
      <c r="V13" s="17">
        <v>228953.16059308001</v>
      </c>
      <c r="W13" s="17">
        <v>14040</v>
      </c>
      <c r="X13" s="17">
        <v>-117312</v>
      </c>
      <c r="Y13" s="17">
        <v>228953.16059308001</v>
      </c>
      <c r="Z13" s="17">
        <v>111641.16059308</v>
      </c>
      <c r="AA13" s="17">
        <v>-117312</v>
      </c>
      <c r="AB13" s="17">
        <v>228953.16059308001</v>
      </c>
      <c r="AC13" s="17">
        <v>111641.16059308</v>
      </c>
      <c r="AD13" s="11">
        <v>1.5032043678849451E-2</v>
      </c>
      <c r="AE13" s="11">
        <v>51.9794589528789</v>
      </c>
      <c r="AF13" s="9">
        <v>1</v>
      </c>
      <c r="AG13" s="9">
        <f>J13*K13</f>
        <v>31200</v>
      </c>
      <c r="AH13" s="9">
        <v>1</v>
      </c>
      <c r="AI13" s="9">
        <f>L13</f>
        <v>4.21</v>
      </c>
      <c r="AJ13" s="9" t="str">
        <f>B13&amp;"-"&amp;D13</f>
        <v>NordPool System Price-ASIC/A YR-11 45.00 - Peak</v>
      </c>
      <c r="AK13" s="9">
        <v>52.431090629800302</v>
      </c>
      <c r="AL13" s="9">
        <v>2604</v>
      </c>
      <c r="AM13" s="9">
        <v>516</v>
      </c>
      <c r="AN13" s="9">
        <v>3120</v>
      </c>
      <c r="AO13" s="30">
        <f>IF($E$9&gt;=E13,AM13/(AN13),1)</f>
        <v>0.16538461538461538</v>
      </c>
      <c r="AP13" s="30">
        <f>IF($E$9&gt;=E13,(AN13/AM13)*H13-(AL13/AM13)*AK13,H13)</f>
        <v>7.4989147286821662</v>
      </c>
      <c r="AQ13" s="1" t="str">
        <f t="shared" ref="AQ13:AQ24" si="0">MID(D13,4,1)</f>
        <v>C</v>
      </c>
      <c r="AR13" s="1">
        <f>B76Future($E$9,AQ13,AE13,AP13,G13,T13,AD13)*AF13*AO13</f>
        <v>7.3382423267012804</v>
      </c>
      <c r="AS13" s="1">
        <f>AI13*AF13</f>
        <v>4.21</v>
      </c>
      <c r="AT13" s="1">
        <f>B76Delta($E$9,AQ13,AE13,AP13,G13,T13,AD13)*AO13</f>
        <v>0.16497645104595002</v>
      </c>
      <c r="AU13" s="1">
        <f>B76Gamma($E$9,AQ13,AE13,AP13,G13,T13,AD13)*AO13</f>
        <v>1.0043401471124141E-14</v>
      </c>
      <c r="AV13" s="1">
        <f>B76Vega($E$9,AQ13,AE13,AP13,G13,T13,AD13)*AO13</f>
        <v>2.9598384095420538E-12</v>
      </c>
      <c r="AW13" s="1">
        <f>B76Theta($E$9,AQ13,AE13,AP13,G13,T13,AD13)*AO13</f>
        <v>3.0221583335611436E-4</v>
      </c>
      <c r="AX13" s="1">
        <f>B76Rho($E$9,AQ13,AE13,AP13,G13,T13,AD13)*AO13</f>
        <v>-1.2062864098687036</v>
      </c>
      <c r="AY13" s="25">
        <f>-AS13*AG13*AH13</f>
        <v>-131352</v>
      </c>
      <c r="AZ13" s="1">
        <f>AR13*AG13*AH13</f>
        <v>228953.16059307996</v>
      </c>
      <c r="BA13" s="1">
        <f>AZ13</f>
        <v>228953.16059307996</v>
      </c>
      <c r="BB13" s="1">
        <f>0.9*AG13/2</f>
        <v>14040</v>
      </c>
      <c r="BC13" s="1">
        <f>AY13+BB13</f>
        <v>-117312</v>
      </c>
      <c r="BD13" s="1">
        <f>BA13</f>
        <v>228953.16059307996</v>
      </c>
      <c r="BE13" s="1">
        <f>BC13+BD13</f>
        <v>111641.16059307996</v>
      </c>
      <c r="BF13" s="1">
        <f>BB13+AY13</f>
        <v>-117312</v>
      </c>
      <c r="BG13" s="1">
        <f>BA13</f>
        <v>228953.16059307996</v>
      </c>
      <c r="BH13" s="1">
        <f>BF13+BG13</f>
        <v>111641.16059307996</v>
      </c>
      <c r="BI13" s="13">
        <f t="shared" ref="BI13:BI24" si="1">QaAssert(N13,AR13)</f>
        <v>0</v>
      </c>
      <c r="BJ13" s="13">
        <f>QaAssert(L13,AS13)</f>
        <v>0</v>
      </c>
      <c r="BK13" s="3">
        <f t="shared" ref="BK13:BK24" si="2">QaAssert(AY13,M13)</f>
        <v>0</v>
      </c>
      <c r="BL13" s="3">
        <f t="shared" ref="BL13:BL24" si="3">QaAssert(AZ13,U13)</f>
        <v>0</v>
      </c>
      <c r="BM13" s="3">
        <f t="shared" ref="BM13:BM24" si="4">QaAssert(BA13, V13)</f>
        <v>0</v>
      </c>
      <c r="BN13" s="3">
        <f t="shared" ref="BN13:BN24" si="5">QaAssert(W13,BB13)</f>
        <v>0</v>
      </c>
      <c r="BO13" s="3">
        <f t="shared" ref="BO13:BO24" si="6">QaAssert(X13,BC13)</f>
        <v>0</v>
      </c>
      <c r="BP13" s="3">
        <f t="shared" ref="BP13:BP24" si="7">QaAssert(Y13,BD13)</f>
        <v>0</v>
      </c>
      <c r="BQ13" s="3">
        <f t="shared" ref="BQ13:BQ24" si="8">QaAssert(Z13,BE13)</f>
        <v>0</v>
      </c>
      <c r="BR13" s="3">
        <f t="shared" ref="BR13:BR24" si="9">QaAssert(AA13,BF13)</f>
        <v>0</v>
      </c>
      <c r="BS13" s="3">
        <f t="shared" ref="BS13:BS24" si="10">QaAssert(AB13,BG13)</f>
        <v>0</v>
      </c>
      <c r="BT13" s="3">
        <f t="shared" ref="BT13:BT24" si="11">QaAssert(AC13,BH13)</f>
        <v>0</v>
      </c>
      <c r="BU13" s="3">
        <f t="shared" ref="BU13:BU24" si="12">QaAssert(O13,AT13)</f>
        <v>0</v>
      </c>
      <c r="BV13" s="3">
        <f t="shared" ref="BV13:BV24" si="13">QaAssert(P13,AU13)</f>
        <v>0</v>
      </c>
      <c r="BW13" s="3">
        <f t="shared" ref="BW13:BW24" si="14">QaAssert(Q13,AV13)</f>
        <v>0</v>
      </c>
      <c r="BX13" s="3">
        <f t="shared" ref="BX13:BX24" si="15">QaAssert(S13,AX13)</f>
        <v>0</v>
      </c>
      <c r="BY13" s="3">
        <f t="shared" ref="BY13:BY24" si="16">QaAssert(R13,AW13)</f>
        <v>0</v>
      </c>
      <c r="BZ13" s="7"/>
      <c r="CA13" s="7"/>
      <c r="CB13" s="7"/>
    </row>
    <row r="14" spans="2:80" x14ac:dyDescent="0.25">
      <c r="B14" s="17" t="s">
        <v>77</v>
      </c>
      <c r="C14" s="17" t="s">
        <v>78</v>
      </c>
      <c r="D14" s="17" t="s">
        <v>80</v>
      </c>
      <c r="E14" s="18">
        <v>40544</v>
      </c>
      <c r="F14" s="18">
        <v>40908</v>
      </c>
      <c r="G14" s="18">
        <v>40908</v>
      </c>
      <c r="H14" s="17">
        <v>45</v>
      </c>
      <c r="I14" s="17" t="s">
        <v>3</v>
      </c>
      <c r="J14" s="17">
        <v>10</v>
      </c>
      <c r="K14" s="17">
        <v>3120</v>
      </c>
      <c r="L14" s="17">
        <v>4.21</v>
      </c>
      <c r="M14" s="17">
        <v>-131352</v>
      </c>
      <c r="N14" s="19">
        <v>3.5922444117298601E-14</v>
      </c>
      <c r="O14" s="19">
        <v>-1.88190730775796E-14</v>
      </c>
      <c r="P14" s="19">
        <v>1.0043401471124799E-14</v>
      </c>
      <c r="Q14" s="19">
        <v>2.9598384095422299E-12</v>
      </c>
      <c r="R14" s="19">
        <v>-1.6364878276608199E-14</v>
      </c>
      <c r="S14" s="19">
        <v>-5.9050593069531998E-15</v>
      </c>
      <c r="T14" s="17">
        <v>0.66353721104510899</v>
      </c>
      <c r="U14" s="19">
        <v>1.12078025645972E-9</v>
      </c>
      <c r="V14" s="19">
        <v>1.12078025645972E-9</v>
      </c>
      <c r="W14" s="17">
        <v>14040</v>
      </c>
      <c r="X14" s="17">
        <v>-117312</v>
      </c>
      <c r="Y14" s="19">
        <v>1.12078025645972E-9</v>
      </c>
      <c r="Z14" s="17">
        <v>-117311.999999999</v>
      </c>
      <c r="AA14" s="17">
        <v>-117312</v>
      </c>
      <c r="AB14" s="19">
        <v>1.12078025645972E-9</v>
      </c>
      <c r="AC14" s="17">
        <v>-117311.999999999</v>
      </c>
      <c r="AD14" s="11">
        <v>1.5032043678849451E-2</v>
      </c>
      <c r="AE14" s="11">
        <v>51.9794589528789</v>
      </c>
      <c r="AF14" s="9">
        <v>1</v>
      </c>
      <c r="AG14" s="9">
        <f t="shared" ref="AG14:AG24" si="17">J14*K14</f>
        <v>31200</v>
      </c>
      <c r="AH14" s="9">
        <v>1</v>
      </c>
      <c r="AI14" s="9">
        <f t="shared" ref="AI14:AI24" si="18">L14</f>
        <v>4.21</v>
      </c>
      <c r="AJ14" s="9" t="str">
        <f t="shared" ref="AJ14:AJ24" si="19">B14&amp;"-"&amp;D14</f>
        <v>NordPool System Price-ASIP/A YR-11 45.00 - Peak</v>
      </c>
      <c r="AK14" s="9">
        <v>52.431090629800302</v>
      </c>
      <c r="AL14" s="9">
        <v>2604</v>
      </c>
      <c r="AM14" s="9">
        <v>516</v>
      </c>
      <c r="AN14" s="9">
        <v>3120</v>
      </c>
      <c r="AO14" s="30">
        <f t="shared" ref="AO14:AO66" si="20">IF($E$9&gt;=E14,AM14/(AN14),1)</f>
        <v>0.16538461538461538</v>
      </c>
      <c r="AP14" s="30">
        <f t="shared" ref="AP14:AP66" si="21">IF($E$9&gt;=E14,(AN14/AM14)*H14-(AL14/AM14)*AK14,H14)</f>
        <v>7.4989147286821662</v>
      </c>
      <c r="AQ14" s="1" t="str">
        <f t="shared" si="0"/>
        <v>P</v>
      </c>
      <c r="AR14" s="1">
        <f t="shared" ref="AR14:AR24" si="22">B76Future($E$9,AQ14,AE14,AP14,G14,T14,AD14)*AF14*AO14</f>
        <v>3.5922376202470701E-14</v>
      </c>
      <c r="AS14" s="1">
        <f t="shared" ref="AS14:AS24" si="23">AI14*AF14</f>
        <v>4.21</v>
      </c>
      <c r="AT14" s="1">
        <f t="shared" ref="AT14:AT24" si="24">B76Delta($E$9,AQ14,AE14,AP14,G14,T14,AD14)*AO14</f>
        <v>-1.8819074215514204E-14</v>
      </c>
      <c r="AU14" s="1">
        <f t="shared" ref="AU14:AU24" si="25">B76Gamma($E$9,AQ14,AE14,AP14,G14,T14,AD14)*AO14</f>
        <v>1.0043401471124141E-14</v>
      </c>
      <c r="AV14" s="1">
        <f t="shared" ref="AV14:AV24" si="26">B76Vega($E$9,AQ14,AE14,AP14,G14,T14,AD14)*AO14</f>
        <v>2.9598384095420538E-12</v>
      </c>
      <c r="AW14" s="1">
        <f t="shared" ref="AW14:AW24" si="27">B76Theta($E$9,AQ14,AE14,AP14,G14,T14,AD14)*AO14</f>
        <v>-1.6364878279404225E-14</v>
      </c>
      <c r="AX14" s="1">
        <f t="shared" ref="AX14:AX24" si="28">B76Rho($E$9,AQ14,AE14,AP14,G14,T14,AD14)*AO14</f>
        <v>-5.905048142871895E-15</v>
      </c>
      <c r="AY14" s="25">
        <f t="shared" ref="AY14:AY24" si="29">-AS14*AG14*AH14</f>
        <v>-131352</v>
      </c>
      <c r="AZ14" s="1">
        <f t="shared" ref="AZ14:AZ24" si="30">AR14*AG14*AH14</f>
        <v>1.1207781375170858E-9</v>
      </c>
      <c r="BA14" s="1">
        <f t="shared" ref="BA14:BA24" si="31">AZ14</f>
        <v>1.1207781375170858E-9</v>
      </c>
      <c r="BB14" s="1">
        <f t="shared" ref="BB14:BB24" si="32">0.9*AG14/2</f>
        <v>14040</v>
      </c>
      <c r="BC14" s="1">
        <f t="shared" ref="BC14:BC18" si="33">AY14+BB14</f>
        <v>-117312</v>
      </c>
      <c r="BD14" s="1">
        <f t="shared" ref="BD14:BD18" si="34">BA14</f>
        <v>1.1207781375170858E-9</v>
      </c>
      <c r="BE14" s="1">
        <f t="shared" ref="BE14:BE18" si="35">BC14+BD14</f>
        <v>-117311.99999999888</v>
      </c>
      <c r="BF14" s="1">
        <f t="shared" ref="BF14:BF18" si="36">BB14+AY14</f>
        <v>-117312</v>
      </c>
      <c r="BG14" s="1">
        <f t="shared" ref="BG14:BG18" si="37">BA14</f>
        <v>1.1207781375170858E-9</v>
      </c>
      <c r="BH14" s="1">
        <f t="shared" ref="BH14:BH18" si="38">BF14+BG14</f>
        <v>-117311.99999999888</v>
      </c>
      <c r="BI14" s="13">
        <f t="shared" si="1"/>
        <v>0</v>
      </c>
      <c r="BJ14" s="13">
        <f t="shared" ref="BJ14:BJ24" si="39">QaAssert(L14,AS14)</f>
        <v>0</v>
      </c>
      <c r="BK14" s="3">
        <f t="shared" si="2"/>
        <v>0</v>
      </c>
      <c r="BL14" s="3">
        <f t="shared" si="3"/>
        <v>0</v>
      </c>
      <c r="BM14" s="3">
        <f t="shared" si="4"/>
        <v>0</v>
      </c>
      <c r="BN14" s="3">
        <f t="shared" si="5"/>
        <v>0</v>
      </c>
      <c r="BO14" s="3">
        <f t="shared" si="6"/>
        <v>0</v>
      </c>
      <c r="BP14" s="3">
        <f t="shared" si="7"/>
        <v>0</v>
      </c>
      <c r="BQ14" s="3">
        <f t="shared" si="8"/>
        <v>0</v>
      </c>
      <c r="BR14" s="3">
        <f t="shared" si="9"/>
        <v>0</v>
      </c>
      <c r="BS14" s="3">
        <f t="shared" si="10"/>
        <v>0</v>
      </c>
      <c r="BT14" s="3">
        <f t="shared" si="11"/>
        <v>0</v>
      </c>
      <c r="BU14" s="3">
        <f t="shared" si="12"/>
        <v>0</v>
      </c>
      <c r="BV14" s="3">
        <f t="shared" si="13"/>
        <v>0</v>
      </c>
      <c r="BW14" s="3">
        <f t="shared" si="14"/>
        <v>0</v>
      </c>
      <c r="BX14" s="3">
        <f t="shared" si="15"/>
        <v>0</v>
      </c>
      <c r="BY14" s="3">
        <f t="shared" si="16"/>
        <v>0</v>
      </c>
      <c r="BZ14" s="7"/>
      <c r="CA14" s="7"/>
      <c r="CB14" s="7"/>
    </row>
    <row r="15" spans="2:80" x14ac:dyDescent="0.25">
      <c r="B15" s="17" t="s">
        <v>77</v>
      </c>
      <c r="C15" s="17" t="s">
        <v>78</v>
      </c>
      <c r="D15" s="17" t="s">
        <v>81</v>
      </c>
      <c r="E15" s="18">
        <v>40544</v>
      </c>
      <c r="F15" s="18">
        <v>40908</v>
      </c>
      <c r="G15" s="18">
        <v>40908</v>
      </c>
      <c r="H15" s="17">
        <v>45</v>
      </c>
      <c r="I15" s="17" t="s">
        <v>3</v>
      </c>
      <c r="J15" s="17">
        <v>10</v>
      </c>
      <c r="K15" s="17">
        <v>8760</v>
      </c>
      <c r="L15" s="17">
        <v>4.21</v>
      </c>
      <c r="M15" s="17">
        <v>-368796</v>
      </c>
      <c r="N15" s="17">
        <v>3.3883304947491402</v>
      </c>
      <c r="O15" s="17">
        <v>0.16385902530622201</v>
      </c>
      <c r="P15" s="19">
        <v>4.6046173013248001E-5</v>
      </c>
      <c r="Q15" s="17">
        <v>7.5862821054950196E-3</v>
      </c>
      <c r="R15" s="19">
        <v>1.09028776447526E-4</v>
      </c>
      <c r="S15" s="17">
        <v>-0.556985834753284</v>
      </c>
      <c r="T15" s="17">
        <v>0.48268935539166202</v>
      </c>
      <c r="U15" s="17">
        <v>296817.75134002499</v>
      </c>
      <c r="V15" s="17">
        <v>296817.75134002499</v>
      </c>
      <c r="W15" s="17">
        <v>39420</v>
      </c>
      <c r="X15" s="17">
        <v>-329376</v>
      </c>
      <c r="Y15" s="17">
        <v>296817.75134002499</v>
      </c>
      <c r="Z15" s="17">
        <v>-32558.248659975099</v>
      </c>
      <c r="AA15" s="17">
        <v>-329376</v>
      </c>
      <c r="AB15" s="17">
        <v>296817.75134002499</v>
      </c>
      <c r="AC15" s="17">
        <v>-32558.248659975099</v>
      </c>
      <c r="AD15" s="11">
        <v>1.5032043678849451E-2</v>
      </c>
      <c r="AE15" s="11">
        <v>45.567444154755101</v>
      </c>
      <c r="AF15" s="9">
        <v>1</v>
      </c>
      <c r="AG15" s="9">
        <f t="shared" si="17"/>
        <v>87600</v>
      </c>
      <c r="AH15" s="9">
        <v>1</v>
      </c>
      <c r="AI15" s="9">
        <f t="shared" si="18"/>
        <v>4.21</v>
      </c>
      <c r="AJ15" s="9" t="str">
        <f t="shared" si="19"/>
        <v>NordPool System Price-ASIC/A YR-11 45.00 - Base</v>
      </c>
      <c r="AK15" s="9">
        <v>48.952928961748597</v>
      </c>
      <c r="AL15" s="9">
        <v>7320</v>
      </c>
      <c r="AM15" s="9">
        <v>1440</v>
      </c>
      <c r="AN15" s="9">
        <v>8760</v>
      </c>
      <c r="AO15" s="30">
        <f t="shared" si="20"/>
        <v>0.16438356164383561</v>
      </c>
      <c r="AP15" s="30">
        <f t="shared" si="21"/>
        <v>24.905944444444657</v>
      </c>
      <c r="AQ15" s="1" t="str">
        <f t="shared" si="0"/>
        <v>C</v>
      </c>
      <c r="AR15" s="1">
        <f t="shared" si="22"/>
        <v>3.388330494748319</v>
      </c>
      <c r="AS15" s="1">
        <f t="shared" si="23"/>
        <v>4.21</v>
      </c>
      <c r="AT15" s="1">
        <f t="shared" si="24"/>
        <v>0.16385902530610955</v>
      </c>
      <c r="AU15" s="1">
        <f t="shared" si="25"/>
        <v>4.6046173013274117E-5</v>
      </c>
      <c r="AV15" s="1">
        <f t="shared" si="26"/>
        <v>7.5862821054993356E-3</v>
      </c>
      <c r="AW15" s="1">
        <f t="shared" si="27"/>
        <v>1.0902877644747272E-4</v>
      </c>
      <c r="AX15" s="1">
        <f t="shared" si="28"/>
        <v>-0.55698583475314833</v>
      </c>
      <c r="AY15" s="25">
        <f t="shared" si="29"/>
        <v>-368796</v>
      </c>
      <c r="AZ15" s="1">
        <f t="shared" si="30"/>
        <v>296817.75133995275</v>
      </c>
      <c r="BA15" s="1">
        <f t="shared" si="31"/>
        <v>296817.75133995275</v>
      </c>
      <c r="BB15" s="1">
        <f t="shared" si="32"/>
        <v>39420</v>
      </c>
      <c r="BC15" s="1">
        <f t="shared" si="33"/>
        <v>-329376</v>
      </c>
      <c r="BD15" s="1">
        <f t="shared" si="34"/>
        <v>296817.75133995275</v>
      </c>
      <c r="BE15" s="1">
        <f t="shared" si="35"/>
        <v>-32558.248660047248</v>
      </c>
      <c r="BF15" s="1">
        <f t="shared" si="36"/>
        <v>-329376</v>
      </c>
      <c r="BG15" s="1">
        <f t="shared" si="37"/>
        <v>296817.75133995275</v>
      </c>
      <c r="BH15" s="1">
        <f t="shared" si="38"/>
        <v>-32558.248660047248</v>
      </c>
      <c r="BI15" s="13">
        <f t="shared" si="1"/>
        <v>0</v>
      </c>
      <c r="BJ15" s="13">
        <f t="shared" si="39"/>
        <v>0</v>
      </c>
      <c r="BK15" s="3">
        <f t="shared" si="2"/>
        <v>0</v>
      </c>
      <c r="BL15" s="3">
        <f t="shared" si="3"/>
        <v>0</v>
      </c>
      <c r="BM15" s="3">
        <f t="shared" si="4"/>
        <v>0</v>
      </c>
      <c r="BN15" s="3">
        <f t="shared" si="5"/>
        <v>0</v>
      </c>
      <c r="BO15" s="3">
        <f t="shared" si="6"/>
        <v>0</v>
      </c>
      <c r="BP15" s="3">
        <f t="shared" si="7"/>
        <v>0</v>
      </c>
      <c r="BQ15" s="3">
        <f t="shared" si="8"/>
        <v>0</v>
      </c>
      <c r="BR15" s="3">
        <f t="shared" si="9"/>
        <v>0</v>
      </c>
      <c r="BS15" s="3">
        <f t="shared" si="10"/>
        <v>0</v>
      </c>
      <c r="BT15" s="3">
        <f t="shared" si="11"/>
        <v>0</v>
      </c>
      <c r="BU15" s="3">
        <f t="shared" si="12"/>
        <v>0</v>
      </c>
      <c r="BV15" s="3">
        <f t="shared" si="13"/>
        <v>0</v>
      </c>
      <c r="BW15" s="3">
        <f t="shared" si="14"/>
        <v>0</v>
      </c>
      <c r="BX15" s="3">
        <f t="shared" si="15"/>
        <v>0</v>
      </c>
      <c r="BY15" s="3">
        <f t="shared" si="16"/>
        <v>0</v>
      </c>
      <c r="BZ15" s="7"/>
      <c r="CA15" s="7"/>
      <c r="CB15" s="7"/>
    </row>
    <row r="16" spans="2:80" x14ac:dyDescent="0.25">
      <c r="B16" s="17" t="s">
        <v>77</v>
      </c>
      <c r="C16" s="17" t="s">
        <v>78</v>
      </c>
      <c r="D16" s="17" t="s">
        <v>82</v>
      </c>
      <c r="E16" s="18">
        <v>40544</v>
      </c>
      <c r="F16" s="18">
        <v>40908</v>
      </c>
      <c r="G16" s="18">
        <v>40908</v>
      </c>
      <c r="H16" s="17">
        <v>45</v>
      </c>
      <c r="I16" s="17" t="s">
        <v>3</v>
      </c>
      <c r="J16" s="17">
        <v>10</v>
      </c>
      <c r="K16" s="17">
        <v>8760</v>
      </c>
      <c r="L16" s="17">
        <v>4.21</v>
      </c>
      <c r="M16" s="17">
        <v>-368796</v>
      </c>
      <c r="N16" s="19">
        <v>3.0182512736979698E-4</v>
      </c>
      <c r="O16" s="19">
        <v>-1.18842569988295E-4</v>
      </c>
      <c r="P16" s="19">
        <v>4.6046173013248001E-5</v>
      </c>
      <c r="Q16" s="19">
        <v>7.5862821054950196E-3</v>
      </c>
      <c r="R16" s="19">
        <v>-3.0502716557814902E-5</v>
      </c>
      <c r="S16" s="19">
        <v>-4.9615089430651603E-5</v>
      </c>
      <c r="T16" s="17">
        <v>0.48268935539166202</v>
      </c>
      <c r="U16" s="19">
        <v>26.439881157594201</v>
      </c>
      <c r="V16" s="19">
        <v>26.439881157594201</v>
      </c>
      <c r="W16" s="17">
        <v>39420</v>
      </c>
      <c r="X16" s="17">
        <v>-329376</v>
      </c>
      <c r="Y16" s="19">
        <v>26.439881157594201</v>
      </c>
      <c r="Z16" s="17">
        <v>-329349.560118842</v>
      </c>
      <c r="AA16" s="17">
        <v>-329376</v>
      </c>
      <c r="AB16" s="19">
        <v>26.439881157594201</v>
      </c>
      <c r="AC16" s="17">
        <v>-329349.560118842</v>
      </c>
      <c r="AD16" s="11">
        <v>1.5032043678849501E-2</v>
      </c>
      <c r="AE16" s="11">
        <v>45.567444154755101</v>
      </c>
      <c r="AF16" s="9">
        <v>1</v>
      </c>
      <c r="AG16" s="9">
        <f t="shared" si="17"/>
        <v>87600</v>
      </c>
      <c r="AH16" s="9">
        <v>1</v>
      </c>
      <c r="AI16" s="9">
        <f t="shared" si="18"/>
        <v>4.21</v>
      </c>
      <c r="AJ16" s="9" t="str">
        <f t="shared" si="19"/>
        <v>NordPool System Price-ASIP/A YR-11 45.00 - Base</v>
      </c>
      <c r="AK16" s="9">
        <v>48.952928961748597</v>
      </c>
      <c r="AL16" s="9">
        <v>7320</v>
      </c>
      <c r="AM16" s="9">
        <v>1440</v>
      </c>
      <c r="AN16" s="9">
        <v>8760</v>
      </c>
      <c r="AO16" s="30">
        <f t="shared" si="20"/>
        <v>0.16438356164383561</v>
      </c>
      <c r="AP16" s="30">
        <f t="shared" si="21"/>
        <v>24.905944444444657</v>
      </c>
      <c r="AQ16" s="1" t="str">
        <f t="shared" si="0"/>
        <v>P</v>
      </c>
      <c r="AR16" s="1">
        <f t="shared" si="22"/>
        <v>3.0182512668466144E-4</v>
      </c>
      <c r="AS16" s="1">
        <f t="shared" si="23"/>
        <v>4.21</v>
      </c>
      <c r="AT16" s="1">
        <f t="shared" si="24"/>
        <v>-1.1884257010030782E-4</v>
      </c>
      <c r="AU16" s="1">
        <f t="shared" si="25"/>
        <v>4.6046173013274117E-5</v>
      </c>
      <c r="AV16" s="1">
        <f t="shared" si="26"/>
        <v>7.5862821054993356E-3</v>
      </c>
      <c r="AW16" s="1">
        <f t="shared" si="27"/>
        <v>-3.0502716557860479E-5</v>
      </c>
      <c r="AX16" s="1">
        <f t="shared" si="28"/>
        <v>-4.9615089318026532E-5</v>
      </c>
      <c r="AY16" s="25">
        <f t="shared" si="29"/>
        <v>-368796</v>
      </c>
      <c r="AZ16" s="1">
        <f t="shared" si="30"/>
        <v>26.439881097576343</v>
      </c>
      <c r="BA16" s="1">
        <f t="shared" si="31"/>
        <v>26.439881097576343</v>
      </c>
      <c r="BB16" s="1">
        <f t="shared" si="32"/>
        <v>39420</v>
      </c>
      <c r="BC16" s="1">
        <f t="shared" si="33"/>
        <v>-329376</v>
      </c>
      <c r="BD16" s="1">
        <f t="shared" si="34"/>
        <v>26.439881097576343</v>
      </c>
      <c r="BE16" s="1">
        <f t="shared" si="35"/>
        <v>-329349.56011890242</v>
      </c>
      <c r="BF16" s="1">
        <f t="shared" si="36"/>
        <v>-329376</v>
      </c>
      <c r="BG16" s="1">
        <f t="shared" si="37"/>
        <v>26.439881097576343</v>
      </c>
      <c r="BH16" s="1">
        <f t="shared" si="38"/>
        <v>-329349.56011890242</v>
      </c>
      <c r="BI16" s="13">
        <f t="shared" si="1"/>
        <v>0</v>
      </c>
      <c r="BJ16" s="13">
        <f t="shared" si="39"/>
        <v>0</v>
      </c>
      <c r="BK16" s="3">
        <f t="shared" si="2"/>
        <v>0</v>
      </c>
      <c r="BL16" s="3">
        <f t="shared" si="3"/>
        <v>0</v>
      </c>
      <c r="BM16" s="3">
        <f t="shared" si="4"/>
        <v>0</v>
      </c>
      <c r="BN16" s="3">
        <f t="shared" si="5"/>
        <v>0</v>
      </c>
      <c r="BO16" s="3">
        <f t="shared" si="6"/>
        <v>0</v>
      </c>
      <c r="BP16" s="3">
        <f t="shared" si="7"/>
        <v>0</v>
      </c>
      <c r="BQ16" s="3">
        <f t="shared" si="8"/>
        <v>0</v>
      </c>
      <c r="BR16" s="3">
        <f t="shared" si="9"/>
        <v>0</v>
      </c>
      <c r="BS16" s="3">
        <f t="shared" si="10"/>
        <v>0</v>
      </c>
      <c r="BT16" s="3">
        <f t="shared" si="11"/>
        <v>0</v>
      </c>
      <c r="BU16" s="3">
        <f t="shared" si="12"/>
        <v>0</v>
      </c>
      <c r="BV16" s="3">
        <f t="shared" si="13"/>
        <v>0</v>
      </c>
      <c r="BW16" s="3">
        <f t="shared" si="14"/>
        <v>0</v>
      </c>
      <c r="BX16" s="3">
        <f t="shared" si="15"/>
        <v>0</v>
      </c>
      <c r="BY16" s="3">
        <f t="shared" si="16"/>
        <v>0</v>
      </c>
      <c r="BZ16" s="7"/>
      <c r="CA16" s="7"/>
      <c r="CB16" s="7"/>
    </row>
    <row r="17" spans="2:80" x14ac:dyDescent="0.25">
      <c r="B17" s="17" t="s">
        <v>83</v>
      </c>
      <c r="C17" s="17" t="s">
        <v>84</v>
      </c>
      <c r="D17" s="17" t="s">
        <v>81</v>
      </c>
      <c r="E17" s="18">
        <v>40544</v>
      </c>
      <c r="F17" s="18">
        <v>40908</v>
      </c>
      <c r="G17" s="18">
        <v>40908</v>
      </c>
      <c r="H17" s="17">
        <v>45</v>
      </c>
      <c r="I17" s="17" t="s">
        <v>3</v>
      </c>
      <c r="J17" s="17">
        <v>10</v>
      </c>
      <c r="K17" s="17">
        <v>8760</v>
      </c>
      <c r="L17" s="17">
        <v>4.21</v>
      </c>
      <c r="M17" s="17">
        <v>-368796</v>
      </c>
      <c r="N17" s="17">
        <v>2.4634127434802999</v>
      </c>
      <c r="O17" s="17">
        <v>0.163949221941462</v>
      </c>
      <c r="P17" s="19">
        <v>2.0913734099070799E-5</v>
      </c>
      <c r="Q17" s="17">
        <v>1.93997347192688E-3</v>
      </c>
      <c r="R17" s="19">
        <v>9.6674123218815498E-5</v>
      </c>
      <c r="S17" s="17">
        <v>-0.40494456057210299</v>
      </c>
      <c r="T17" s="17">
        <v>0.29556788590386501</v>
      </c>
      <c r="U17" s="17">
        <v>215794.95632887399</v>
      </c>
      <c r="V17" s="17">
        <v>215794.95632887399</v>
      </c>
      <c r="W17" s="17">
        <v>39420</v>
      </c>
      <c r="X17" s="17">
        <v>-329376</v>
      </c>
      <c r="Y17" s="17">
        <v>215794.95632887399</v>
      </c>
      <c r="Z17" s="17">
        <v>-113581.043671126</v>
      </c>
      <c r="AA17" s="17">
        <v>-329376</v>
      </c>
      <c r="AB17" s="17">
        <v>215794.95632887399</v>
      </c>
      <c r="AC17" s="20">
        <v>-113581.043671126</v>
      </c>
      <c r="AD17" s="11">
        <v>1.5032043678849501E-2</v>
      </c>
      <c r="AE17" s="11">
        <v>43.6942499819882</v>
      </c>
      <c r="AF17" s="9">
        <v>1</v>
      </c>
      <c r="AG17" s="9">
        <f t="shared" si="17"/>
        <v>87600</v>
      </c>
      <c r="AH17" s="9">
        <v>1</v>
      </c>
      <c r="AI17" s="9">
        <f t="shared" si="18"/>
        <v>4.21</v>
      </c>
      <c r="AJ17" s="9" t="str">
        <f t="shared" si="19"/>
        <v>Norway 1-ASIC/A YR-11 45.00 - Base</v>
      </c>
      <c r="AK17" s="9">
        <v>48.212135245901599</v>
      </c>
      <c r="AL17" s="9">
        <v>7320</v>
      </c>
      <c r="AM17" s="9">
        <v>1440</v>
      </c>
      <c r="AN17" s="9">
        <v>8760</v>
      </c>
      <c r="AO17" s="30">
        <f t="shared" si="20"/>
        <v>0.16438356164383561</v>
      </c>
      <c r="AP17" s="30">
        <f t="shared" si="21"/>
        <v>28.671645833333542</v>
      </c>
      <c r="AQ17" s="1" t="str">
        <f t="shared" si="0"/>
        <v>C</v>
      </c>
      <c r="AR17" s="1">
        <f t="shared" si="22"/>
        <v>2.463412743480637</v>
      </c>
      <c r="AS17" s="1">
        <f t="shared" si="23"/>
        <v>4.21</v>
      </c>
      <c r="AT17" s="1">
        <f t="shared" si="24"/>
        <v>0.16394922194144562</v>
      </c>
      <c r="AU17" s="1">
        <f t="shared" si="25"/>
        <v>2.0913734099108421E-5</v>
      </c>
      <c r="AV17" s="1">
        <f t="shared" si="26"/>
        <v>1.939973471930372E-3</v>
      </c>
      <c r="AW17" s="1">
        <f t="shared" si="27"/>
        <v>9.6674123218819984E-5</v>
      </c>
      <c r="AX17" s="1">
        <f t="shared" si="28"/>
        <v>-0.4049445605721595</v>
      </c>
      <c r="AY17" s="25">
        <f t="shared" si="29"/>
        <v>-368796</v>
      </c>
      <c r="AZ17" s="1">
        <f t="shared" si="30"/>
        <v>215794.95632890379</v>
      </c>
      <c r="BA17" s="1">
        <f t="shared" si="31"/>
        <v>215794.95632890379</v>
      </c>
      <c r="BB17" s="1">
        <f t="shared" si="32"/>
        <v>39420</v>
      </c>
      <c r="BC17" s="1">
        <f t="shared" si="33"/>
        <v>-329376</v>
      </c>
      <c r="BD17" s="1">
        <f t="shared" si="34"/>
        <v>215794.95632890379</v>
      </c>
      <c r="BE17" s="1">
        <f t="shared" si="35"/>
        <v>-113581.04367109621</v>
      </c>
      <c r="BF17" s="1">
        <f t="shared" si="36"/>
        <v>-329376</v>
      </c>
      <c r="BG17" s="1">
        <f t="shared" si="37"/>
        <v>215794.95632890379</v>
      </c>
      <c r="BH17" s="1">
        <f t="shared" si="38"/>
        <v>-113581.04367109621</v>
      </c>
      <c r="BI17" s="13">
        <f t="shared" si="1"/>
        <v>0</v>
      </c>
      <c r="BJ17" s="13">
        <f t="shared" si="39"/>
        <v>0</v>
      </c>
      <c r="BK17" s="3">
        <f t="shared" si="2"/>
        <v>0</v>
      </c>
      <c r="BL17" s="3">
        <f t="shared" si="3"/>
        <v>0</v>
      </c>
      <c r="BM17" s="3">
        <f t="shared" si="4"/>
        <v>0</v>
      </c>
      <c r="BN17" s="3">
        <f t="shared" si="5"/>
        <v>0</v>
      </c>
      <c r="BO17" s="3">
        <f t="shared" si="6"/>
        <v>0</v>
      </c>
      <c r="BP17" s="3">
        <f t="shared" si="7"/>
        <v>0</v>
      </c>
      <c r="BQ17" s="3">
        <f t="shared" si="8"/>
        <v>0</v>
      </c>
      <c r="BR17" s="3">
        <f t="shared" si="9"/>
        <v>0</v>
      </c>
      <c r="BS17" s="3">
        <f t="shared" si="10"/>
        <v>0</v>
      </c>
      <c r="BT17" s="3">
        <f t="shared" si="11"/>
        <v>0</v>
      </c>
      <c r="BU17" s="3">
        <f t="shared" si="12"/>
        <v>0</v>
      </c>
      <c r="BV17" s="3">
        <f t="shared" si="13"/>
        <v>0</v>
      </c>
      <c r="BW17" s="3">
        <f t="shared" si="14"/>
        <v>0</v>
      </c>
      <c r="BX17" s="3">
        <f t="shared" si="15"/>
        <v>0</v>
      </c>
      <c r="BY17" s="3">
        <f t="shared" si="16"/>
        <v>0</v>
      </c>
      <c r="BZ17" s="7"/>
      <c r="CA17" s="7"/>
      <c r="CB17" s="7"/>
    </row>
    <row r="18" spans="2:80" x14ac:dyDescent="0.25">
      <c r="B18" s="20" t="s">
        <v>83</v>
      </c>
      <c r="C18" s="20" t="s">
        <v>84</v>
      </c>
      <c r="D18" s="20" t="s">
        <v>82</v>
      </c>
      <c r="E18" s="18">
        <v>40544</v>
      </c>
      <c r="F18" s="18">
        <v>40908</v>
      </c>
      <c r="G18" s="18">
        <v>40908</v>
      </c>
      <c r="H18" s="17">
        <v>45</v>
      </c>
      <c r="I18" s="21" t="s">
        <v>3</v>
      </c>
      <c r="J18" s="17">
        <v>10</v>
      </c>
      <c r="K18" s="17">
        <v>8760</v>
      </c>
      <c r="L18" s="17">
        <v>4.21</v>
      </c>
      <c r="M18" s="17">
        <v>-368796</v>
      </c>
      <c r="N18" s="19">
        <v>3.8145235320752001E-5</v>
      </c>
      <c r="O18" s="19">
        <v>-2.8645934748299401E-5</v>
      </c>
      <c r="P18" s="19">
        <v>2.0913734099070799E-5</v>
      </c>
      <c r="Q18" s="17">
        <v>1.93997347192688E-3</v>
      </c>
      <c r="R18" s="19">
        <v>-4.7767111871767101E-6</v>
      </c>
      <c r="S18" s="19">
        <v>-6.2704496417674501E-6</v>
      </c>
      <c r="T18" s="17">
        <v>0.29556788590386501</v>
      </c>
      <c r="U18" s="17">
        <v>3.3415226140978702</v>
      </c>
      <c r="V18" s="17">
        <v>3.3415226140978702</v>
      </c>
      <c r="W18" s="17">
        <v>39420</v>
      </c>
      <c r="X18" s="17">
        <v>-329376</v>
      </c>
      <c r="Y18" s="17">
        <v>3.3415226140978702</v>
      </c>
      <c r="Z18" s="17">
        <v>-329372.65847738599</v>
      </c>
      <c r="AA18" s="17">
        <v>-329376</v>
      </c>
      <c r="AB18" s="17">
        <v>3.3415226140978702</v>
      </c>
      <c r="AC18" s="17">
        <v>-329372.65847738599</v>
      </c>
      <c r="AD18" s="9">
        <v>1.5032043678849501E-2</v>
      </c>
      <c r="AE18" s="9">
        <v>43.6942499819882</v>
      </c>
      <c r="AF18" s="9">
        <v>1</v>
      </c>
      <c r="AG18" s="9">
        <f t="shared" si="17"/>
        <v>87600</v>
      </c>
      <c r="AH18" s="9">
        <v>1</v>
      </c>
      <c r="AI18" s="9">
        <f t="shared" si="18"/>
        <v>4.21</v>
      </c>
      <c r="AJ18" s="9" t="str">
        <f t="shared" si="19"/>
        <v>Norway 1-ASIP/A YR-11 45.00 - Base</v>
      </c>
      <c r="AK18" s="9">
        <v>48.212135245901599</v>
      </c>
      <c r="AL18" s="9">
        <v>7320</v>
      </c>
      <c r="AM18" s="9">
        <v>1440</v>
      </c>
      <c r="AN18" s="9">
        <v>8760</v>
      </c>
      <c r="AO18" s="30">
        <f t="shared" si="20"/>
        <v>0.16438356164383561</v>
      </c>
      <c r="AP18" s="30">
        <f t="shared" si="21"/>
        <v>28.671645833333542</v>
      </c>
      <c r="AQ18" s="1" t="str">
        <f t="shared" si="0"/>
        <v>P</v>
      </c>
      <c r="AR18" s="1">
        <f t="shared" si="22"/>
        <v>3.8145235942067419E-5</v>
      </c>
      <c r="AS18" s="1">
        <f t="shared" si="23"/>
        <v>4.21</v>
      </c>
      <c r="AT18" s="1">
        <f t="shared" si="24"/>
        <v>-2.8645934764225979E-5</v>
      </c>
      <c r="AU18" s="1">
        <f t="shared" si="25"/>
        <v>2.0913734099108421E-5</v>
      </c>
      <c r="AV18" s="1">
        <f t="shared" si="26"/>
        <v>1.939973471930372E-3</v>
      </c>
      <c r="AW18" s="1">
        <f t="shared" si="27"/>
        <v>-4.7767111871597356E-6</v>
      </c>
      <c r="AX18" s="1">
        <f t="shared" si="28"/>
        <v>-6.2704497439014936E-6</v>
      </c>
      <c r="AY18" s="25">
        <f t="shared" si="29"/>
        <v>-368796</v>
      </c>
      <c r="AZ18" s="1">
        <f t="shared" si="30"/>
        <v>3.3415226685251058</v>
      </c>
      <c r="BA18" s="1">
        <f t="shared" si="31"/>
        <v>3.3415226685251058</v>
      </c>
      <c r="BB18" s="1">
        <f t="shared" si="32"/>
        <v>39420</v>
      </c>
      <c r="BC18" s="1">
        <f t="shared" si="33"/>
        <v>-329376</v>
      </c>
      <c r="BD18" s="1">
        <f t="shared" si="34"/>
        <v>3.3415226685251058</v>
      </c>
      <c r="BE18" s="1">
        <f t="shared" si="35"/>
        <v>-329372.65847733145</v>
      </c>
      <c r="BF18" s="1">
        <f t="shared" si="36"/>
        <v>-329376</v>
      </c>
      <c r="BG18" s="1">
        <f t="shared" si="37"/>
        <v>3.3415226685251058</v>
      </c>
      <c r="BH18" s="1">
        <f t="shared" si="38"/>
        <v>-329372.65847733145</v>
      </c>
      <c r="BI18" s="13">
        <f t="shared" si="1"/>
        <v>-1.6288152382415433E-8</v>
      </c>
      <c r="BJ18" s="13">
        <f t="shared" si="39"/>
        <v>0</v>
      </c>
      <c r="BK18" s="3">
        <f t="shared" si="2"/>
        <v>0</v>
      </c>
      <c r="BL18" s="3">
        <f t="shared" si="3"/>
        <v>1.6288154158772272E-8</v>
      </c>
      <c r="BM18" s="3">
        <f t="shared" si="4"/>
        <v>1.6288154158772272E-8</v>
      </c>
      <c r="BN18" s="3">
        <f t="shared" si="5"/>
        <v>0</v>
      </c>
      <c r="BO18" s="3">
        <f t="shared" si="6"/>
        <v>0</v>
      </c>
      <c r="BP18" s="3">
        <f t="shared" si="7"/>
        <v>-1.6288153936727667E-8</v>
      </c>
      <c r="BQ18" s="3">
        <f t="shared" si="8"/>
        <v>0</v>
      </c>
      <c r="BR18" s="3">
        <f t="shared" si="9"/>
        <v>0</v>
      </c>
      <c r="BS18" s="3">
        <f t="shared" si="10"/>
        <v>-1.6288153936727667E-8</v>
      </c>
      <c r="BT18" s="3">
        <f t="shared" si="11"/>
        <v>0</v>
      </c>
      <c r="BU18" s="3">
        <f t="shared" si="12"/>
        <v>0</v>
      </c>
      <c r="BV18" s="3">
        <f t="shared" si="13"/>
        <v>0</v>
      </c>
      <c r="BW18" s="3">
        <f t="shared" si="14"/>
        <v>0</v>
      </c>
      <c r="BX18" s="3">
        <f t="shared" si="15"/>
        <v>-1.6288152826504643E-8</v>
      </c>
      <c r="BY18" s="3">
        <f t="shared" si="16"/>
        <v>0</v>
      </c>
      <c r="BZ18" s="7"/>
      <c r="CA18" s="7"/>
      <c r="CB18" s="7"/>
    </row>
    <row r="19" spans="2:80" x14ac:dyDescent="0.25">
      <c r="B19" s="22" t="s">
        <v>77</v>
      </c>
      <c r="C19" s="22" t="s">
        <v>85</v>
      </c>
      <c r="D19" s="22" t="s">
        <v>86</v>
      </c>
      <c r="E19" s="23">
        <v>40817</v>
      </c>
      <c r="F19" s="23">
        <v>40908</v>
      </c>
      <c r="G19" s="23">
        <v>40908</v>
      </c>
      <c r="H19" s="22">
        <v>45</v>
      </c>
      <c r="I19" s="22" t="s">
        <v>3</v>
      </c>
      <c r="J19" s="22">
        <v>10</v>
      </c>
      <c r="K19" s="22">
        <v>780</v>
      </c>
      <c r="L19" s="22">
        <v>4.21</v>
      </c>
      <c r="M19" s="22">
        <v>-32838</v>
      </c>
      <c r="N19" s="22">
        <v>3.87390629621384</v>
      </c>
      <c r="O19" s="22">
        <v>0.37791097957285202</v>
      </c>
      <c r="P19" s="31">
        <v>1.8513090145467301E-2</v>
      </c>
      <c r="Q19" s="22">
        <v>5.4558961373208197</v>
      </c>
      <c r="R19" s="22">
        <v>-3.00087091669115E-2</v>
      </c>
      <c r="S19" s="22">
        <v>-0.63680651444611103</v>
      </c>
      <c r="T19" s="22">
        <v>0.66353721104510899</v>
      </c>
      <c r="U19" s="22">
        <v>30216.469110467999</v>
      </c>
      <c r="V19" s="22">
        <v>30216.469110467999</v>
      </c>
      <c r="W19" s="22">
        <v>3510</v>
      </c>
      <c r="X19" s="22">
        <v>-29328</v>
      </c>
      <c r="Y19" s="22">
        <v>30216.469110467999</v>
      </c>
      <c r="Z19" s="22">
        <v>888.46911046797698</v>
      </c>
      <c r="AA19" s="22">
        <v>-29328</v>
      </c>
      <c r="AB19" s="22">
        <v>30216.469110467999</v>
      </c>
      <c r="AC19" s="22">
        <v>888.46911046797698</v>
      </c>
      <c r="AD19" s="9">
        <v>1.5032043678849451E-2</v>
      </c>
      <c r="AE19" s="9">
        <v>51.9794589528789</v>
      </c>
      <c r="AF19" s="9">
        <v>1</v>
      </c>
      <c r="AG19" s="9">
        <f t="shared" si="17"/>
        <v>7800</v>
      </c>
      <c r="AH19" s="9">
        <v>1</v>
      </c>
      <c r="AI19" s="9">
        <f t="shared" si="18"/>
        <v>4.21</v>
      </c>
      <c r="AJ19" s="9" t="str">
        <f t="shared" si="19"/>
        <v>NordPool System Price-ASIC/A Q4-11 45.00 - Peak</v>
      </c>
      <c r="AK19" s="9">
        <v>32.68</v>
      </c>
      <c r="AL19" s="9">
        <v>264</v>
      </c>
      <c r="AM19" s="9">
        <v>516</v>
      </c>
      <c r="AN19" s="9">
        <v>780</v>
      </c>
      <c r="AO19" s="30">
        <f t="shared" si="20"/>
        <v>0.66153846153846152</v>
      </c>
      <c r="AP19" s="30">
        <f t="shared" si="21"/>
        <v>51.303255813953484</v>
      </c>
      <c r="AQ19" s="1" t="str">
        <f t="shared" si="0"/>
        <v>C</v>
      </c>
      <c r="AR19" s="1">
        <f t="shared" si="22"/>
        <v>3.8739062962273936</v>
      </c>
      <c r="AS19" s="1">
        <f t="shared" si="23"/>
        <v>4.21</v>
      </c>
      <c r="AT19" s="1">
        <f t="shared" si="24"/>
        <v>0.37791097957304509</v>
      </c>
      <c r="AU19" s="1">
        <f t="shared" si="25"/>
        <v>1.8513090145467256E-2</v>
      </c>
      <c r="AV19" s="1">
        <f t="shared" si="26"/>
        <v>5.4558961373208223</v>
      </c>
      <c r="AW19" s="1">
        <f t="shared" si="27"/>
        <v>-3.0008709166910955E-2</v>
      </c>
      <c r="AX19" s="1">
        <f t="shared" si="28"/>
        <v>-0.63680651444833858</v>
      </c>
      <c r="AY19" s="25">
        <f t="shared" si="29"/>
        <v>-32838</v>
      </c>
      <c r="AZ19" s="1">
        <f t="shared" si="30"/>
        <v>30216.469110573671</v>
      </c>
      <c r="BA19" s="1">
        <f t="shared" si="31"/>
        <v>30216.469110573671</v>
      </c>
      <c r="BB19" s="1">
        <f t="shared" si="32"/>
        <v>3510</v>
      </c>
      <c r="BC19" s="1">
        <f>AY19+BB19</f>
        <v>-29328</v>
      </c>
      <c r="BD19" s="1">
        <f>BA19</f>
        <v>30216.469110573671</v>
      </c>
      <c r="BE19" s="1">
        <f>BC19+BD19</f>
        <v>888.46911057367106</v>
      </c>
      <c r="BF19" s="1">
        <f>BB19+AY19</f>
        <v>-29328</v>
      </c>
      <c r="BG19" s="1">
        <f>BA19</f>
        <v>30216.469110573671</v>
      </c>
      <c r="BH19" s="1">
        <f>BF19+BG19</f>
        <v>888.46911057367106</v>
      </c>
      <c r="BI19" s="13">
        <f t="shared" si="1"/>
        <v>0</v>
      </c>
      <c r="BJ19" s="13">
        <f t="shared" si="39"/>
        <v>0</v>
      </c>
      <c r="BK19" s="3">
        <f t="shared" si="2"/>
        <v>0</v>
      </c>
      <c r="BL19" s="3">
        <f t="shared" si="3"/>
        <v>0</v>
      </c>
      <c r="BM19" s="3">
        <f t="shared" si="4"/>
        <v>0</v>
      </c>
      <c r="BN19" s="3">
        <f t="shared" si="5"/>
        <v>0</v>
      </c>
      <c r="BO19" s="3">
        <f t="shared" si="6"/>
        <v>0</v>
      </c>
      <c r="BP19" s="3">
        <f t="shared" si="7"/>
        <v>0</v>
      </c>
      <c r="BQ19" s="3">
        <f t="shared" si="8"/>
        <v>0</v>
      </c>
      <c r="BR19" s="3">
        <f t="shared" si="9"/>
        <v>0</v>
      </c>
      <c r="BS19" s="3">
        <f t="shared" si="10"/>
        <v>0</v>
      </c>
      <c r="BT19" s="3">
        <f t="shared" si="11"/>
        <v>0</v>
      </c>
      <c r="BU19" s="3">
        <f t="shared" si="12"/>
        <v>0</v>
      </c>
      <c r="BV19" s="3">
        <f t="shared" si="13"/>
        <v>0</v>
      </c>
      <c r="BW19" s="3">
        <f t="shared" si="14"/>
        <v>0</v>
      </c>
      <c r="BX19" s="3">
        <f t="shared" si="15"/>
        <v>0</v>
      </c>
      <c r="BY19" s="3">
        <f t="shared" si="16"/>
        <v>0</v>
      </c>
    </row>
    <row r="20" spans="2:80" s="7" customFormat="1" x14ac:dyDescent="0.25">
      <c r="B20" s="22" t="s">
        <v>77</v>
      </c>
      <c r="C20" s="22" t="s">
        <v>85</v>
      </c>
      <c r="D20" s="22" t="s">
        <v>87</v>
      </c>
      <c r="E20" s="23">
        <v>40817</v>
      </c>
      <c r="F20" s="23">
        <v>40908</v>
      </c>
      <c r="G20" s="23">
        <v>40908</v>
      </c>
      <c r="H20" s="22">
        <v>45</v>
      </c>
      <c r="I20" s="22" t="s">
        <v>3</v>
      </c>
      <c r="J20" s="22">
        <v>10</v>
      </c>
      <c r="K20" s="22">
        <v>780</v>
      </c>
      <c r="L20" s="22">
        <v>4.21</v>
      </c>
      <c r="M20" s="22">
        <v>-32838</v>
      </c>
      <c r="N20" s="22">
        <v>3.4276759200296198</v>
      </c>
      <c r="O20" s="22">
        <v>-0.28199482461102299</v>
      </c>
      <c r="P20" s="22">
        <v>1.8513090145467301E-2</v>
      </c>
      <c r="Q20" s="22">
        <v>5.4558961373208197</v>
      </c>
      <c r="R20" s="22">
        <v>-3.0027086576516E-2</v>
      </c>
      <c r="S20" s="22">
        <v>-0.56345357589528</v>
      </c>
      <c r="T20" s="22">
        <v>0.66353721104510899</v>
      </c>
      <c r="U20" s="22">
        <v>26735.8721762311</v>
      </c>
      <c r="V20" s="22">
        <v>26735.8721762311</v>
      </c>
      <c r="W20" s="22">
        <v>3510</v>
      </c>
      <c r="X20" s="22">
        <v>-29328</v>
      </c>
      <c r="Y20" s="22">
        <v>26735.8721762311</v>
      </c>
      <c r="Z20" s="22">
        <v>-2592.1278237689398</v>
      </c>
      <c r="AA20" s="22">
        <v>-29328</v>
      </c>
      <c r="AB20" s="22">
        <v>26735.8721762311</v>
      </c>
      <c r="AC20" s="22">
        <v>-2592.1278237689398</v>
      </c>
      <c r="AD20" s="9">
        <v>1.5032043678849451E-2</v>
      </c>
      <c r="AE20" s="9">
        <v>51.9794589528789</v>
      </c>
      <c r="AF20" s="9">
        <v>1</v>
      </c>
      <c r="AG20" s="9">
        <f t="shared" si="17"/>
        <v>7800</v>
      </c>
      <c r="AH20" s="9">
        <v>1</v>
      </c>
      <c r="AI20" s="9">
        <f t="shared" si="18"/>
        <v>4.21</v>
      </c>
      <c r="AJ20" s="9" t="str">
        <f t="shared" si="19"/>
        <v>NordPool System Price-ASIP/A Q4-11 45.00 - Peak</v>
      </c>
      <c r="AK20" s="9">
        <v>32.68</v>
      </c>
      <c r="AL20" s="9">
        <v>264</v>
      </c>
      <c r="AM20" s="9">
        <v>516</v>
      </c>
      <c r="AN20" s="9">
        <v>780</v>
      </c>
      <c r="AO20" s="30">
        <f t="shared" si="20"/>
        <v>0.66153846153846152</v>
      </c>
      <c r="AP20" s="30">
        <f t="shared" si="21"/>
        <v>51.303255813953484</v>
      </c>
      <c r="AQ20" s="1" t="str">
        <f t="shared" si="0"/>
        <v>P</v>
      </c>
      <c r="AR20" s="1">
        <f t="shared" si="22"/>
        <v>3.4276759200431588</v>
      </c>
      <c r="AS20" s="1">
        <f t="shared" si="23"/>
        <v>4.21</v>
      </c>
      <c r="AT20" s="1">
        <f t="shared" si="24"/>
        <v>-0.2819948246108302</v>
      </c>
      <c r="AU20" s="1">
        <f t="shared" si="25"/>
        <v>1.8513090145467256E-2</v>
      </c>
      <c r="AV20" s="1">
        <f t="shared" si="26"/>
        <v>5.4558961373208223</v>
      </c>
      <c r="AW20" s="1">
        <f t="shared" si="27"/>
        <v>-3.0027086576515424E-2</v>
      </c>
      <c r="AX20" s="1">
        <f t="shared" si="28"/>
        <v>-0.56345357589750555</v>
      </c>
      <c r="AY20" s="25">
        <f t="shared" si="29"/>
        <v>-32838</v>
      </c>
      <c r="AZ20" s="1">
        <f t="shared" si="30"/>
        <v>26735.872176336637</v>
      </c>
      <c r="BA20" s="1">
        <f t="shared" si="31"/>
        <v>26735.872176336637</v>
      </c>
      <c r="BB20" s="1">
        <f t="shared" si="32"/>
        <v>3510</v>
      </c>
      <c r="BC20" s="1">
        <f t="shared" ref="BC20:BC24" si="40">AY20+BB20</f>
        <v>-29328</v>
      </c>
      <c r="BD20" s="1">
        <f t="shared" ref="BD20:BD24" si="41">BA20</f>
        <v>26735.872176336637</v>
      </c>
      <c r="BE20" s="1">
        <f t="shared" ref="BE20:BE24" si="42">BC20+BD20</f>
        <v>-2592.1278236633625</v>
      </c>
      <c r="BF20" s="1">
        <f t="shared" ref="BF20:BF24" si="43">BB20+AY20</f>
        <v>-29328</v>
      </c>
      <c r="BG20" s="1">
        <f t="shared" ref="BG20:BG24" si="44">BA20</f>
        <v>26735.872176336637</v>
      </c>
      <c r="BH20" s="1">
        <f t="shared" ref="BH20:BH24" si="45">BF20+BG20</f>
        <v>-2592.1278236633625</v>
      </c>
      <c r="BI20" s="13">
        <f t="shared" si="1"/>
        <v>0</v>
      </c>
      <c r="BJ20" s="13">
        <f t="shared" si="39"/>
        <v>0</v>
      </c>
      <c r="BK20" s="3">
        <f t="shared" si="2"/>
        <v>0</v>
      </c>
      <c r="BL20" s="3">
        <f t="shared" si="3"/>
        <v>0</v>
      </c>
      <c r="BM20" s="3">
        <f t="shared" si="4"/>
        <v>0</v>
      </c>
      <c r="BN20" s="3">
        <f t="shared" si="5"/>
        <v>0</v>
      </c>
      <c r="BO20" s="3">
        <f t="shared" si="6"/>
        <v>0</v>
      </c>
      <c r="BP20" s="3">
        <f t="shared" si="7"/>
        <v>0</v>
      </c>
      <c r="BQ20" s="3">
        <f t="shared" si="8"/>
        <v>0</v>
      </c>
      <c r="BR20" s="3">
        <f t="shared" si="9"/>
        <v>0</v>
      </c>
      <c r="BS20" s="3">
        <f t="shared" si="10"/>
        <v>0</v>
      </c>
      <c r="BT20" s="3">
        <f t="shared" si="11"/>
        <v>0</v>
      </c>
      <c r="BU20" s="3">
        <f t="shared" si="12"/>
        <v>0</v>
      </c>
      <c r="BV20" s="3">
        <f t="shared" si="13"/>
        <v>0</v>
      </c>
      <c r="BW20" s="3">
        <f t="shared" si="14"/>
        <v>0</v>
      </c>
      <c r="BX20" s="3">
        <f t="shared" si="15"/>
        <v>0</v>
      </c>
      <c r="BY20" s="3">
        <f t="shared" si="16"/>
        <v>0</v>
      </c>
    </row>
    <row r="21" spans="2:80" s="7" customFormat="1" x14ac:dyDescent="0.25">
      <c r="B21" s="22" t="s">
        <v>77</v>
      </c>
      <c r="C21" s="22" t="s">
        <v>85</v>
      </c>
      <c r="D21" s="22" t="s">
        <v>88</v>
      </c>
      <c r="E21" s="23">
        <v>40817</v>
      </c>
      <c r="F21" s="23">
        <v>40908</v>
      </c>
      <c r="G21" s="23">
        <v>40908</v>
      </c>
      <c r="H21" s="22">
        <v>45</v>
      </c>
      <c r="I21" s="22" t="s">
        <v>3</v>
      </c>
      <c r="J21" s="22">
        <v>10</v>
      </c>
      <c r="K21" s="22">
        <v>2209</v>
      </c>
      <c r="L21" s="22">
        <v>4.21</v>
      </c>
      <c r="M21" s="22">
        <v>-92998.9</v>
      </c>
      <c r="N21" s="22">
        <v>0.68177272420410195</v>
      </c>
      <c r="O21" s="22">
        <v>0.14540515555763001</v>
      </c>
      <c r="P21" s="22">
        <v>2.17924418076916E-2</v>
      </c>
      <c r="Q21" s="22">
        <v>3.5903876587782202</v>
      </c>
      <c r="R21" s="22">
        <v>-1.4413937961247901E-2</v>
      </c>
      <c r="S21" s="22">
        <v>-0.112072228636291</v>
      </c>
      <c r="T21" s="22">
        <v>0.48268935539166202</v>
      </c>
      <c r="U21" s="22">
        <v>15060.3594776686</v>
      </c>
      <c r="V21" s="22">
        <v>15060.3594776686</v>
      </c>
      <c r="W21" s="22">
        <v>9940.5</v>
      </c>
      <c r="X21" s="22">
        <v>-83058.399999999994</v>
      </c>
      <c r="Y21" s="22">
        <v>15060.3594776686</v>
      </c>
      <c r="Z21" s="22">
        <v>-67998.040522331401</v>
      </c>
      <c r="AA21" s="22">
        <v>-83058.399999999994</v>
      </c>
      <c r="AB21" s="22">
        <v>15060.3594776686</v>
      </c>
      <c r="AC21" s="22">
        <v>-67998.040522331401</v>
      </c>
      <c r="AD21" s="9">
        <v>1.5032043678849451E-2</v>
      </c>
      <c r="AE21" s="9">
        <v>45.567444154755101</v>
      </c>
      <c r="AF21" s="9">
        <v>1</v>
      </c>
      <c r="AG21" s="9">
        <f t="shared" si="17"/>
        <v>22090</v>
      </c>
      <c r="AH21" s="9">
        <v>1</v>
      </c>
      <c r="AI21" s="9">
        <f t="shared" si="18"/>
        <v>4.21</v>
      </c>
      <c r="AJ21" s="9" t="str">
        <f t="shared" si="19"/>
        <v>NordPool System Price-ASIC/A Q4-11 45.00 - Base</v>
      </c>
      <c r="AK21" s="9">
        <v>28.338244473342002</v>
      </c>
      <c r="AL21" s="9">
        <v>769</v>
      </c>
      <c r="AM21" s="9">
        <v>1440</v>
      </c>
      <c r="AN21" s="9">
        <v>2209</v>
      </c>
      <c r="AO21" s="30">
        <f t="shared" si="20"/>
        <v>0.65187867813490263</v>
      </c>
      <c r="AP21" s="30">
        <f t="shared" si="21"/>
        <v>53.897840277777775</v>
      </c>
      <c r="AQ21" s="1" t="str">
        <f t="shared" si="0"/>
        <v>C</v>
      </c>
      <c r="AR21" s="1">
        <f t="shared" si="22"/>
        <v>0.68177272438753456</v>
      </c>
      <c r="AS21" s="1">
        <f t="shared" si="23"/>
        <v>4.21</v>
      </c>
      <c r="AT21" s="1">
        <f t="shared" si="24"/>
        <v>0.14540515555597758</v>
      </c>
      <c r="AU21" s="1">
        <f t="shared" si="25"/>
        <v>2.1792441807691677E-2</v>
      </c>
      <c r="AV21" s="1">
        <f t="shared" si="26"/>
        <v>3.5903876587782384</v>
      </c>
      <c r="AW21" s="1">
        <f t="shared" si="27"/>
        <v>-1.4413937961240389E-2</v>
      </c>
      <c r="AX21" s="1">
        <f t="shared" si="28"/>
        <v>-0.11207222866644402</v>
      </c>
      <c r="AY21" s="25">
        <f t="shared" si="29"/>
        <v>-92998.9</v>
      </c>
      <c r="AZ21" s="1">
        <f t="shared" si="30"/>
        <v>15060.359481720638</v>
      </c>
      <c r="BA21" s="1">
        <f t="shared" si="31"/>
        <v>15060.359481720638</v>
      </c>
      <c r="BB21" s="1">
        <f t="shared" si="32"/>
        <v>9940.5</v>
      </c>
      <c r="BC21" s="1">
        <f t="shared" si="40"/>
        <v>-83058.399999999994</v>
      </c>
      <c r="BD21" s="1">
        <f t="shared" si="41"/>
        <v>15060.359481720638</v>
      </c>
      <c r="BE21" s="1">
        <f t="shared" si="42"/>
        <v>-67998.040518279362</v>
      </c>
      <c r="BF21" s="1">
        <f t="shared" si="43"/>
        <v>-83058.399999999994</v>
      </c>
      <c r="BG21" s="1">
        <f t="shared" si="44"/>
        <v>15060.359481720638</v>
      </c>
      <c r="BH21" s="1">
        <f t="shared" si="45"/>
        <v>-67998.040518279362</v>
      </c>
      <c r="BI21" s="13">
        <f t="shared" si="1"/>
        <v>0</v>
      </c>
      <c r="BJ21" s="13">
        <f t="shared" si="39"/>
        <v>0</v>
      </c>
      <c r="BK21" s="3">
        <f t="shared" si="2"/>
        <v>0</v>
      </c>
      <c r="BL21" s="3">
        <f t="shared" si="3"/>
        <v>0</v>
      </c>
      <c r="BM21" s="3">
        <f t="shared" si="4"/>
        <v>0</v>
      </c>
      <c r="BN21" s="3">
        <f t="shared" si="5"/>
        <v>0</v>
      </c>
      <c r="BO21" s="3">
        <f t="shared" si="6"/>
        <v>0</v>
      </c>
      <c r="BP21" s="3">
        <f t="shared" si="7"/>
        <v>0</v>
      </c>
      <c r="BQ21" s="3">
        <f t="shared" si="8"/>
        <v>0</v>
      </c>
      <c r="BR21" s="3">
        <f t="shared" si="9"/>
        <v>0</v>
      </c>
      <c r="BS21" s="3">
        <f t="shared" si="10"/>
        <v>0</v>
      </c>
      <c r="BT21" s="3">
        <f t="shared" si="11"/>
        <v>0</v>
      </c>
      <c r="BU21" s="3">
        <f t="shared" si="12"/>
        <v>0</v>
      </c>
      <c r="BV21" s="3">
        <f t="shared" si="13"/>
        <v>0</v>
      </c>
      <c r="BW21" s="3">
        <f t="shared" si="14"/>
        <v>0</v>
      </c>
      <c r="BX21" s="3">
        <f t="shared" si="15"/>
        <v>0</v>
      </c>
      <c r="BY21" s="3">
        <f t="shared" si="16"/>
        <v>0</v>
      </c>
    </row>
    <row r="22" spans="2:80" s="7" customFormat="1" x14ac:dyDescent="0.25">
      <c r="B22" s="22" t="s">
        <v>77</v>
      </c>
      <c r="C22" s="22" t="s">
        <v>85</v>
      </c>
      <c r="D22" s="22" t="s">
        <v>89</v>
      </c>
      <c r="E22" s="23">
        <v>40817</v>
      </c>
      <c r="F22" s="23">
        <v>40908</v>
      </c>
      <c r="G22" s="23">
        <v>40908</v>
      </c>
      <c r="H22" s="22">
        <v>45</v>
      </c>
      <c r="I22" s="22" t="s">
        <v>3</v>
      </c>
      <c r="J22" s="22">
        <v>10</v>
      </c>
      <c r="K22" s="22">
        <v>2209</v>
      </c>
      <c r="L22" s="22">
        <v>4.21</v>
      </c>
      <c r="M22" s="22">
        <v>-92998.9</v>
      </c>
      <c r="N22" s="22">
        <v>6.0987782518643101</v>
      </c>
      <c r="O22" s="22">
        <v>-0.50486470528238703</v>
      </c>
      <c r="P22" s="31">
        <v>2.17924418076916E-2</v>
      </c>
      <c r="Q22" s="22">
        <v>3.5903876587782202</v>
      </c>
      <c r="R22" s="31">
        <v>-1.41908457319318E-2</v>
      </c>
      <c r="S22" s="31">
        <v>-1.00253889071742</v>
      </c>
      <c r="T22" s="22">
        <v>0.48268935539166202</v>
      </c>
      <c r="U22" s="22">
        <v>134722.01158368299</v>
      </c>
      <c r="V22" s="22">
        <v>134722.01158368299</v>
      </c>
      <c r="W22" s="22">
        <v>9940.5</v>
      </c>
      <c r="X22" s="22">
        <v>-83058.399999999994</v>
      </c>
      <c r="Y22" s="22">
        <v>134722.01158368299</v>
      </c>
      <c r="Z22" s="22">
        <v>51663.611583682497</v>
      </c>
      <c r="AA22" s="22">
        <v>-83058.399999999994</v>
      </c>
      <c r="AB22" s="22">
        <v>134722.01158368299</v>
      </c>
      <c r="AC22" s="22">
        <v>51663.611583682497</v>
      </c>
      <c r="AD22" s="9">
        <v>1.5032043678849501E-2</v>
      </c>
      <c r="AE22" s="9">
        <v>45.567444154755101</v>
      </c>
      <c r="AF22" s="9">
        <v>1</v>
      </c>
      <c r="AG22" s="9">
        <f t="shared" si="17"/>
        <v>22090</v>
      </c>
      <c r="AH22" s="9">
        <v>1</v>
      </c>
      <c r="AI22" s="9">
        <f t="shared" si="18"/>
        <v>4.21</v>
      </c>
      <c r="AJ22" s="9" t="str">
        <f t="shared" si="19"/>
        <v>NordPool System Price-ASIP/A Q4-11 45.00 - Base</v>
      </c>
      <c r="AK22" s="9">
        <v>28.338244473342002</v>
      </c>
      <c r="AL22" s="9">
        <v>769</v>
      </c>
      <c r="AM22" s="9">
        <v>1440</v>
      </c>
      <c r="AN22" s="9">
        <v>2209</v>
      </c>
      <c r="AO22" s="30">
        <f t="shared" si="20"/>
        <v>0.65187867813490263</v>
      </c>
      <c r="AP22" s="30">
        <f t="shared" si="21"/>
        <v>53.897840277777775</v>
      </c>
      <c r="AQ22" s="1" t="str">
        <f t="shared" si="0"/>
        <v>P</v>
      </c>
      <c r="AR22" s="1">
        <f t="shared" si="22"/>
        <v>6.0987782520477065</v>
      </c>
      <c r="AS22" s="1">
        <f t="shared" si="23"/>
        <v>4.21</v>
      </c>
      <c r="AT22" s="1">
        <f t="shared" si="24"/>
        <v>-0.50486470528403982</v>
      </c>
      <c r="AU22" s="1">
        <f t="shared" si="25"/>
        <v>2.1792441807691677E-2</v>
      </c>
      <c r="AV22" s="1">
        <f t="shared" si="26"/>
        <v>3.5903876587782384</v>
      </c>
      <c r="AW22" s="1">
        <f t="shared" si="27"/>
        <v>-1.4190845731924343E-2</v>
      </c>
      <c r="AX22" s="1">
        <f t="shared" si="28"/>
        <v>-1.0025388907475681</v>
      </c>
      <c r="AY22" s="25">
        <f t="shared" si="29"/>
        <v>-92998.9</v>
      </c>
      <c r="AZ22" s="1">
        <f t="shared" si="30"/>
        <v>134722.01158773384</v>
      </c>
      <c r="BA22" s="1">
        <f t="shared" si="31"/>
        <v>134722.01158773384</v>
      </c>
      <c r="BB22" s="1">
        <f t="shared" si="32"/>
        <v>9940.5</v>
      </c>
      <c r="BC22" s="1">
        <f t="shared" si="40"/>
        <v>-83058.399999999994</v>
      </c>
      <c r="BD22" s="1">
        <f t="shared" si="41"/>
        <v>134722.01158773384</v>
      </c>
      <c r="BE22" s="1">
        <f t="shared" si="42"/>
        <v>51663.611587733845</v>
      </c>
      <c r="BF22" s="1">
        <f t="shared" si="43"/>
        <v>-83058.399999999994</v>
      </c>
      <c r="BG22" s="1">
        <f t="shared" si="44"/>
        <v>134722.01158773384</v>
      </c>
      <c r="BH22" s="1">
        <f t="shared" si="45"/>
        <v>51663.611587733845</v>
      </c>
      <c r="BI22" s="13">
        <f t="shared" si="1"/>
        <v>0</v>
      </c>
      <c r="BJ22" s="13">
        <f t="shared" si="39"/>
        <v>0</v>
      </c>
      <c r="BK22" s="3">
        <f t="shared" si="2"/>
        <v>0</v>
      </c>
      <c r="BL22" s="3">
        <f t="shared" si="3"/>
        <v>0</v>
      </c>
      <c r="BM22" s="3">
        <f t="shared" si="4"/>
        <v>0</v>
      </c>
      <c r="BN22" s="3">
        <f t="shared" si="5"/>
        <v>0</v>
      </c>
      <c r="BO22" s="3">
        <f t="shared" si="6"/>
        <v>0</v>
      </c>
      <c r="BP22" s="3">
        <f t="shared" si="7"/>
        <v>0</v>
      </c>
      <c r="BQ22" s="3">
        <f t="shared" si="8"/>
        <v>0</v>
      </c>
      <c r="BR22" s="3">
        <f t="shared" si="9"/>
        <v>0</v>
      </c>
      <c r="BS22" s="3">
        <f t="shared" si="10"/>
        <v>0</v>
      </c>
      <c r="BT22" s="3">
        <f t="shared" si="11"/>
        <v>0</v>
      </c>
      <c r="BU22" s="3">
        <f t="shared" si="12"/>
        <v>0</v>
      </c>
      <c r="BV22" s="3">
        <f t="shared" si="13"/>
        <v>0</v>
      </c>
      <c r="BW22" s="3">
        <f t="shared" si="14"/>
        <v>0</v>
      </c>
      <c r="BX22" s="3">
        <f t="shared" si="15"/>
        <v>0</v>
      </c>
      <c r="BY22" s="3">
        <f t="shared" si="16"/>
        <v>0</v>
      </c>
    </row>
    <row r="23" spans="2:80" s="7" customFormat="1" x14ac:dyDescent="0.25">
      <c r="B23" s="22" t="s">
        <v>83</v>
      </c>
      <c r="C23" s="22" t="s">
        <v>90</v>
      </c>
      <c r="D23" s="22" t="s">
        <v>88</v>
      </c>
      <c r="E23" s="23">
        <v>40817</v>
      </c>
      <c r="F23" s="23">
        <v>40908</v>
      </c>
      <c r="G23" s="23">
        <v>40908</v>
      </c>
      <c r="H23" s="22">
        <v>45</v>
      </c>
      <c r="I23" s="22" t="s">
        <v>3</v>
      </c>
      <c r="J23" s="22">
        <v>10</v>
      </c>
      <c r="K23" s="22">
        <v>2209</v>
      </c>
      <c r="L23" s="22">
        <v>4.21</v>
      </c>
      <c r="M23" s="22">
        <v>-92998.9</v>
      </c>
      <c r="N23" s="22">
        <v>4.1173638476333103E-2</v>
      </c>
      <c r="O23" s="22">
        <v>2.0956979678916601E-2</v>
      </c>
      <c r="P23" s="22">
        <v>8.9660487021209906E-3</v>
      </c>
      <c r="Q23" s="22">
        <v>0.831697321373708</v>
      </c>
      <c r="R23" s="22">
        <v>-2.0468294762473198E-3</v>
      </c>
      <c r="S23" s="22">
        <v>-6.7682693385753097E-3</v>
      </c>
      <c r="T23" s="22">
        <v>0.29556788590386501</v>
      </c>
      <c r="U23" s="22">
        <v>909.52567394219898</v>
      </c>
      <c r="V23" s="22">
        <v>909.52567394219898</v>
      </c>
      <c r="W23" s="22">
        <v>9940.5</v>
      </c>
      <c r="X23" s="22">
        <v>-83058.399999999994</v>
      </c>
      <c r="Y23" s="22">
        <v>909.52567394219898</v>
      </c>
      <c r="Z23" s="22">
        <v>-82148.874326057805</v>
      </c>
      <c r="AA23" s="22">
        <v>-83058.399999999994</v>
      </c>
      <c r="AB23" s="22">
        <v>909.52567394219898</v>
      </c>
      <c r="AC23" s="22">
        <v>-82148.874326057805</v>
      </c>
      <c r="AD23" s="9">
        <v>1.5032043678849501E-2</v>
      </c>
      <c r="AE23" s="9">
        <v>43.6942499819882</v>
      </c>
      <c r="AF23" s="9">
        <v>1</v>
      </c>
      <c r="AG23" s="9">
        <f t="shared" si="17"/>
        <v>22090</v>
      </c>
      <c r="AH23" s="9">
        <v>1</v>
      </c>
      <c r="AI23" s="9">
        <f t="shared" si="18"/>
        <v>4.21</v>
      </c>
      <c r="AJ23" s="9" t="str">
        <f t="shared" si="19"/>
        <v>Norway 1-ASIC/A Q4-11 45.00 - Base</v>
      </c>
      <c r="AK23" s="9">
        <v>26.414226267880299</v>
      </c>
      <c r="AL23" s="9">
        <v>769</v>
      </c>
      <c r="AM23" s="9">
        <v>1440</v>
      </c>
      <c r="AN23" s="9">
        <v>2209</v>
      </c>
      <c r="AO23" s="30">
        <f t="shared" si="20"/>
        <v>0.65187867813490263</v>
      </c>
      <c r="AP23" s="30">
        <f t="shared" si="21"/>
        <v>54.925319444444483</v>
      </c>
      <c r="AQ23" s="1" t="str">
        <f t="shared" si="0"/>
        <v>C</v>
      </c>
      <c r="AR23" s="1">
        <f t="shared" si="22"/>
        <v>4.1173640744473466E-2</v>
      </c>
      <c r="AS23" s="1">
        <f t="shared" si="23"/>
        <v>4.21</v>
      </c>
      <c r="AT23" s="1">
        <f t="shared" si="24"/>
        <v>2.0956979796960342E-2</v>
      </c>
      <c r="AU23" s="1">
        <f t="shared" si="25"/>
        <v>8.9660487021209871E-3</v>
      </c>
      <c r="AV23" s="1">
        <f t="shared" si="26"/>
        <v>0.83169732137370822</v>
      </c>
      <c r="AW23" s="1">
        <f t="shared" si="27"/>
        <v>-2.0468294761539145E-3</v>
      </c>
      <c r="AX23" s="1">
        <f t="shared" si="28"/>
        <v>-6.7682697114202946E-3</v>
      </c>
      <c r="AY23" s="25">
        <f t="shared" si="29"/>
        <v>-92998.9</v>
      </c>
      <c r="AZ23" s="1">
        <f t="shared" si="30"/>
        <v>909.52572404541888</v>
      </c>
      <c r="BA23" s="1">
        <f t="shared" si="31"/>
        <v>909.52572404541888</v>
      </c>
      <c r="BB23" s="1">
        <f t="shared" si="32"/>
        <v>9940.5</v>
      </c>
      <c r="BC23" s="1">
        <f t="shared" si="40"/>
        <v>-83058.399999999994</v>
      </c>
      <c r="BD23" s="1">
        <f t="shared" si="41"/>
        <v>909.52572404541888</v>
      </c>
      <c r="BE23" s="1">
        <f t="shared" si="42"/>
        <v>-82148.874275954571</v>
      </c>
      <c r="BF23" s="1">
        <f t="shared" si="43"/>
        <v>-83058.399999999994</v>
      </c>
      <c r="BG23" s="1">
        <f t="shared" si="44"/>
        <v>909.52572404541888</v>
      </c>
      <c r="BH23" s="1">
        <f t="shared" si="45"/>
        <v>-82148.874275954571</v>
      </c>
      <c r="BI23" s="13">
        <f t="shared" si="1"/>
        <v>-5.5087194694714015E-8</v>
      </c>
      <c r="BJ23" s="13">
        <f t="shared" si="39"/>
        <v>0</v>
      </c>
      <c r="BK23" s="3">
        <f t="shared" si="2"/>
        <v>0</v>
      </c>
      <c r="BL23" s="3">
        <f t="shared" si="3"/>
        <v>5.5087197026182366E-8</v>
      </c>
      <c r="BM23" s="3">
        <f t="shared" si="4"/>
        <v>5.5087197026182366E-8</v>
      </c>
      <c r="BN23" s="3">
        <f t="shared" si="5"/>
        <v>0</v>
      </c>
      <c r="BO23" s="3">
        <f t="shared" si="6"/>
        <v>0</v>
      </c>
      <c r="BP23" s="3">
        <f t="shared" si="7"/>
        <v>-5.5087193917557897E-8</v>
      </c>
      <c r="BQ23" s="3">
        <f t="shared" si="8"/>
        <v>0</v>
      </c>
      <c r="BR23" s="3">
        <f t="shared" si="9"/>
        <v>0</v>
      </c>
      <c r="BS23" s="3">
        <f t="shared" si="10"/>
        <v>-5.5087193917557897E-8</v>
      </c>
      <c r="BT23" s="3">
        <f t="shared" si="11"/>
        <v>0</v>
      </c>
      <c r="BU23" s="3">
        <f t="shared" si="12"/>
        <v>0</v>
      </c>
      <c r="BV23" s="3">
        <f t="shared" si="13"/>
        <v>0</v>
      </c>
      <c r="BW23" s="3">
        <f t="shared" si="14"/>
        <v>0</v>
      </c>
      <c r="BX23" s="3">
        <f t="shared" si="15"/>
        <v>-5.5087193695513292E-8</v>
      </c>
      <c r="BY23" s="3">
        <f t="shared" si="16"/>
        <v>0</v>
      </c>
    </row>
    <row r="24" spans="2:80" s="7" customFormat="1" x14ac:dyDescent="0.25">
      <c r="B24" s="22" t="s">
        <v>83</v>
      </c>
      <c r="C24" s="22" t="s">
        <v>90</v>
      </c>
      <c r="D24" s="22" t="s">
        <v>89</v>
      </c>
      <c r="E24" s="23">
        <v>40817</v>
      </c>
      <c r="F24" s="23">
        <v>40908</v>
      </c>
      <c r="G24" s="23">
        <v>40908</v>
      </c>
      <c r="H24" s="22">
        <v>45</v>
      </c>
      <c r="I24" s="22" t="s">
        <v>3</v>
      </c>
      <c r="J24" s="22">
        <v>10</v>
      </c>
      <c r="K24" s="22">
        <v>2209</v>
      </c>
      <c r="L24" s="22">
        <v>4.21</v>
      </c>
      <c r="M24" s="22">
        <v>-92998.9</v>
      </c>
      <c r="N24" s="22">
        <v>7.3443996149123398</v>
      </c>
      <c r="O24" s="22">
        <v>-0.62931288116110096</v>
      </c>
      <c r="P24" s="22">
        <v>8.9660487021209906E-3</v>
      </c>
      <c r="Q24" s="22">
        <v>0.831697321373708</v>
      </c>
      <c r="R24" s="22">
        <v>-1.7460557450848699E-3</v>
      </c>
      <c r="S24" s="22">
        <v>-1.2072985668349001</v>
      </c>
      <c r="T24" s="22">
        <v>0.29556788590386501</v>
      </c>
      <c r="U24" s="22">
        <v>162237.78749341401</v>
      </c>
      <c r="V24" s="22">
        <v>162237.78749341401</v>
      </c>
      <c r="W24" s="22">
        <v>9940.5</v>
      </c>
      <c r="X24" s="22">
        <v>-83058.399999999994</v>
      </c>
      <c r="Y24" s="22">
        <v>162237.78749341401</v>
      </c>
      <c r="Z24" s="22">
        <v>79179.387493413495</v>
      </c>
      <c r="AA24" s="22">
        <v>-83058.399999999994</v>
      </c>
      <c r="AB24" s="22">
        <v>162237.78749341401</v>
      </c>
      <c r="AC24" s="22">
        <v>79179.387493413495</v>
      </c>
      <c r="AD24" s="9">
        <v>1.5032043678849501E-2</v>
      </c>
      <c r="AE24" s="9">
        <v>43.6942499819882</v>
      </c>
      <c r="AF24" s="9">
        <v>1</v>
      </c>
      <c r="AG24" s="9">
        <f t="shared" si="17"/>
        <v>22090</v>
      </c>
      <c r="AH24" s="9">
        <v>1</v>
      </c>
      <c r="AI24" s="9">
        <f t="shared" si="18"/>
        <v>4.21</v>
      </c>
      <c r="AJ24" s="9" t="str">
        <f t="shared" si="19"/>
        <v>Norway 1-ASIP/A Q4-11 45.00 - Base</v>
      </c>
      <c r="AK24" s="9">
        <v>26.414226267880299</v>
      </c>
      <c r="AL24" s="9">
        <v>769</v>
      </c>
      <c r="AM24" s="9">
        <v>1440</v>
      </c>
      <c r="AN24" s="9">
        <v>2209</v>
      </c>
      <c r="AO24" s="30">
        <f t="shared" si="20"/>
        <v>0.65187867813490263</v>
      </c>
      <c r="AP24" s="30">
        <f t="shared" si="21"/>
        <v>54.925319444444483</v>
      </c>
      <c r="AQ24" s="1" t="str">
        <f t="shared" si="0"/>
        <v>P</v>
      </c>
      <c r="AR24" s="1">
        <f t="shared" si="22"/>
        <v>7.3443996171804899</v>
      </c>
      <c r="AS24" s="1">
        <f t="shared" si="23"/>
        <v>4.21</v>
      </c>
      <c r="AT24" s="1">
        <f t="shared" si="24"/>
        <v>-0.62931288104305705</v>
      </c>
      <c r="AU24" s="1">
        <f t="shared" si="25"/>
        <v>8.9660487021209871E-3</v>
      </c>
      <c r="AV24" s="1">
        <f t="shared" si="26"/>
        <v>0.83169732137370822</v>
      </c>
      <c r="AW24" s="1">
        <f t="shared" si="27"/>
        <v>-1.7460557449914637E-3</v>
      </c>
      <c r="AX24" s="1">
        <f t="shared" si="28"/>
        <v>-1.2072985672077516</v>
      </c>
      <c r="AY24" s="25">
        <f t="shared" si="29"/>
        <v>-92998.9</v>
      </c>
      <c r="AZ24" s="1">
        <f t="shared" si="30"/>
        <v>162237.78754351701</v>
      </c>
      <c r="BA24" s="1">
        <f t="shared" si="31"/>
        <v>162237.78754351701</v>
      </c>
      <c r="BB24" s="1">
        <f t="shared" si="32"/>
        <v>9940.5</v>
      </c>
      <c r="BC24" s="1">
        <f t="shared" si="40"/>
        <v>-83058.399999999994</v>
      </c>
      <c r="BD24" s="1">
        <f t="shared" si="41"/>
        <v>162237.78754351701</v>
      </c>
      <c r="BE24" s="1">
        <f t="shared" si="42"/>
        <v>79179.387543517019</v>
      </c>
      <c r="BF24" s="1">
        <f t="shared" si="43"/>
        <v>-83058.399999999994</v>
      </c>
      <c r="BG24" s="1">
        <f t="shared" si="44"/>
        <v>162237.78754351701</v>
      </c>
      <c r="BH24" s="1">
        <f t="shared" si="45"/>
        <v>79179.387543517019</v>
      </c>
      <c r="BI24" s="13">
        <f t="shared" si="1"/>
        <v>0</v>
      </c>
      <c r="BJ24" s="13">
        <f t="shared" si="39"/>
        <v>0</v>
      </c>
      <c r="BK24" s="3">
        <f t="shared" si="2"/>
        <v>0</v>
      </c>
      <c r="BL24" s="3">
        <f t="shared" si="3"/>
        <v>0</v>
      </c>
      <c r="BM24" s="3">
        <f t="shared" si="4"/>
        <v>0</v>
      </c>
      <c r="BN24" s="3">
        <f t="shared" si="5"/>
        <v>0</v>
      </c>
      <c r="BO24" s="3">
        <f t="shared" si="6"/>
        <v>0</v>
      </c>
      <c r="BP24" s="3">
        <f t="shared" si="7"/>
        <v>0</v>
      </c>
      <c r="BQ24" s="3">
        <f t="shared" si="8"/>
        <v>0</v>
      </c>
      <c r="BR24" s="3">
        <f t="shared" si="9"/>
        <v>0</v>
      </c>
      <c r="BS24" s="3">
        <f t="shared" si="10"/>
        <v>0</v>
      </c>
      <c r="BT24" s="3">
        <f t="shared" si="11"/>
        <v>0</v>
      </c>
      <c r="BU24" s="3">
        <f t="shared" si="12"/>
        <v>0</v>
      </c>
      <c r="BV24" s="3">
        <f t="shared" si="13"/>
        <v>0</v>
      </c>
      <c r="BW24" s="3">
        <f t="shared" si="14"/>
        <v>0</v>
      </c>
      <c r="BX24" s="3">
        <f t="shared" si="15"/>
        <v>0</v>
      </c>
      <c r="BY24" s="3">
        <f t="shared" si="16"/>
        <v>0</v>
      </c>
    </row>
    <row r="25" spans="2:80" s="7" customFormat="1" x14ac:dyDescent="0.25">
      <c r="B25" s="6" t="s">
        <v>77</v>
      </c>
      <c r="C25" s="6" t="s">
        <v>91</v>
      </c>
      <c r="D25" s="6" t="s">
        <v>92</v>
      </c>
      <c r="E25" s="16">
        <v>40848</v>
      </c>
      <c r="F25" s="16">
        <v>40877</v>
      </c>
      <c r="G25" s="16">
        <v>40877</v>
      </c>
      <c r="H25" s="6">
        <v>45</v>
      </c>
      <c r="I25" s="6" t="s">
        <v>3</v>
      </c>
      <c r="J25" s="6">
        <v>10</v>
      </c>
      <c r="K25" s="6">
        <v>264</v>
      </c>
      <c r="L25" s="6">
        <v>4.21</v>
      </c>
      <c r="M25" s="6">
        <v>-11114.4</v>
      </c>
      <c r="N25" s="6">
        <v>6.7229465822059096</v>
      </c>
      <c r="O25" s="6">
        <v>0.70634977847316804</v>
      </c>
      <c r="P25" s="32">
        <v>3.01933733485019E-2</v>
      </c>
      <c r="Q25" s="6">
        <v>4.3858016802318502</v>
      </c>
      <c r="R25" s="32">
        <v>-5.4202627513313298E-2</v>
      </c>
      <c r="S25" s="6">
        <v>-0.53415192023005797</v>
      </c>
      <c r="T25" s="6">
        <v>0.72011795932472</v>
      </c>
      <c r="U25" s="6">
        <v>17748.578977023601</v>
      </c>
      <c r="V25" s="6">
        <v>17748.578977023601</v>
      </c>
      <c r="W25" s="6">
        <v>1188</v>
      </c>
      <c r="X25" s="6">
        <v>-9926.4</v>
      </c>
      <c r="Y25" s="6">
        <v>17748.578977023601</v>
      </c>
      <c r="Z25" s="6">
        <v>7822.1789770236001</v>
      </c>
      <c r="AA25" s="6">
        <v>-9926.4</v>
      </c>
      <c r="AB25" s="6">
        <v>17748.578977023601</v>
      </c>
      <c r="AC25" s="6">
        <v>7822.1789770236001</v>
      </c>
      <c r="AD25" s="7">
        <v>1.3612382216139673E-2</v>
      </c>
      <c r="AE25" s="7">
        <v>50.386511189228301</v>
      </c>
      <c r="AF25" s="27"/>
      <c r="AG25" s="27"/>
      <c r="AH25" s="27"/>
      <c r="AI25" s="27"/>
      <c r="AJ25" s="29"/>
      <c r="AK25" s="30">
        <v>42.5566666666667</v>
      </c>
      <c r="AL25" s="30">
        <v>12</v>
      </c>
      <c r="AM25" s="30">
        <v>252</v>
      </c>
      <c r="AN25" s="30">
        <v>264</v>
      </c>
      <c r="AO25" s="30">
        <f t="shared" si="20"/>
        <v>0.95454545454545459</v>
      </c>
      <c r="AP25" s="30">
        <f t="shared" si="21"/>
        <v>45.116349206349206</v>
      </c>
      <c r="AS25" s="27"/>
      <c r="BJ25" s="27"/>
    </row>
    <row r="26" spans="2:80" ht="15.75" customHeight="1" x14ac:dyDescent="0.25">
      <c r="B26" s="6" t="s">
        <v>77</v>
      </c>
      <c r="C26" s="6" t="s">
        <v>91</v>
      </c>
      <c r="D26" s="6" t="s">
        <v>93</v>
      </c>
      <c r="E26" s="16">
        <v>40848</v>
      </c>
      <c r="F26" s="16">
        <v>40877</v>
      </c>
      <c r="G26" s="16">
        <v>40877</v>
      </c>
      <c r="H26" s="6">
        <v>45</v>
      </c>
      <c r="I26" s="6" t="s">
        <v>3</v>
      </c>
      <c r="J26" s="6">
        <v>10</v>
      </c>
      <c r="K26" s="6">
        <v>264</v>
      </c>
      <c r="L26" s="6">
        <v>4.21</v>
      </c>
      <c r="M26" s="6">
        <v>-11114.4</v>
      </c>
      <c r="N26" s="6">
        <v>1.6977752390842</v>
      </c>
      <c r="O26" s="6">
        <v>-0.24716386293800199</v>
      </c>
      <c r="P26" s="6">
        <v>3.01933733485019E-2</v>
      </c>
      <c r="Q26" s="6">
        <v>4.3858016802318502</v>
      </c>
      <c r="R26" s="6">
        <v>-5.4390037247626102E-2</v>
      </c>
      <c r="S26" s="6">
        <v>-0.134891731324498</v>
      </c>
      <c r="T26" s="6">
        <v>0.72011795932472</v>
      </c>
      <c r="U26" s="6">
        <v>4482.1266311822801</v>
      </c>
      <c r="V26" s="6">
        <v>4482.1266311822801</v>
      </c>
      <c r="W26" s="6">
        <v>1188</v>
      </c>
      <c r="X26" s="6">
        <v>-9926.4</v>
      </c>
      <c r="Y26" s="6">
        <v>4482.1266311822801</v>
      </c>
      <c r="Z26" s="6">
        <v>-5444.2733688177204</v>
      </c>
      <c r="AA26" s="6">
        <v>-9926.4</v>
      </c>
      <c r="AB26" s="6">
        <v>4482.1266311822801</v>
      </c>
      <c r="AC26" s="6">
        <v>-5444.2733688177204</v>
      </c>
      <c r="AD26">
        <v>1.3612382216139673E-2</v>
      </c>
      <c r="AE26">
        <v>50.386511189228301</v>
      </c>
      <c r="AK26" s="30">
        <v>42.5566666666667</v>
      </c>
      <c r="AL26" s="30">
        <v>12</v>
      </c>
      <c r="AM26" s="30">
        <v>252</v>
      </c>
      <c r="AN26" s="30">
        <v>264</v>
      </c>
      <c r="AO26" s="30">
        <f t="shared" si="20"/>
        <v>0.95454545454545459</v>
      </c>
      <c r="AP26" s="30">
        <f t="shared" si="21"/>
        <v>45.116349206349206</v>
      </c>
    </row>
    <row r="27" spans="2:80" x14ac:dyDescent="0.25">
      <c r="B27" s="6" t="s">
        <v>77</v>
      </c>
      <c r="C27" s="6" t="s">
        <v>91</v>
      </c>
      <c r="D27" s="6" t="s">
        <v>94</v>
      </c>
      <c r="E27" s="16">
        <v>40848</v>
      </c>
      <c r="F27" s="16">
        <v>40877</v>
      </c>
      <c r="G27" s="16">
        <v>40877</v>
      </c>
      <c r="H27" s="6">
        <v>45</v>
      </c>
      <c r="I27" s="6" t="s">
        <v>3</v>
      </c>
      <c r="J27" s="6">
        <v>10</v>
      </c>
      <c r="K27" s="6">
        <v>720</v>
      </c>
      <c r="L27" s="6">
        <v>4.21</v>
      </c>
      <c r="M27" s="6">
        <v>-30312</v>
      </c>
      <c r="N27" s="6">
        <v>2.4411183486299</v>
      </c>
      <c r="O27" s="6">
        <v>0.47785987108570299</v>
      </c>
      <c r="P27" s="6">
        <v>5.4335274539843499E-2</v>
      </c>
      <c r="Q27" s="6">
        <v>4.8323304204795798</v>
      </c>
      <c r="R27" s="6">
        <v>-4.6990712111258701E-2</v>
      </c>
      <c r="S27" s="6">
        <v>-0.193951868795252</v>
      </c>
      <c r="T27" s="6">
        <v>0.56509827738996798</v>
      </c>
      <c r="U27" s="6">
        <v>17576.052110135301</v>
      </c>
      <c r="V27" s="6">
        <v>17576.052110135301</v>
      </c>
      <c r="W27" s="6">
        <v>3240</v>
      </c>
      <c r="X27" s="6">
        <v>-27072</v>
      </c>
      <c r="Y27" s="6">
        <v>17576.052110135301</v>
      </c>
      <c r="Z27" s="6">
        <v>-9495.9478898646994</v>
      </c>
      <c r="AA27" s="6">
        <v>-27072</v>
      </c>
      <c r="AB27" s="6">
        <v>17576.052110135301</v>
      </c>
      <c r="AC27" s="6">
        <v>-9495.9478898646994</v>
      </c>
      <c r="AD27">
        <v>1.3612382216139673E-2</v>
      </c>
      <c r="AE27">
        <v>44.506436182251797</v>
      </c>
      <c r="AK27" s="30">
        <v>40.156666666666702</v>
      </c>
      <c r="AL27" s="30">
        <v>24</v>
      </c>
      <c r="AM27" s="30">
        <v>696</v>
      </c>
      <c r="AN27" s="30">
        <v>720</v>
      </c>
      <c r="AO27" s="30">
        <f t="shared" si="20"/>
        <v>0.96666666666666667</v>
      </c>
      <c r="AP27" s="30">
        <f t="shared" si="21"/>
        <v>45.167011494252876</v>
      </c>
    </row>
    <row r="28" spans="2:80" x14ac:dyDescent="0.25">
      <c r="B28" s="6" t="s">
        <v>77</v>
      </c>
      <c r="C28" s="6" t="s">
        <v>91</v>
      </c>
      <c r="D28" s="6" t="s">
        <v>95</v>
      </c>
      <c r="E28" s="16">
        <v>40848</v>
      </c>
      <c r="F28" s="16">
        <v>40877</v>
      </c>
      <c r="G28" s="16">
        <v>40877</v>
      </c>
      <c r="H28" s="6">
        <v>45</v>
      </c>
      <c r="I28" s="6" t="s">
        <v>3</v>
      </c>
      <c r="J28" s="6">
        <v>10</v>
      </c>
      <c r="K28" s="6">
        <v>720</v>
      </c>
      <c r="L28" s="6">
        <v>4.21</v>
      </c>
      <c r="M28" s="6">
        <v>-30312</v>
      </c>
      <c r="N28" s="32">
        <v>3.0789842381664401</v>
      </c>
      <c r="O28" s="32">
        <v>-0.48776188005767201</v>
      </c>
      <c r="P28" s="32">
        <v>5.4335274539843499E-2</v>
      </c>
      <c r="Q28" s="6">
        <v>4.8323304204795798</v>
      </c>
      <c r="R28" s="32">
        <v>-4.6966923414571003E-2</v>
      </c>
      <c r="S28" s="32">
        <v>-0.24463162440226499</v>
      </c>
      <c r="T28" s="6">
        <v>0.56509827738996798</v>
      </c>
      <c r="U28" s="6">
        <v>22168.686514798301</v>
      </c>
      <c r="V28" s="6">
        <v>22168.686514798301</v>
      </c>
      <c r="W28" s="6">
        <v>3240</v>
      </c>
      <c r="X28" s="6">
        <v>-27072</v>
      </c>
      <c r="Y28" s="6">
        <v>22168.686514798301</v>
      </c>
      <c r="Z28" s="6">
        <v>-4903.3134852016601</v>
      </c>
      <c r="AA28" s="6">
        <v>-27072</v>
      </c>
      <c r="AB28" s="6">
        <v>22168.686514798301</v>
      </c>
      <c r="AC28" s="6">
        <v>-4903.3134852016601</v>
      </c>
      <c r="AD28">
        <v>1.3612382216139673E-2</v>
      </c>
      <c r="AE28">
        <v>44.506436182251797</v>
      </c>
      <c r="AK28" s="30">
        <v>40.156666666666702</v>
      </c>
      <c r="AL28" s="30">
        <v>24</v>
      </c>
      <c r="AM28" s="30">
        <v>696</v>
      </c>
      <c r="AN28" s="30">
        <v>720</v>
      </c>
      <c r="AO28" s="30">
        <f t="shared" si="20"/>
        <v>0.96666666666666667</v>
      </c>
      <c r="AP28" s="30">
        <f t="shared" si="21"/>
        <v>45.167011494252876</v>
      </c>
    </row>
    <row r="29" spans="2:80" ht="15" customHeight="1" x14ac:dyDescent="0.25">
      <c r="B29" s="6" t="s">
        <v>83</v>
      </c>
      <c r="C29" s="6" t="s">
        <v>96</v>
      </c>
      <c r="D29" s="6" t="s">
        <v>94</v>
      </c>
      <c r="E29" s="16">
        <v>40848</v>
      </c>
      <c r="F29" s="16">
        <v>40877</v>
      </c>
      <c r="G29" s="16">
        <v>40877</v>
      </c>
      <c r="H29" s="6">
        <v>45</v>
      </c>
      <c r="I29" s="6" t="s">
        <v>3</v>
      </c>
      <c r="J29" s="6">
        <v>10</v>
      </c>
      <c r="K29" s="6">
        <v>720</v>
      </c>
      <c r="L29" s="6">
        <v>4.21</v>
      </c>
      <c r="M29" s="6">
        <v>-30312</v>
      </c>
      <c r="N29" s="6">
        <v>0.68342764939060496</v>
      </c>
      <c r="O29" s="6">
        <v>0.26543082399266599</v>
      </c>
      <c r="P29" s="6">
        <v>7.3065383284761101E-2</v>
      </c>
      <c r="Q29" s="6">
        <v>3.8348803577378701</v>
      </c>
      <c r="R29" s="6">
        <v>-2.4461086441199199E-2</v>
      </c>
      <c r="S29" s="6">
        <v>-5.4299731047472599E-2</v>
      </c>
      <c r="T29" s="6">
        <v>0.37034305597315198</v>
      </c>
      <c r="U29" s="6">
        <v>4920.6790756123501</v>
      </c>
      <c r="V29" s="6">
        <v>4920.6790756123501</v>
      </c>
      <c r="W29" s="6">
        <v>3240</v>
      </c>
      <c r="X29" s="6">
        <v>-27072</v>
      </c>
      <c r="Y29" s="6">
        <v>4920.6790756123501</v>
      </c>
      <c r="Z29" s="6">
        <v>-22151.320924387601</v>
      </c>
      <c r="AA29" s="6">
        <v>-27072</v>
      </c>
      <c r="AB29" s="6">
        <v>4920.6790756123501</v>
      </c>
      <c r="AC29" s="6">
        <v>-22151.320924387601</v>
      </c>
      <c r="AD29">
        <v>1.3612382216139673E-2</v>
      </c>
      <c r="AE29">
        <v>42.2343103075588</v>
      </c>
      <c r="AK29" s="30">
        <v>39.171666666666702</v>
      </c>
      <c r="AL29" s="30">
        <v>24</v>
      </c>
      <c r="AM29" s="30">
        <v>696</v>
      </c>
      <c r="AN29" s="30">
        <v>720</v>
      </c>
      <c r="AO29" s="30">
        <f t="shared" si="20"/>
        <v>0.96666666666666667</v>
      </c>
      <c r="AP29" s="30">
        <f t="shared" si="21"/>
        <v>45.20097701149426</v>
      </c>
    </row>
    <row r="30" spans="2:80" x14ac:dyDescent="0.25">
      <c r="B30" s="6" t="s">
        <v>83</v>
      </c>
      <c r="C30" s="6" t="s">
        <v>96</v>
      </c>
      <c r="D30" s="6" t="s">
        <v>95</v>
      </c>
      <c r="E30" s="16">
        <v>40848</v>
      </c>
      <c r="F30" s="16">
        <v>40877</v>
      </c>
      <c r="G30" s="16">
        <v>40877</v>
      </c>
      <c r="H30" s="6">
        <v>45</v>
      </c>
      <c r="I30" s="6" t="s">
        <v>3</v>
      </c>
      <c r="J30" s="6">
        <v>10</v>
      </c>
      <c r="K30" s="6">
        <v>720</v>
      </c>
      <c r="L30" s="6">
        <v>4.21</v>
      </c>
      <c r="M30" s="6">
        <v>-30312</v>
      </c>
      <c r="N30" s="6">
        <v>3.5481055471035399</v>
      </c>
      <c r="O30" s="6">
        <v>-0.70019092715070896</v>
      </c>
      <c r="P30" s="6">
        <v>7.3065383284761101E-2</v>
      </c>
      <c r="Q30" s="6">
        <v>3.8348803577378701</v>
      </c>
      <c r="R30" s="6">
        <v>-2.4354250576898401E-2</v>
      </c>
      <c r="S30" s="6">
        <v>-0.28190427634521298</v>
      </c>
      <c r="T30" s="6">
        <v>0.37034305597315198</v>
      </c>
      <c r="U30" s="6">
        <v>25546.359939145499</v>
      </c>
      <c r="V30" s="6">
        <v>25546.359939145499</v>
      </c>
      <c r="W30" s="6">
        <v>3240</v>
      </c>
      <c r="X30" s="6">
        <v>-27072</v>
      </c>
      <c r="Y30" s="6">
        <v>25546.359939145499</v>
      </c>
      <c r="Z30" s="6">
        <v>-1525.64006085448</v>
      </c>
      <c r="AA30" s="6">
        <v>-27072</v>
      </c>
      <c r="AB30" s="6">
        <v>25546.359939145499</v>
      </c>
      <c r="AC30" s="6">
        <v>-1525.64006085448</v>
      </c>
      <c r="AD30" s="26">
        <v>1.3612382216139673E-2</v>
      </c>
      <c r="AE30">
        <v>42.2343103075588</v>
      </c>
      <c r="AK30" s="30">
        <v>39.171666666666702</v>
      </c>
      <c r="AL30" s="30">
        <v>24</v>
      </c>
      <c r="AM30" s="30">
        <v>696</v>
      </c>
      <c r="AN30" s="30">
        <v>720</v>
      </c>
      <c r="AO30" s="30">
        <f t="shared" si="20"/>
        <v>0.96666666666666667</v>
      </c>
      <c r="AP30" s="30">
        <f t="shared" si="21"/>
        <v>45.20097701149426</v>
      </c>
    </row>
    <row r="31" spans="2:80" x14ac:dyDescent="0.25">
      <c r="B31" s="6" t="s">
        <v>77</v>
      </c>
      <c r="C31" s="6" t="s">
        <v>97</v>
      </c>
      <c r="D31" s="6" t="s">
        <v>98</v>
      </c>
      <c r="E31" s="16">
        <v>40909</v>
      </c>
      <c r="F31" s="16">
        <v>41274</v>
      </c>
      <c r="G31" s="16">
        <v>41274</v>
      </c>
      <c r="H31" s="6">
        <v>45</v>
      </c>
      <c r="I31" s="6" t="s">
        <v>3</v>
      </c>
      <c r="J31" s="6">
        <v>10</v>
      </c>
      <c r="K31" s="6">
        <v>3132</v>
      </c>
      <c r="L31" s="6">
        <v>4.21</v>
      </c>
      <c r="M31" s="6">
        <v>-131857.20000000001</v>
      </c>
      <c r="N31" s="6">
        <v>10.5881319389064</v>
      </c>
      <c r="O31" s="6">
        <v>0.63288842151452995</v>
      </c>
      <c r="P31" s="6">
        <v>1.49502168395102E-2</v>
      </c>
      <c r="Q31" s="6">
        <v>18.791671563545201</v>
      </c>
      <c r="R31" s="6">
        <v>-9.7179325062020493E-3</v>
      </c>
      <c r="S31" s="6">
        <v>-12.357655358833201</v>
      </c>
      <c r="T31" s="6">
        <v>0.46743229240393802</v>
      </c>
      <c r="U31" s="6">
        <v>331620.29232654901</v>
      </c>
      <c r="V31" s="6">
        <v>331620.29232654901</v>
      </c>
      <c r="W31" s="6">
        <v>14094</v>
      </c>
      <c r="X31" s="6">
        <v>-117763.2</v>
      </c>
      <c r="Y31" s="6">
        <v>331620.29232654901</v>
      </c>
      <c r="Z31" s="6">
        <v>213857.092326549</v>
      </c>
      <c r="AA31" s="6">
        <v>-117763.2</v>
      </c>
      <c r="AB31" s="6">
        <v>331620.29232654901</v>
      </c>
      <c r="AC31" s="6">
        <v>213857.092326549</v>
      </c>
      <c r="AD31">
        <v>2.0398514407724302E-2</v>
      </c>
      <c r="AE31">
        <v>47.999999999999901</v>
      </c>
      <c r="AL31" s="30">
        <v>0</v>
      </c>
      <c r="AM31" s="30">
        <v>3132</v>
      </c>
      <c r="AN31" s="30">
        <v>3132</v>
      </c>
      <c r="AO31" s="30">
        <f t="shared" si="20"/>
        <v>1</v>
      </c>
      <c r="AP31" s="30">
        <f t="shared" si="21"/>
        <v>45</v>
      </c>
    </row>
    <row r="32" spans="2:80" x14ac:dyDescent="0.25">
      <c r="B32" s="6" t="s">
        <v>77</v>
      </c>
      <c r="C32" s="6" t="s">
        <v>97</v>
      </c>
      <c r="D32" s="6" t="s">
        <v>99</v>
      </c>
      <c r="E32" s="16">
        <v>40909</v>
      </c>
      <c r="F32" s="16">
        <v>41274</v>
      </c>
      <c r="G32" s="16">
        <v>41274</v>
      </c>
      <c r="H32" s="6">
        <v>45</v>
      </c>
      <c r="I32" s="6" t="s">
        <v>3</v>
      </c>
      <c r="J32" s="6">
        <v>10</v>
      </c>
      <c r="K32" s="6">
        <v>3132</v>
      </c>
      <c r="L32" s="6">
        <v>4.21</v>
      </c>
      <c r="M32" s="6">
        <v>-131857.20000000001</v>
      </c>
      <c r="N32" s="6">
        <v>7.6587111882321404</v>
      </c>
      <c r="O32" s="6">
        <v>-0.34358516204358203</v>
      </c>
      <c r="P32" s="6">
        <v>1.49502168395102E-2</v>
      </c>
      <c r="Q32" s="6">
        <v>18.791671563545201</v>
      </c>
      <c r="R32" s="6">
        <v>-9.8816471127470204E-3</v>
      </c>
      <c r="S32" s="6">
        <v>-8.9386601813339404</v>
      </c>
      <c r="T32" s="6">
        <v>0.46743229240393802</v>
      </c>
      <c r="U32" s="6">
        <v>239870.83441543</v>
      </c>
      <c r="V32" s="6">
        <v>239870.83441543</v>
      </c>
      <c r="W32" s="6">
        <v>14094</v>
      </c>
      <c r="X32" s="6">
        <v>-117763.2</v>
      </c>
      <c r="Y32" s="6">
        <v>239870.83441543</v>
      </c>
      <c r="Z32" s="6">
        <v>122107.63441543</v>
      </c>
      <c r="AA32" s="6">
        <v>-117763.2</v>
      </c>
      <c r="AB32" s="6">
        <v>239870.83441543</v>
      </c>
      <c r="AC32" s="6">
        <v>122107.63441543</v>
      </c>
      <c r="AD32">
        <v>2.0398514407724302E-2</v>
      </c>
      <c r="AE32">
        <v>47.999999999999901</v>
      </c>
      <c r="AL32" s="30">
        <v>0</v>
      </c>
      <c r="AM32" s="30">
        <v>3132</v>
      </c>
      <c r="AN32" s="30">
        <v>3132</v>
      </c>
      <c r="AO32" s="30">
        <f t="shared" si="20"/>
        <v>1</v>
      </c>
      <c r="AP32" s="30">
        <f t="shared" si="21"/>
        <v>45</v>
      </c>
    </row>
    <row r="33" spans="2:42" x14ac:dyDescent="0.25">
      <c r="B33" s="6" t="s">
        <v>77</v>
      </c>
      <c r="C33" s="6" t="s">
        <v>97</v>
      </c>
      <c r="D33" s="6" t="s">
        <v>100</v>
      </c>
      <c r="E33" s="16">
        <v>40909</v>
      </c>
      <c r="F33" s="16">
        <v>41274</v>
      </c>
      <c r="G33" s="16">
        <v>41274</v>
      </c>
      <c r="H33" s="6">
        <v>45</v>
      </c>
      <c r="I33" s="6" t="s">
        <v>3</v>
      </c>
      <c r="J33" s="6">
        <v>10</v>
      </c>
      <c r="K33" s="6">
        <v>8784</v>
      </c>
      <c r="L33" s="6">
        <v>4.21</v>
      </c>
      <c r="M33" s="6">
        <v>-369806.4</v>
      </c>
      <c r="N33" s="6">
        <v>4.41608549645896</v>
      </c>
      <c r="O33" s="6">
        <v>0.50781535723725901</v>
      </c>
      <c r="P33" s="6">
        <v>3.0712554217048101E-2</v>
      </c>
      <c r="Q33" s="6">
        <v>18.404989096875401</v>
      </c>
      <c r="R33" s="6">
        <v>-5.5379922107600104E-3</v>
      </c>
      <c r="S33" s="6">
        <v>-5.1541162232644302</v>
      </c>
      <c r="T33" s="6">
        <v>0.26778836790959898</v>
      </c>
      <c r="U33" s="6">
        <v>387908.95000895503</v>
      </c>
      <c r="V33" s="6">
        <v>387908.95000895503</v>
      </c>
      <c r="W33" s="6">
        <v>39528</v>
      </c>
      <c r="X33" s="6">
        <v>-330278.40000000002</v>
      </c>
      <c r="Y33" s="6">
        <v>387908.95000895503</v>
      </c>
      <c r="Z33" s="6">
        <v>57630.550008955397</v>
      </c>
      <c r="AA33" s="6">
        <v>-330278.40000000002</v>
      </c>
      <c r="AB33" s="6">
        <v>387908.95000895503</v>
      </c>
      <c r="AC33" s="6">
        <v>57630.550008955397</v>
      </c>
      <c r="AD33">
        <v>2.0398514407724302E-2</v>
      </c>
      <c r="AE33">
        <v>43.788048724954599</v>
      </c>
      <c r="AL33" s="30">
        <v>0</v>
      </c>
      <c r="AM33" s="30">
        <v>8784</v>
      </c>
      <c r="AN33" s="30">
        <v>8784</v>
      </c>
      <c r="AO33" s="30">
        <f t="shared" si="20"/>
        <v>1</v>
      </c>
      <c r="AP33" s="30">
        <f t="shared" si="21"/>
        <v>45</v>
      </c>
    </row>
    <row r="34" spans="2:42" x14ac:dyDescent="0.25">
      <c r="B34" s="6" t="s">
        <v>77</v>
      </c>
      <c r="C34" s="6" t="s">
        <v>97</v>
      </c>
      <c r="D34" s="6" t="s">
        <v>101</v>
      </c>
      <c r="E34" s="16">
        <v>40909</v>
      </c>
      <c r="F34" s="16">
        <v>41274</v>
      </c>
      <c r="G34" s="16">
        <v>41274</v>
      </c>
      <c r="H34" s="6">
        <v>45</v>
      </c>
      <c r="I34" s="6" t="s">
        <v>3</v>
      </c>
      <c r="J34" s="6">
        <v>10</v>
      </c>
      <c r="K34" s="6">
        <v>8784</v>
      </c>
      <c r="L34" s="6">
        <v>4.21</v>
      </c>
      <c r="M34" s="6">
        <v>-369806.4</v>
      </c>
      <c r="N34" s="6">
        <v>5.5995239011004001</v>
      </c>
      <c r="O34" s="6">
        <v>-0.46865822632085302</v>
      </c>
      <c r="P34" s="6">
        <v>3.0712554217048101E-2</v>
      </c>
      <c r="Q34" s="6">
        <v>18.404989096875401</v>
      </c>
      <c r="R34" s="6">
        <v>-5.4718541687114302E-3</v>
      </c>
      <c r="S34" s="6">
        <v>-6.53533474484595</v>
      </c>
      <c r="T34" s="6">
        <v>0.26778836790959898</v>
      </c>
      <c r="U34" s="6">
        <v>491862.17947265902</v>
      </c>
      <c r="V34" s="6">
        <v>491862.17947265902</v>
      </c>
      <c r="W34" s="6">
        <v>39528</v>
      </c>
      <c r="X34" s="6">
        <v>-330278.40000000002</v>
      </c>
      <c r="Y34" s="6">
        <v>491862.17947265902</v>
      </c>
      <c r="Z34" s="6">
        <v>161583.77947265899</v>
      </c>
      <c r="AA34" s="6">
        <v>-330278.40000000002</v>
      </c>
      <c r="AB34" s="6">
        <v>491862.17947265902</v>
      </c>
      <c r="AC34" s="6">
        <v>161583.77947265899</v>
      </c>
      <c r="AD34">
        <v>2.0398514407724302E-2</v>
      </c>
      <c r="AE34">
        <v>43.788048724954599</v>
      </c>
      <c r="AL34" s="30">
        <v>0</v>
      </c>
      <c r="AM34" s="30">
        <v>8784</v>
      </c>
      <c r="AN34" s="30">
        <v>8784</v>
      </c>
      <c r="AO34" s="30">
        <f t="shared" si="20"/>
        <v>1</v>
      </c>
      <c r="AP34" s="30">
        <f t="shared" si="21"/>
        <v>45</v>
      </c>
    </row>
    <row r="35" spans="2:42" x14ac:dyDescent="0.25">
      <c r="B35" s="6" t="s">
        <v>83</v>
      </c>
      <c r="C35" s="6" t="s">
        <v>102</v>
      </c>
      <c r="D35" s="6" t="s">
        <v>100</v>
      </c>
      <c r="E35" s="16">
        <v>40909</v>
      </c>
      <c r="F35" s="16">
        <v>41274</v>
      </c>
      <c r="G35" s="16">
        <v>41274</v>
      </c>
      <c r="H35" s="6">
        <v>45</v>
      </c>
      <c r="I35" s="6" t="s">
        <v>3</v>
      </c>
      <c r="J35" s="6">
        <v>10</v>
      </c>
      <c r="K35" s="6">
        <v>8784</v>
      </c>
      <c r="L35" s="6">
        <v>4.21</v>
      </c>
      <c r="M35" s="6">
        <v>-369806.4</v>
      </c>
      <c r="N35" s="6">
        <v>1.86844179357083</v>
      </c>
      <c r="O35" s="6">
        <v>0.40209350288749102</v>
      </c>
      <c r="P35" s="6">
        <v>5.3821553111055798E-2</v>
      </c>
      <c r="Q35" s="6">
        <v>17.565327630330501</v>
      </c>
      <c r="R35" s="6">
        <v>-3.0444515060233301E-3</v>
      </c>
      <c r="S35" s="6">
        <v>-2.1807019289347198</v>
      </c>
      <c r="T35" s="6">
        <v>0.15273491613854201</v>
      </c>
      <c r="U35" s="6">
        <v>164123.927147262</v>
      </c>
      <c r="V35" s="6">
        <v>164123.927147262</v>
      </c>
      <c r="W35" s="6">
        <v>39528</v>
      </c>
      <c r="X35" s="6">
        <v>-330278.40000000002</v>
      </c>
      <c r="Y35" s="6">
        <v>164123.927147262</v>
      </c>
      <c r="Z35" s="6">
        <v>-166154.47285273799</v>
      </c>
      <c r="AA35" s="6">
        <v>-330278.40000000002</v>
      </c>
      <c r="AB35" s="6">
        <v>164123.927147262</v>
      </c>
      <c r="AC35" s="6">
        <v>-166154.47285273799</v>
      </c>
      <c r="AD35">
        <v>2.0398514407724302E-2</v>
      </c>
      <c r="AE35">
        <v>42.7880487249544</v>
      </c>
      <c r="AL35" s="30">
        <v>0</v>
      </c>
      <c r="AM35" s="30">
        <v>8784</v>
      </c>
      <c r="AN35" s="30">
        <v>8784</v>
      </c>
      <c r="AO35" s="30">
        <f t="shared" si="20"/>
        <v>1</v>
      </c>
      <c r="AP35" s="30">
        <f t="shared" si="21"/>
        <v>45</v>
      </c>
    </row>
    <row r="36" spans="2:42" x14ac:dyDescent="0.25">
      <c r="B36" s="6" t="s">
        <v>83</v>
      </c>
      <c r="C36" s="6" t="s">
        <v>102</v>
      </c>
      <c r="D36" s="6" t="s">
        <v>101</v>
      </c>
      <c r="E36" s="16">
        <v>40909</v>
      </c>
      <c r="F36" s="16">
        <v>41274</v>
      </c>
      <c r="G36" s="16">
        <v>41274</v>
      </c>
      <c r="H36" s="6">
        <v>45</v>
      </c>
      <c r="I36" s="6" t="s">
        <v>3</v>
      </c>
      <c r="J36" s="6">
        <v>10</v>
      </c>
      <c r="K36" s="6">
        <v>8784</v>
      </c>
      <c r="L36" s="6">
        <v>4.21</v>
      </c>
      <c r="M36" s="6">
        <v>-369806.4</v>
      </c>
      <c r="N36" s="6">
        <v>4.0283537817705897</v>
      </c>
      <c r="O36" s="6">
        <v>-0.57438008067062096</v>
      </c>
      <c r="P36" s="6">
        <v>5.3821553111055798E-2</v>
      </c>
      <c r="Q36" s="6">
        <v>17.565327630330501</v>
      </c>
      <c r="R36" s="6">
        <v>-2.9237419284597402E-3</v>
      </c>
      <c r="S36" s="6">
        <v>-4.7015855096829302</v>
      </c>
      <c r="T36" s="6">
        <v>0.15273491613854201</v>
      </c>
      <c r="U36" s="6">
        <v>353850.596190729</v>
      </c>
      <c r="V36" s="6">
        <v>353850.596190729</v>
      </c>
      <c r="W36" s="6">
        <v>39528</v>
      </c>
      <c r="X36" s="6">
        <v>-330278.40000000002</v>
      </c>
      <c r="Y36" s="6">
        <v>353850.596190729</v>
      </c>
      <c r="Z36" s="6">
        <v>23572.196190728599</v>
      </c>
      <c r="AA36" s="6">
        <v>-330278.40000000002</v>
      </c>
      <c r="AB36" s="6">
        <v>353850.596190729</v>
      </c>
      <c r="AC36" s="6">
        <v>23572.196190728599</v>
      </c>
      <c r="AD36">
        <v>2.0398514407724302E-2</v>
      </c>
      <c r="AE36">
        <v>42.7880487249544</v>
      </c>
      <c r="AL36" s="30">
        <v>0</v>
      </c>
      <c r="AM36" s="30">
        <v>8784</v>
      </c>
      <c r="AN36" s="30">
        <v>8784</v>
      </c>
      <c r="AO36" s="30">
        <f t="shared" si="20"/>
        <v>1</v>
      </c>
      <c r="AP36" s="30">
        <f t="shared" si="21"/>
        <v>45</v>
      </c>
    </row>
    <row r="37" spans="2:42" x14ac:dyDescent="0.25">
      <c r="B37" s="6" t="s">
        <v>77</v>
      </c>
      <c r="C37" s="6" t="s">
        <v>103</v>
      </c>
      <c r="D37" s="6" t="s">
        <v>104</v>
      </c>
      <c r="E37" s="16">
        <v>41000</v>
      </c>
      <c r="F37" s="16">
        <v>41090</v>
      </c>
      <c r="G37" s="16">
        <v>41090</v>
      </c>
      <c r="H37" s="6">
        <v>45</v>
      </c>
      <c r="I37" s="6" t="s">
        <v>3</v>
      </c>
      <c r="J37" s="6">
        <v>10</v>
      </c>
      <c r="K37" s="6">
        <v>780</v>
      </c>
      <c r="L37" s="6">
        <v>4.21</v>
      </c>
      <c r="M37" s="6">
        <v>-32838</v>
      </c>
      <c r="N37" s="6">
        <v>10.8657321776621</v>
      </c>
      <c r="O37" s="6">
        <v>0.623648842677203</v>
      </c>
      <c r="P37" s="6">
        <v>1.39345032408411E-2</v>
      </c>
      <c r="Q37" s="6">
        <v>14.0183325560578</v>
      </c>
      <c r="R37" s="6">
        <v>-1.9972651666830901E-2</v>
      </c>
      <c r="S37" s="6">
        <v>-7.2041292794362102</v>
      </c>
      <c r="T37" s="6">
        <v>0.709347254127771</v>
      </c>
      <c r="U37" s="6">
        <v>84752.710985764003</v>
      </c>
      <c r="V37" s="6">
        <v>84752.710985764003</v>
      </c>
      <c r="W37" s="6">
        <v>3510</v>
      </c>
      <c r="X37" s="6">
        <v>-29328</v>
      </c>
      <c r="Y37" s="6">
        <v>84752.710985764003</v>
      </c>
      <c r="Z37" s="6">
        <v>55424.710985764003</v>
      </c>
      <c r="AA37" s="6">
        <v>-29328</v>
      </c>
      <c r="AB37" s="6">
        <v>84752.710985764003</v>
      </c>
      <c r="AC37" s="6">
        <v>55424.710985764003</v>
      </c>
      <c r="AD37">
        <v>1.9232185361691901E-2</v>
      </c>
      <c r="AE37">
        <v>46.250000000000398</v>
      </c>
      <c r="AL37" s="30">
        <v>0</v>
      </c>
      <c r="AM37" s="30">
        <v>780</v>
      </c>
      <c r="AN37" s="30">
        <v>780</v>
      </c>
      <c r="AO37" s="30">
        <f t="shared" si="20"/>
        <v>1</v>
      </c>
      <c r="AP37" s="30">
        <f t="shared" si="21"/>
        <v>45</v>
      </c>
    </row>
    <row r="38" spans="2:42" x14ac:dyDescent="0.25">
      <c r="B38" s="6" t="s">
        <v>77</v>
      </c>
      <c r="C38" s="6" t="s">
        <v>103</v>
      </c>
      <c r="D38" s="6" t="s">
        <v>105</v>
      </c>
      <c r="E38" s="16">
        <v>41000</v>
      </c>
      <c r="F38" s="16">
        <v>41090</v>
      </c>
      <c r="G38" s="16">
        <v>41090</v>
      </c>
      <c r="H38" s="6">
        <v>45</v>
      </c>
      <c r="I38" s="6" t="s">
        <v>3</v>
      </c>
      <c r="J38" s="6">
        <v>10</v>
      </c>
      <c r="K38" s="6">
        <v>780</v>
      </c>
      <c r="L38" s="6">
        <v>4.21</v>
      </c>
      <c r="M38" s="6">
        <v>-32838</v>
      </c>
      <c r="N38" s="6">
        <v>9.6315699904279803</v>
      </c>
      <c r="O38" s="6">
        <v>-0.36368090710974799</v>
      </c>
      <c r="P38" s="6">
        <v>1.39345032408411E-2</v>
      </c>
      <c r="Q38" s="6">
        <v>14.0183325560578</v>
      </c>
      <c r="R38" s="6">
        <v>-2.0037680806423399E-2</v>
      </c>
      <c r="S38" s="6">
        <v>-6.3858628429686899</v>
      </c>
      <c r="T38" s="6">
        <v>0.709347254127771</v>
      </c>
      <c r="U38" s="6">
        <v>75126.245925338299</v>
      </c>
      <c r="V38" s="6">
        <v>75126.245925338299</v>
      </c>
      <c r="W38" s="6">
        <v>3510</v>
      </c>
      <c r="X38" s="6">
        <v>-29328</v>
      </c>
      <c r="Y38" s="6">
        <v>75126.245925338299</v>
      </c>
      <c r="Z38" s="6">
        <v>45798.245925338299</v>
      </c>
      <c r="AA38" s="6">
        <v>-29328</v>
      </c>
      <c r="AB38" s="6">
        <v>75126.245925338299</v>
      </c>
      <c r="AC38" s="6">
        <v>45798.245925338299</v>
      </c>
      <c r="AD38">
        <v>1.9232185361691901E-2</v>
      </c>
      <c r="AE38">
        <v>46.250000000000398</v>
      </c>
      <c r="AL38" s="30">
        <v>0</v>
      </c>
      <c r="AM38" s="30">
        <v>780</v>
      </c>
      <c r="AN38" s="30">
        <v>780</v>
      </c>
      <c r="AO38" s="30">
        <f t="shared" si="20"/>
        <v>1</v>
      </c>
      <c r="AP38" s="30">
        <f t="shared" si="21"/>
        <v>45</v>
      </c>
    </row>
    <row r="39" spans="2:42" x14ac:dyDescent="0.25">
      <c r="B39" s="6" t="s">
        <v>77</v>
      </c>
      <c r="C39" s="6" t="s">
        <v>103</v>
      </c>
      <c r="D39" s="6" t="s">
        <v>106</v>
      </c>
      <c r="E39" s="16">
        <v>41000</v>
      </c>
      <c r="F39" s="16">
        <v>41090</v>
      </c>
      <c r="G39" s="16">
        <v>41090</v>
      </c>
      <c r="H39" s="6">
        <v>45</v>
      </c>
      <c r="I39" s="6" t="s">
        <v>3</v>
      </c>
      <c r="J39" s="6">
        <v>10</v>
      </c>
      <c r="K39" s="6">
        <v>2184</v>
      </c>
      <c r="L39" s="6">
        <v>4.21</v>
      </c>
      <c r="M39" s="6">
        <v>-91946.4</v>
      </c>
      <c r="N39" s="6">
        <v>4.0868270660452799</v>
      </c>
      <c r="O39" s="6">
        <v>0.45794980505889699</v>
      </c>
      <c r="P39" s="6">
        <v>2.76981956875706E-2</v>
      </c>
      <c r="Q39" s="6">
        <v>13.127594252802099</v>
      </c>
      <c r="R39" s="6">
        <v>-1.1262689966270001E-2</v>
      </c>
      <c r="S39" s="6">
        <v>-2.70962232872043</v>
      </c>
      <c r="T39" s="6">
        <v>0.42318232529628602</v>
      </c>
      <c r="U39" s="6">
        <v>89256.303122428901</v>
      </c>
      <c r="V39" s="6">
        <v>89256.303122428901</v>
      </c>
      <c r="W39" s="6">
        <v>9828</v>
      </c>
      <c r="X39" s="6">
        <v>-82118.399999999994</v>
      </c>
      <c r="Y39" s="6">
        <v>89256.303122428901</v>
      </c>
      <c r="Z39" s="6">
        <v>7137.9031224289201</v>
      </c>
      <c r="AA39" s="6">
        <v>-82118.399999999994</v>
      </c>
      <c r="AB39" s="6">
        <v>89256.303122428901</v>
      </c>
      <c r="AC39" s="6">
        <v>7137.9031224289201</v>
      </c>
      <c r="AD39">
        <v>1.9232185361691901E-2</v>
      </c>
      <c r="AE39">
        <v>41.1000000000003</v>
      </c>
      <c r="AL39" s="30">
        <v>0</v>
      </c>
      <c r="AM39" s="30">
        <v>2184</v>
      </c>
      <c r="AN39" s="30">
        <v>2184</v>
      </c>
      <c r="AO39" s="30">
        <f t="shared" si="20"/>
        <v>1</v>
      </c>
      <c r="AP39" s="30">
        <f t="shared" si="21"/>
        <v>45</v>
      </c>
    </row>
    <row r="40" spans="2:42" x14ac:dyDescent="0.25">
      <c r="B40" s="6" t="s">
        <v>77</v>
      </c>
      <c r="C40" s="6" t="s">
        <v>103</v>
      </c>
      <c r="D40" s="6" t="s">
        <v>107</v>
      </c>
      <c r="E40" s="16">
        <v>41000</v>
      </c>
      <c r="F40" s="16">
        <v>41090</v>
      </c>
      <c r="G40" s="16">
        <v>41090</v>
      </c>
      <c r="H40" s="6">
        <v>45</v>
      </c>
      <c r="I40" s="6" t="s">
        <v>3</v>
      </c>
      <c r="J40" s="6">
        <v>10</v>
      </c>
      <c r="K40" s="6">
        <v>2184</v>
      </c>
      <c r="L40" s="6">
        <v>4.21</v>
      </c>
      <c r="M40" s="6">
        <v>-91946.4</v>
      </c>
      <c r="N40" s="6">
        <v>7.9374130902141298</v>
      </c>
      <c r="O40" s="6">
        <v>-0.52937994472805405</v>
      </c>
      <c r="P40" s="6">
        <v>2.76981956875706E-2</v>
      </c>
      <c r="Q40" s="6">
        <v>13.127594252802099</v>
      </c>
      <c r="R40" s="6">
        <v>-1.1059799050741399E-2</v>
      </c>
      <c r="S40" s="6">
        <v>-5.2626136104981303</v>
      </c>
      <c r="T40" s="6">
        <v>0.42318232529628602</v>
      </c>
      <c r="U40" s="6">
        <v>173353.101890277</v>
      </c>
      <c r="V40" s="6">
        <v>173353.101890277</v>
      </c>
      <c r="W40" s="6">
        <v>9828</v>
      </c>
      <c r="X40" s="6">
        <v>-82118.399999999994</v>
      </c>
      <c r="Y40" s="6">
        <v>173353.101890277</v>
      </c>
      <c r="Z40" s="6">
        <v>91234.701890276498</v>
      </c>
      <c r="AA40" s="6">
        <v>-82118.399999999994</v>
      </c>
      <c r="AB40" s="6">
        <v>173353.101890277</v>
      </c>
      <c r="AC40" s="6">
        <v>91234.701890276498</v>
      </c>
      <c r="AD40">
        <v>1.9232185361691901E-2</v>
      </c>
      <c r="AE40">
        <v>41.1000000000003</v>
      </c>
      <c r="AL40" s="30">
        <v>0</v>
      </c>
      <c r="AM40" s="30">
        <v>2184</v>
      </c>
      <c r="AN40" s="30">
        <v>2184</v>
      </c>
      <c r="AO40" s="30">
        <f t="shared" si="20"/>
        <v>1</v>
      </c>
      <c r="AP40" s="30">
        <f t="shared" si="21"/>
        <v>45</v>
      </c>
    </row>
    <row r="41" spans="2:42" x14ac:dyDescent="0.25">
      <c r="B41" s="6" t="s">
        <v>83</v>
      </c>
      <c r="C41" s="6" t="s">
        <v>108</v>
      </c>
      <c r="D41" s="6" t="s">
        <v>106</v>
      </c>
      <c r="E41" s="16">
        <v>41000</v>
      </c>
      <c r="F41" s="16">
        <v>41090</v>
      </c>
      <c r="G41" s="16">
        <v>41090</v>
      </c>
      <c r="H41" s="6">
        <v>45</v>
      </c>
      <c r="I41" s="6" t="s">
        <v>3</v>
      </c>
      <c r="J41" s="6">
        <v>10</v>
      </c>
      <c r="K41" s="6">
        <v>2184</v>
      </c>
      <c r="L41" s="6">
        <v>4.21</v>
      </c>
      <c r="M41" s="6">
        <v>-91946.4</v>
      </c>
      <c r="N41" s="6">
        <v>1.61351895407131</v>
      </c>
      <c r="O41" s="6">
        <v>0.33861128084340603</v>
      </c>
      <c r="P41" s="6">
        <v>4.5919006805681402E-2</v>
      </c>
      <c r="Q41" s="6">
        <v>12.0699612369419</v>
      </c>
      <c r="R41" s="6">
        <v>-5.8425964711573903E-3</v>
      </c>
      <c r="S41" s="6">
        <v>-1.06978516954865</v>
      </c>
      <c r="T41" s="6">
        <v>0.23769465776039</v>
      </c>
      <c r="U41" s="6">
        <v>35239.253956917302</v>
      </c>
      <c r="V41" s="6">
        <v>35239.253956917302</v>
      </c>
      <c r="W41" s="6">
        <v>9828</v>
      </c>
      <c r="X41" s="6">
        <v>-82118.399999999994</v>
      </c>
      <c r="Y41" s="6">
        <v>35239.253956917302</v>
      </c>
      <c r="Z41" s="6">
        <v>-46879.146043082699</v>
      </c>
      <c r="AA41" s="6">
        <v>-82118.399999999994</v>
      </c>
      <c r="AB41" s="6">
        <v>35239.253956917302</v>
      </c>
      <c r="AC41" s="6">
        <v>-46879.146043082699</v>
      </c>
      <c r="AD41">
        <v>1.9232185361691901E-2</v>
      </c>
      <c r="AE41">
        <v>40.839999999999797</v>
      </c>
      <c r="AL41" s="30">
        <v>0</v>
      </c>
      <c r="AM41" s="30">
        <v>2184</v>
      </c>
      <c r="AN41" s="30">
        <v>2184</v>
      </c>
      <c r="AO41" s="30">
        <f t="shared" si="20"/>
        <v>1</v>
      </c>
      <c r="AP41" s="30">
        <f t="shared" si="21"/>
        <v>45</v>
      </c>
    </row>
    <row r="42" spans="2:42" x14ac:dyDescent="0.25">
      <c r="B42" s="6" t="s">
        <v>83</v>
      </c>
      <c r="C42" s="6" t="s">
        <v>108</v>
      </c>
      <c r="D42" s="6" t="s">
        <v>107</v>
      </c>
      <c r="E42" s="16">
        <v>41000</v>
      </c>
      <c r="F42" s="16">
        <v>41090</v>
      </c>
      <c r="G42" s="16">
        <v>41090</v>
      </c>
      <c r="H42" s="6">
        <v>45</v>
      </c>
      <c r="I42" s="6" t="s">
        <v>3</v>
      </c>
      <c r="J42" s="6">
        <v>10</v>
      </c>
      <c r="K42" s="6">
        <v>2184</v>
      </c>
      <c r="L42" s="6">
        <v>4.21</v>
      </c>
      <c r="M42" s="6">
        <v>-91946.4</v>
      </c>
      <c r="N42" s="6">
        <v>5.7208107131852497</v>
      </c>
      <c r="O42" s="6">
        <v>-0.64871846894354401</v>
      </c>
      <c r="P42" s="6">
        <v>4.5919006805681402E-2</v>
      </c>
      <c r="Q42" s="6">
        <v>12.0699612369419</v>
      </c>
      <c r="R42" s="6">
        <v>-5.6261794945934697E-3</v>
      </c>
      <c r="S42" s="6">
        <v>-3.7929758701118699</v>
      </c>
      <c r="T42" s="6">
        <v>0.23769465776039</v>
      </c>
      <c r="U42" s="6">
        <v>124942.50597596601</v>
      </c>
      <c r="V42" s="6">
        <v>124942.50597596601</v>
      </c>
      <c r="W42" s="6">
        <v>9828</v>
      </c>
      <c r="X42" s="6">
        <v>-82118.399999999994</v>
      </c>
      <c r="Y42" s="6">
        <v>124942.50597596601</v>
      </c>
      <c r="Z42" s="6">
        <v>42824.105975965897</v>
      </c>
      <c r="AA42" s="6">
        <v>-82118.399999999994</v>
      </c>
      <c r="AB42" s="6">
        <v>124942.50597596601</v>
      </c>
      <c r="AC42" s="6">
        <v>42824.105975965897</v>
      </c>
      <c r="AD42">
        <v>1.9232185361691901E-2</v>
      </c>
      <c r="AE42">
        <v>40.839999999999797</v>
      </c>
      <c r="AL42" s="30">
        <v>0</v>
      </c>
      <c r="AM42" s="30">
        <v>2184</v>
      </c>
      <c r="AN42" s="30">
        <v>2184</v>
      </c>
      <c r="AO42" s="30">
        <f t="shared" si="20"/>
        <v>1</v>
      </c>
      <c r="AP42" s="30">
        <f t="shared" si="21"/>
        <v>45</v>
      </c>
    </row>
    <row r="43" spans="2:42" x14ac:dyDescent="0.25">
      <c r="B43" s="6" t="s">
        <v>77</v>
      </c>
      <c r="C43" s="6" t="s">
        <v>109</v>
      </c>
      <c r="D43" s="6" t="s">
        <v>110</v>
      </c>
      <c r="E43" s="16">
        <v>41061</v>
      </c>
      <c r="F43" s="16">
        <v>41090</v>
      </c>
      <c r="G43" s="16">
        <v>41090</v>
      </c>
      <c r="H43" s="6">
        <v>45</v>
      </c>
      <c r="I43" s="6" t="s">
        <v>3</v>
      </c>
      <c r="J43" s="6">
        <v>10</v>
      </c>
      <c r="K43" s="6">
        <v>252</v>
      </c>
      <c r="L43" s="6">
        <v>4.21</v>
      </c>
      <c r="M43" s="6">
        <v>-10609.2</v>
      </c>
      <c r="N43" s="6">
        <v>10.9528842079017</v>
      </c>
      <c r="O43" s="6">
        <v>0.61504245749534103</v>
      </c>
      <c r="P43" s="6">
        <v>1.324473720137E-2</v>
      </c>
      <c r="Q43" s="6">
        <v>13.726521723838299</v>
      </c>
      <c r="R43" s="6">
        <v>-2.1363780426184399E-2</v>
      </c>
      <c r="S43" s="6">
        <v>-7.2619122693485201</v>
      </c>
      <c r="T43" s="6">
        <v>0.77364060798591505</v>
      </c>
      <c r="U43" s="6">
        <v>27601.268203912299</v>
      </c>
      <c r="V43" s="6">
        <v>27601.268203912299</v>
      </c>
      <c r="W43" s="6">
        <v>1134</v>
      </c>
      <c r="X43" s="6">
        <v>-9475.2000000000007</v>
      </c>
      <c r="Y43" s="6">
        <v>27601.268203912299</v>
      </c>
      <c r="Z43" s="6">
        <v>18126.068203912298</v>
      </c>
      <c r="AA43" s="6">
        <v>-9475.2000000000007</v>
      </c>
      <c r="AB43" s="6">
        <v>27601.268203912299</v>
      </c>
      <c r="AC43" s="6">
        <v>18126.068203912298</v>
      </c>
      <c r="AD43">
        <v>1.9232185361691901E-2</v>
      </c>
      <c r="AE43">
        <v>44.949793254007801</v>
      </c>
      <c r="AL43" s="30">
        <v>0</v>
      </c>
      <c r="AM43" s="30">
        <v>252</v>
      </c>
      <c r="AN43" s="30">
        <v>252</v>
      </c>
      <c r="AO43" s="30">
        <f t="shared" si="20"/>
        <v>1</v>
      </c>
      <c r="AP43" s="30">
        <f t="shared" si="21"/>
        <v>45</v>
      </c>
    </row>
    <row r="44" spans="2:42" x14ac:dyDescent="0.25">
      <c r="B44" s="6" t="s">
        <v>77</v>
      </c>
      <c r="C44" s="6" t="s">
        <v>109</v>
      </c>
      <c r="D44" s="6" t="s">
        <v>111</v>
      </c>
      <c r="E44" s="16">
        <v>41061</v>
      </c>
      <c r="F44" s="16">
        <v>41090</v>
      </c>
      <c r="G44" s="16">
        <v>41090</v>
      </c>
      <c r="H44" s="6">
        <v>45</v>
      </c>
      <c r="I44" s="6" t="s">
        <v>3</v>
      </c>
      <c r="J44" s="6">
        <v>10</v>
      </c>
      <c r="K44" s="6">
        <v>252</v>
      </c>
      <c r="L44" s="6">
        <v>4.21</v>
      </c>
      <c r="M44" s="6">
        <v>-10609.2</v>
      </c>
      <c r="N44" s="6">
        <v>11.0024548218598</v>
      </c>
      <c r="O44" s="6">
        <v>-0.37228729229161001</v>
      </c>
      <c r="P44" s="6">
        <v>1.324473720137E-2</v>
      </c>
      <c r="Q44" s="6">
        <v>13.726521723838299</v>
      </c>
      <c r="R44" s="6">
        <v>-2.1361168504989501E-2</v>
      </c>
      <c r="S44" s="6">
        <v>-7.2947782654522602</v>
      </c>
      <c r="T44" s="6">
        <v>0.77364060798591505</v>
      </c>
      <c r="U44" s="6">
        <v>27726.186151086698</v>
      </c>
      <c r="V44" s="6">
        <v>27726.186151086698</v>
      </c>
      <c r="W44" s="6">
        <v>1134</v>
      </c>
      <c r="X44" s="6">
        <v>-9475.2000000000007</v>
      </c>
      <c r="Y44" s="6">
        <v>27726.186151086698</v>
      </c>
      <c r="Z44" s="6">
        <v>18250.986151086701</v>
      </c>
      <c r="AA44" s="6">
        <v>-9475.2000000000007</v>
      </c>
      <c r="AB44" s="6">
        <v>27726.186151086698</v>
      </c>
      <c r="AC44" s="6">
        <v>18250.986151086701</v>
      </c>
      <c r="AD44">
        <v>1.9232185361691901E-2</v>
      </c>
      <c r="AE44">
        <v>44.949793254007801</v>
      </c>
      <c r="AL44" s="30">
        <v>0</v>
      </c>
      <c r="AM44" s="30">
        <v>252</v>
      </c>
      <c r="AN44" s="30">
        <v>252</v>
      </c>
      <c r="AO44" s="30">
        <f t="shared" si="20"/>
        <v>1</v>
      </c>
      <c r="AP44" s="30">
        <f t="shared" si="21"/>
        <v>45</v>
      </c>
    </row>
    <row r="45" spans="2:42" x14ac:dyDescent="0.25">
      <c r="B45" s="6" t="s">
        <v>77</v>
      </c>
      <c r="C45" s="6" t="s">
        <v>109</v>
      </c>
      <c r="D45" s="6" t="s">
        <v>112</v>
      </c>
      <c r="E45" s="16">
        <v>41061</v>
      </c>
      <c r="F45" s="16">
        <v>41090</v>
      </c>
      <c r="G45" s="16">
        <v>41090</v>
      </c>
      <c r="H45" s="6">
        <v>45</v>
      </c>
      <c r="I45" s="6" t="s">
        <v>3</v>
      </c>
      <c r="J45" s="6">
        <v>10</v>
      </c>
      <c r="K45" s="6">
        <v>720</v>
      </c>
      <c r="L45" s="6">
        <v>4.21</v>
      </c>
      <c r="M45" s="6">
        <v>-30312</v>
      </c>
      <c r="N45" s="6">
        <v>4.3222740271992901</v>
      </c>
      <c r="O45" s="6">
        <v>0.45573467098458997</v>
      </c>
      <c r="P45" s="6">
        <v>2.5500479676983202E-2</v>
      </c>
      <c r="Q45" s="6">
        <v>12.8769694306527</v>
      </c>
      <c r="R45" s="6">
        <v>-1.2226319719945899E-2</v>
      </c>
      <c r="S45" s="6">
        <v>-2.8657268892663801</v>
      </c>
      <c r="T45" s="6">
        <v>0.46810448361909401</v>
      </c>
      <c r="U45" s="6">
        <v>31120.372995834899</v>
      </c>
      <c r="V45" s="6">
        <v>31120.372995834899</v>
      </c>
      <c r="W45" s="6">
        <v>3240</v>
      </c>
      <c r="X45" s="6">
        <v>-27072</v>
      </c>
      <c r="Y45" s="6">
        <v>31120.372995834899</v>
      </c>
      <c r="Z45" s="6">
        <v>4048.3729958349199</v>
      </c>
      <c r="AA45" s="6">
        <v>-27072</v>
      </c>
      <c r="AB45" s="6">
        <v>31120.372995834899</v>
      </c>
      <c r="AC45" s="6">
        <v>4048.3729958349199</v>
      </c>
      <c r="AD45">
        <v>1.9232185361691901E-2</v>
      </c>
      <c r="AE45">
        <v>40.3366666666669</v>
      </c>
      <c r="AL45" s="30">
        <v>0</v>
      </c>
      <c r="AM45" s="30">
        <v>720</v>
      </c>
      <c r="AN45" s="30">
        <v>720</v>
      </c>
      <c r="AO45" s="30">
        <f t="shared" si="20"/>
        <v>1</v>
      </c>
      <c r="AP45" s="30">
        <f t="shared" si="21"/>
        <v>45</v>
      </c>
    </row>
    <row r="46" spans="2:42" x14ac:dyDescent="0.25">
      <c r="B46" s="6" t="s">
        <v>77</v>
      </c>
      <c r="C46" s="6" t="s">
        <v>109</v>
      </c>
      <c r="D46" s="6" t="s">
        <v>113</v>
      </c>
      <c r="E46" s="16">
        <v>41061</v>
      </c>
      <c r="F46" s="16">
        <v>41090</v>
      </c>
      <c r="G46" s="16">
        <v>41090</v>
      </c>
      <c r="H46" s="6">
        <v>45</v>
      </c>
      <c r="I46" s="6" t="s">
        <v>3</v>
      </c>
      <c r="J46" s="6">
        <v>10</v>
      </c>
      <c r="K46" s="6">
        <v>720</v>
      </c>
      <c r="L46" s="6">
        <v>4.21</v>
      </c>
      <c r="M46" s="6">
        <v>-30312</v>
      </c>
      <c r="N46" s="6">
        <v>8.9265217603722107</v>
      </c>
      <c r="O46" s="6">
        <v>-0.53159507880236101</v>
      </c>
      <c r="P46" s="6">
        <v>2.5500479676983202E-2</v>
      </c>
      <c r="Q46" s="6">
        <v>12.8769694306527</v>
      </c>
      <c r="R46" s="6">
        <v>-1.1983717676506101E-2</v>
      </c>
      <c r="S46" s="6">
        <v>-5.9184062082467799</v>
      </c>
      <c r="T46" s="6">
        <v>0.46810448361909401</v>
      </c>
      <c r="U46" s="6">
        <v>64270.956674679903</v>
      </c>
      <c r="V46" s="6">
        <v>64270.956674679903</v>
      </c>
      <c r="W46" s="6">
        <v>3240</v>
      </c>
      <c r="X46" s="6">
        <v>-27072</v>
      </c>
      <c r="Y46" s="6">
        <v>64270.956674679903</v>
      </c>
      <c r="Z46" s="6">
        <v>37198.956674679903</v>
      </c>
      <c r="AA46" s="6">
        <v>-27072</v>
      </c>
      <c r="AB46" s="6">
        <v>64270.956674679903</v>
      </c>
      <c r="AC46" s="6">
        <v>37198.956674679903</v>
      </c>
      <c r="AD46">
        <v>1.9232185361691901E-2</v>
      </c>
      <c r="AE46">
        <v>40.3366666666669</v>
      </c>
      <c r="AL46" s="30">
        <v>0</v>
      </c>
      <c r="AM46" s="30">
        <v>720</v>
      </c>
      <c r="AN46" s="30">
        <v>720</v>
      </c>
      <c r="AO46" s="30">
        <f t="shared" si="20"/>
        <v>1</v>
      </c>
      <c r="AP46" s="30">
        <f t="shared" si="21"/>
        <v>45</v>
      </c>
    </row>
    <row r="47" spans="2:42" x14ac:dyDescent="0.25">
      <c r="B47" s="6" t="s">
        <v>83</v>
      </c>
      <c r="C47" s="6" t="s">
        <v>114</v>
      </c>
      <c r="D47" s="6" t="s">
        <v>112</v>
      </c>
      <c r="E47" s="16">
        <v>41061</v>
      </c>
      <c r="F47" s="16">
        <v>41090</v>
      </c>
      <c r="G47" s="16">
        <v>41090</v>
      </c>
      <c r="H47" s="6">
        <v>45</v>
      </c>
      <c r="I47" s="6" t="s">
        <v>3</v>
      </c>
      <c r="J47" s="6">
        <v>10</v>
      </c>
      <c r="K47" s="6">
        <v>720</v>
      </c>
      <c r="L47" s="6">
        <v>4.21</v>
      </c>
      <c r="M47" s="6">
        <v>-30312</v>
      </c>
      <c r="N47" s="6">
        <v>1.9175128498510099</v>
      </c>
      <c r="O47" s="6">
        <v>0.35696458885966798</v>
      </c>
      <c r="P47" s="6">
        <v>4.1831253579769398E-2</v>
      </c>
      <c r="Q47" s="6">
        <v>12.257066236946001</v>
      </c>
      <c r="R47" s="6">
        <v>-6.6578096863136602E-3</v>
      </c>
      <c r="S47" s="6">
        <v>-1.2713372867505299</v>
      </c>
      <c r="T47" s="6">
        <v>0.26688940188862997</v>
      </c>
      <c r="U47" s="6">
        <v>13806.0925189273</v>
      </c>
      <c r="V47" s="6">
        <v>13806.0925189273</v>
      </c>
      <c r="W47" s="6">
        <v>3240</v>
      </c>
      <c r="X47" s="6">
        <v>-27072</v>
      </c>
      <c r="Y47" s="6">
        <v>13806.0925189273</v>
      </c>
      <c r="Z47" s="6">
        <v>-13265.9074810727</v>
      </c>
      <c r="AA47" s="6">
        <v>-27072</v>
      </c>
      <c r="AB47" s="6">
        <v>13806.0925189273</v>
      </c>
      <c r="AC47" s="6">
        <v>-13265.9074810727</v>
      </c>
      <c r="AD47">
        <v>1.9232185361691901E-2</v>
      </c>
      <c r="AE47">
        <v>40.692644260961799</v>
      </c>
      <c r="AL47" s="30">
        <v>0</v>
      </c>
      <c r="AM47" s="30">
        <v>720</v>
      </c>
      <c r="AN47" s="30">
        <v>720</v>
      </c>
      <c r="AO47" s="30">
        <f t="shared" si="20"/>
        <v>1</v>
      </c>
      <c r="AP47" s="30">
        <f t="shared" si="21"/>
        <v>45</v>
      </c>
    </row>
    <row r="48" spans="2:42" x14ac:dyDescent="0.25">
      <c r="B48" s="6" t="s">
        <v>83</v>
      </c>
      <c r="C48" s="6" t="s">
        <v>114</v>
      </c>
      <c r="D48" s="6" t="s">
        <v>113</v>
      </c>
      <c r="E48" s="16">
        <v>41061</v>
      </c>
      <c r="F48" s="16">
        <v>41090</v>
      </c>
      <c r="G48" s="16">
        <v>41090</v>
      </c>
      <c r="H48" s="6">
        <v>45</v>
      </c>
      <c r="I48" s="6" t="s">
        <v>3</v>
      </c>
      <c r="J48" s="6">
        <v>10</v>
      </c>
      <c r="K48" s="6">
        <v>720</v>
      </c>
      <c r="L48" s="6">
        <v>4.21</v>
      </c>
      <c r="M48" s="6">
        <v>-30312</v>
      </c>
      <c r="N48" s="6">
        <v>6.1702933139189398</v>
      </c>
      <c r="O48" s="6">
        <v>-0.63036516092728201</v>
      </c>
      <c r="P48" s="6">
        <v>4.1831253579769398E-2</v>
      </c>
      <c r="Q48" s="6">
        <v>12.257066236946001</v>
      </c>
      <c r="R48" s="6">
        <v>-6.4337267762108203E-3</v>
      </c>
      <c r="S48" s="6">
        <v>-4.0909889916941999</v>
      </c>
      <c r="T48" s="6">
        <v>0.26688940188862997</v>
      </c>
      <c r="U48" s="6">
        <v>44426.111860216399</v>
      </c>
      <c r="V48" s="6">
        <v>44426.111860216399</v>
      </c>
      <c r="W48" s="6">
        <v>3240</v>
      </c>
      <c r="X48" s="6">
        <v>-27072</v>
      </c>
      <c r="Y48" s="6">
        <v>44426.111860216399</v>
      </c>
      <c r="Z48" s="6">
        <v>17354.111860216399</v>
      </c>
      <c r="AA48" s="6">
        <v>-27072</v>
      </c>
      <c r="AB48" s="6">
        <v>44426.111860216399</v>
      </c>
      <c r="AC48" s="6">
        <v>17354.111860216399</v>
      </c>
      <c r="AD48">
        <v>1.9232185361691901E-2</v>
      </c>
      <c r="AE48">
        <v>40.692644260961799</v>
      </c>
      <c r="AL48" s="30">
        <v>0</v>
      </c>
      <c r="AM48" s="30">
        <v>720</v>
      </c>
      <c r="AN48" s="30">
        <v>720</v>
      </c>
      <c r="AO48" s="30">
        <f t="shared" si="20"/>
        <v>1</v>
      </c>
      <c r="AP48" s="30">
        <f t="shared" si="21"/>
        <v>45</v>
      </c>
    </row>
    <row r="49" spans="2:42" x14ac:dyDescent="0.25">
      <c r="B49" s="6" t="s">
        <v>77</v>
      </c>
      <c r="C49" s="6" t="s">
        <v>115</v>
      </c>
      <c r="D49" s="6" t="s">
        <v>116</v>
      </c>
      <c r="E49" s="16">
        <v>40179</v>
      </c>
      <c r="F49" s="16">
        <v>40209</v>
      </c>
      <c r="G49" s="16">
        <v>40209</v>
      </c>
      <c r="H49" s="6">
        <v>45</v>
      </c>
      <c r="I49" s="6" t="s">
        <v>8</v>
      </c>
      <c r="J49" s="6">
        <v>10</v>
      </c>
      <c r="K49" s="6">
        <v>252</v>
      </c>
      <c r="L49" s="6">
        <v>4.21</v>
      </c>
      <c r="M49" s="6">
        <v>-10609.2</v>
      </c>
      <c r="N49" s="6">
        <v>0</v>
      </c>
      <c r="O49" s="6">
        <v>0</v>
      </c>
      <c r="P49" s="6">
        <v>0</v>
      </c>
      <c r="Q49" s="6">
        <v>0</v>
      </c>
      <c r="R49" s="6">
        <v>0</v>
      </c>
      <c r="S49" s="6">
        <v>0</v>
      </c>
      <c r="T49" s="6">
        <v>0</v>
      </c>
      <c r="U49" s="6">
        <v>0</v>
      </c>
      <c r="V49" s="6">
        <v>0</v>
      </c>
      <c r="W49" s="6">
        <v>1134</v>
      </c>
      <c r="X49" s="6">
        <v>43468.6</v>
      </c>
      <c r="Y49" s="6">
        <v>0</v>
      </c>
      <c r="Z49" s="6">
        <v>43468.6</v>
      </c>
      <c r="AA49" s="6">
        <v>43468.6</v>
      </c>
      <c r="AB49" s="6">
        <v>0</v>
      </c>
      <c r="AC49" s="6">
        <v>43468.6</v>
      </c>
      <c r="AD49">
        <v>0</v>
      </c>
      <c r="AE49">
        <v>0</v>
      </c>
      <c r="AL49" s="30">
        <v>0</v>
      </c>
      <c r="AM49" s="30">
        <v>8784</v>
      </c>
      <c r="AN49" s="30">
        <v>8784</v>
      </c>
      <c r="AO49" s="30">
        <f t="shared" si="20"/>
        <v>1</v>
      </c>
      <c r="AP49" s="30">
        <f t="shared" si="21"/>
        <v>45</v>
      </c>
    </row>
    <row r="50" spans="2:42" x14ac:dyDescent="0.25">
      <c r="B50" s="6" t="s">
        <v>77</v>
      </c>
      <c r="C50" s="6" t="s">
        <v>115</v>
      </c>
      <c r="D50" s="6" t="s">
        <v>117</v>
      </c>
      <c r="E50" s="16">
        <v>40179</v>
      </c>
      <c r="F50" s="16">
        <v>40209</v>
      </c>
      <c r="G50" s="16">
        <v>40209</v>
      </c>
      <c r="H50" s="6">
        <v>45</v>
      </c>
      <c r="I50" s="6" t="s">
        <v>8</v>
      </c>
      <c r="J50" s="6">
        <v>10</v>
      </c>
      <c r="K50" s="6">
        <v>252</v>
      </c>
      <c r="L50" s="6">
        <v>4.21</v>
      </c>
      <c r="M50" s="6">
        <v>-10609.2</v>
      </c>
      <c r="N50" s="6">
        <v>0</v>
      </c>
      <c r="O50" s="6">
        <v>0</v>
      </c>
      <c r="P50" s="6">
        <v>0</v>
      </c>
      <c r="Q50" s="6">
        <v>0</v>
      </c>
      <c r="R50" s="6">
        <v>0</v>
      </c>
      <c r="S50" s="6">
        <v>0</v>
      </c>
      <c r="T50" s="6">
        <v>0</v>
      </c>
      <c r="U50" s="6">
        <v>0</v>
      </c>
      <c r="V50" s="6">
        <v>0</v>
      </c>
      <c r="W50" s="6">
        <v>1134</v>
      </c>
      <c r="X50" s="6">
        <v>-9475.2000000000007</v>
      </c>
      <c r="Y50" s="6">
        <v>0</v>
      </c>
      <c r="Z50" s="6">
        <v>-9475.2000000000007</v>
      </c>
      <c r="AA50" s="6">
        <v>-9475.2000000000007</v>
      </c>
      <c r="AB50" s="6">
        <v>0</v>
      </c>
      <c r="AC50" s="6">
        <v>-9475.2000000000007</v>
      </c>
      <c r="AE50">
        <v>0</v>
      </c>
      <c r="AO50" s="30" t="e">
        <f t="shared" si="20"/>
        <v>#DIV/0!</v>
      </c>
      <c r="AP50" s="30" t="e">
        <f t="shared" si="21"/>
        <v>#DIV/0!</v>
      </c>
    </row>
    <row r="51" spans="2:42" x14ac:dyDescent="0.25">
      <c r="B51" s="6" t="s">
        <v>77</v>
      </c>
      <c r="C51" s="6" t="s">
        <v>115</v>
      </c>
      <c r="D51" s="6" t="s">
        <v>118</v>
      </c>
      <c r="E51" s="16">
        <v>40179</v>
      </c>
      <c r="F51" s="16">
        <v>40209</v>
      </c>
      <c r="G51" s="16">
        <v>40209</v>
      </c>
      <c r="H51" s="6">
        <v>45</v>
      </c>
      <c r="I51" s="6" t="s">
        <v>8</v>
      </c>
      <c r="J51" s="6">
        <v>10</v>
      </c>
      <c r="K51" s="6">
        <v>744</v>
      </c>
      <c r="L51" s="6">
        <v>4.21</v>
      </c>
      <c r="M51" s="6">
        <v>-31322.400000000001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  <c r="S51" s="6">
        <v>0</v>
      </c>
      <c r="T51" s="6">
        <v>0</v>
      </c>
      <c r="U51" s="6">
        <v>0</v>
      </c>
      <c r="V51" s="6">
        <v>0</v>
      </c>
      <c r="W51" s="6">
        <v>3348</v>
      </c>
      <c r="X51" s="6">
        <v>34388.899999999703</v>
      </c>
      <c r="Y51" s="6">
        <v>0</v>
      </c>
      <c r="Z51" s="6">
        <v>34388.899999999703</v>
      </c>
      <c r="AA51" s="6">
        <v>34388.899999999703</v>
      </c>
      <c r="AB51" s="6">
        <v>0</v>
      </c>
      <c r="AC51" s="6">
        <v>34388.899999999703</v>
      </c>
      <c r="AE51">
        <v>0</v>
      </c>
      <c r="AO51" s="30" t="e">
        <f t="shared" si="20"/>
        <v>#DIV/0!</v>
      </c>
      <c r="AP51" s="30" t="e">
        <f t="shared" si="21"/>
        <v>#DIV/0!</v>
      </c>
    </row>
    <row r="52" spans="2:42" x14ac:dyDescent="0.25">
      <c r="B52" s="6" t="s">
        <v>77</v>
      </c>
      <c r="C52" s="6" t="s">
        <v>115</v>
      </c>
      <c r="D52" s="6" t="s">
        <v>119</v>
      </c>
      <c r="E52" s="16">
        <v>40179</v>
      </c>
      <c r="F52" s="16">
        <v>40209</v>
      </c>
      <c r="G52" s="16">
        <v>40209</v>
      </c>
      <c r="H52" s="6">
        <v>45</v>
      </c>
      <c r="I52" s="6" t="s">
        <v>8</v>
      </c>
      <c r="J52" s="6">
        <v>10</v>
      </c>
      <c r="K52" s="6">
        <v>744</v>
      </c>
      <c r="L52" s="6">
        <v>4.21</v>
      </c>
      <c r="M52" s="6">
        <v>-31322.400000000001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v>0</v>
      </c>
      <c r="W52" s="6">
        <v>3348</v>
      </c>
      <c r="X52" s="6">
        <v>-27974.400000000001</v>
      </c>
      <c r="Y52" s="6">
        <v>0</v>
      </c>
      <c r="Z52" s="6">
        <v>-27974.400000000001</v>
      </c>
      <c r="AA52" s="6">
        <v>-27974.400000000001</v>
      </c>
      <c r="AB52" s="6">
        <v>0</v>
      </c>
      <c r="AC52" s="6">
        <v>-27974.400000000001</v>
      </c>
      <c r="AE52">
        <v>0</v>
      </c>
      <c r="AO52" s="30" t="e">
        <f t="shared" si="20"/>
        <v>#DIV/0!</v>
      </c>
      <c r="AP52" s="30" t="e">
        <f t="shared" si="21"/>
        <v>#DIV/0!</v>
      </c>
    </row>
    <row r="53" spans="2:42" x14ac:dyDescent="0.25">
      <c r="B53" s="6" t="s">
        <v>83</v>
      </c>
      <c r="C53" s="6" t="s">
        <v>120</v>
      </c>
      <c r="D53" s="6" t="s">
        <v>118</v>
      </c>
      <c r="E53" s="16">
        <v>40179</v>
      </c>
      <c r="F53" s="16">
        <v>40209</v>
      </c>
      <c r="G53" s="16">
        <v>40209</v>
      </c>
      <c r="H53" s="6">
        <v>45</v>
      </c>
      <c r="I53" s="6" t="s">
        <v>8</v>
      </c>
      <c r="J53" s="6">
        <v>10</v>
      </c>
      <c r="K53" s="6">
        <v>744</v>
      </c>
      <c r="L53" s="6">
        <v>4.21</v>
      </c>
      <c r="M53" s="6">
        <v>-31322.400000000001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S53" s="6">
        <v>0</v>
      </c>
      <c r="T53" s="6">
        <v>0</v>
      </c>
      <c r="U53" s="6">
        <v>0</v>
      </c>
      <c r="V53" s="6">
        <v>0</v>
      </c>
      <c r="W53" s="6">
        <v>3348</v>
      </c>
      <c r="X53" s="6">
        <v>10575.4999999995</v>
      </c>
      <c r="Y53" s="6">
        <v>0</v>
      </c>
      <c r="Z53" s="6">
        <v>10575.4999999995</v>
      </c>
      <c r="AA53" s="6">
        <v>10575.4999999995</v>
      </c>
      <c r="AB53" s="6">
        <v>0</v>
      </c>
      <c r="AC53" s="6">
        <v>10575.4999999995</v>
      </c>
      <c r="AE53">
        <v>0</v>
      </c>
      <c r="AO53" s="30" t="e">
        <f t="shared" si="20"/>
        <v>#DIV/0!</v>
      </c>
      <c r="AP53" s="30" t="e">
        <f t="shared" si="21"/>
        <v>#DIV/0!</v>
      </c>
    </row>
    <row r="54" spans="2:42" x14ac:dyDescent="0.25">
      <c r="B54" s="6" t="s">
        <v>83</v>
      </c>
      <c r="C54" s="6" t="s">
        <v>120</v>
      </c>
      <c r="D54" s="6" t="s">
        <v>119</v>
      </c>
      <c r="E54" s="16">
        <v>40179</v>
      </c>
      <c r="F54" s="16">
        <v>40209</v>
      </c>
      <c r="G54" s="16">
        <v>40209</v>
      </c>
      <c r="H54" s="6">
        <v>45</v>
      </c>
      <c r="I54" s="6" t="s">
        <v>8</v>
      </c>
      <c r="J54" s="6">
        <v>10</v>
      </c>
      <c r="K54" s="6">
        <v>744</v>
      </c>
      <c r="L54" s="6">
        <v>4.21</v>
      </c>
      <c r="M54" s="6">
        <v>-31322.400000000001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T54" s="6">
        <v>0</v>
      </c>
      <c r="U54" s="6">
        <v>0</v>
      </c>
      <c r="V54" s="6">
        <v>0</v>
      </c>
      <c r="W54" s="6">
        <v>3348</v>
      </c>
      <c r="X54" s="6">
        <v>-27974.400000000001</v>
      </c>
      <c r="Y54" s="6">
        <v>0</v>
      </c>
      <c r="Z54" s="6">
        <v>-27974.400000000001</v>
      </c>
      <c r="AA54" s="6">
        <v>-27974.400000000001</v>
      </c>
      <c r="AB54" s="6">
        <v>0</v>
      </c>
      <c r="AC54" s="6">
        <v>-27974.400000000001</v>
      </c>
      <c r="AE54">
        <v>0</v>
      </c>
      <c r="AO54" s="30" t="e">
        <f t="shared" si="20"/>
        <v>#DIV/0!</v>
      </c>
      <c r="AP54" s="30" t="e">
        <f t="shared" si="21"/>
        <v>#DIV/0!</v>
      </c>
    </row>
    <row r="55" spans="2:42" x14ac:dyDescent="0.25">
      <c r="B55" s="6" t="s">
        <v>77</v>
      </c>
      <c r="C55" s="6" t="s">
        <v>121</v>
      </c>
      <c r="D55" s="6" t="s">
        <v>122</v>
      </c>
      <c r="E55" s="16">
        <v>40179</v>
      </c>
      <c r="F55" s="16">
        <v>40543</v>
      </c>
      <c r="G55" s="16">
        <v>40543</v>
      </c>
      <c r="H55" s="6">
        <v>45</v>
      </c>
      <c r="I55" s="6" t="s">
        <v>8</v>
      </c>
      <c r="J55" s="6">
        <v>10</v>
      </c>
      <c r="K55" s="6">
        <v>3132</v>
      </c>
      <c r="L55" s="6">
        <v>4.21</v>
      </c>
      <c r="M55" s="6">
        <v>-131857.20000000001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S55" s="6">
        <v>0</v>
      </c>
      <c r="T55" s="6">
        <v>0</v>
      </c>
      <c r="U55" s="6">
        <v>0</v>
      </c>
      <c r="V55" s="6">
        <v>0</v>
      </c>
      <c r="W55" s="6">
        <v>14094</v>
      </c>
      <c r="X55" s="6">
        <v>317952.10000000102</v>
      </c>
      <c r="Y55" s="6">
        <v>0</v>
      </c>
      <c r="Z55" s="6">
        <v>317952.10000000102</v>
      </c>
      <c r="AA55" s="6">
        <v>317952.10000000102</v>
      </c>
      <c r="AB55" s="6">
        <v>0</v>
      </c>
      <c r="AC55" s="6">
        <v>317952.10000000102</v>
      </c>
      <c r="AE55">
        <v>0</v>
      </c>
      <c r="AO55" s="30" t="e">
        <f t="shared" si="20"/>
        <v>#DIV/0!</v>
      </c>
      <c r="AP55" s="30" t="e">
        <f t="shared" si="21"/>
        <v>#DIV/0!</v>
      </c>
    </row>
    <row r="56" spans="2:42" x14ac:dyDescent="0.25">
      <c r="B56" s="6" t="s">
        <v>77</v>
      </c>
      <c r="C56" s="6" t="s">
        <v>121</v>
      </c>
      <c r="D56" s="6" t="s">
        <v>123</v>
      </c>
      <c r="E56" s="16">
        <v>40179</v>
      </c>
      <c r="F56" s="16">
        <v>40543</v>
      </c>
      <c r="G56" s="16">
        <v>40543</v>
      </c>
      <c r="H56" s="6">
        <v>45</v>
      </c>
      <c r="I56" s="6" t="s">
        <v>8</v>
      </c>
      <c r="J56" s="6">
        <v>10</v>
      </c>
      <c r="K56" s="6">
        <v>3132</v>
      </c>
      <c r="L56" s="6">
        <v>4.21</v>
      </c>
      <c r="M56" s="6">
        <v>-131857.20000000001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v>0</v>
      </c>
      <c r="W56" s="6">
        <v>14094</v>
      </c>
      <c r="X56" s="6">
        <v>-117763.2</v>
      </c>
      <c r="Y56" s="6">
        <v>0</v>
      </c>
      <c r="Z56" s="6">
        <v>-117763.2</v>
      </c>
      <c r="AA56" s="6">
        <v>-117763.2</v>
      </c>
      <c r="AB56" s="6">
        <v>0</v>
      </c>
      <c r="AC56" s="6">
        <v>-117763.2</v>
      </c>
      <c r="AE56">
        <v>0</v>
      </c>
      <c r="AO56" s="30" t="e">
        <f t="shared" si="20"/>
        <v>#DIV/0!</v>
      </c>
      <c r="AP56" s="30" t="e">
        <f t="shared" si="21"/>
        <v>#DIV/0!</v>
      </c>
    </row>
    <row r="57" spans="2:42" x14ac:dyDescent="0.25">
      <c r="B57" s="6" t="s">
        <v>77</v>
      </c>
      <c r="C57" s="6" t="s">
        <v>121</v>
      </c>
      <c r="D57" s="6" t="s">
        <v>124</v>
      </c>
      <c r="E57" s="16">
        <v>40179</v>
      </c>
      <c r="F57" s="16">
        <v>40543</v>
      </c>
      <c r="G57" s="16">
        <v>40543</v>
      </c>
      <c r="H57" s="6">
        <v>45</v>
      </c>
      <c r="I57" s="6" t="s">
        <v>8</v>
      </c>
      <c r="J57" s="6">
        <v>10</v>
      </c>
      <c r="K57" s="6">
        <v>8760</v>
      </c>
      <c r="L57" s="6">
        <v>4.21</v>
      </c>
      <c r="M57" s="6">
        <v>-368796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39420</v>
      </c>
      <c r="X57" s="6">
        <v>376583.300000021</v>
      </c>
      <c r="Y57" s="6">
        <v>0</v>
      </c>
      <c r="Z57" s="6">
        <v>376583.300000021</v>
      </c>
      <c r="AA57" s="6">
        <v>376583.300000021</v>
      </c>
      <c r="AB57" s="6">
        <v>0</v>
      </c>
      <c r="AC57" s="6">
        <v>376583.300000021</v>
      </c>
      <c r="AE57">
        <v>0</v>
      </c>
      <c r="AO57" s="30" t="e">
        <f t="shared" si="20"/>
        <v>#DIV/0!</v>
      </c>
      <c r="AP57" s="30" t="e">
        <f t="shared" si="21"/>
        <v>#DIV/0!</v>
      </c>
    </row>
    <row r="58" spans="2:42" x14ac:dyDescent="0.25">
      <c r="B58" s="6" t="s">
        <v>77</v>
      </c>
      <c r="C58" s="6" t="s">
        <v>121</v>
      </c>
      <c r="D58" s="6" t="s">
        <v>125</v>
      </c>
      <c r="E58" s="16">
        <v>40179</v>
      </c>
      <c r="F58" s="16">
        <v>40543</v>
      </c>
      <c r="G58" s="16">
        <v>40543</v>
      </c>
      <c r="H58" s="6">
        <v>45</v>
      </c>
      <c r="I58" s="6" t="s">
        <v>8</v>
      </c>
      <c r="J58" s="6">
        <v>10</v>
      </c>
      <c r="K58" s="6">
        <v>8760</v>
      </c>
      <c r="L58" s="6">
        <v>4.21</v>
      </c>
      <c r="M58" s="6">
        <v>-368796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S58" s="6">
        <v>0</v>
      </c>
      <c r="T58" s="6">
        <v>0</v>
      </c>
      <c r="U58" s="6">
        <v>0</v>
      </c>
      <c r="V58" s="6">
        <v>0</v>
      </c>
      <c r="W58" s="6">
        <v>39420</v>
      </c>
      <c r="X58" s="6">
        <v>-329376</v>
      </c>
      <c r="Y58" s="6">
        <v>0</v>
      </c>
      <c r="Z58" s="6">
        <v>-329376</v>
      </c>
      <c r="AA58" s="6">
        <v>-329376</v>
      </c>
      <c r="AB58" s="6">
        <v>0</v>
      </c>
      <c r="AC58" s="6">
        <v>-329376</v>
      </c>
      <c r="AE58">
        <v>0</v>
      </c>
      <c r="AO58" s="30" t="e">
        <f t="shared" si="20"/>
        <v>#DIV/0!</v>
      </c>
      <c r="AP58" s="30" t="e">
        <f t="shared" si="21"/>
        <v>#DIV/0!</v>
      </c>
    </row>
    <row r="59" spans="2:42" x14ac:dyDescent="0.25">
      <c r="B59" s="6" t="s">
        <v>83</v>
      </c>
      <c r="C59" s="6" t="s">
        <v>126</v>
      </c>
      <c r="D59" s="6" t="s">
        <v>124</v>
      </c>
      <c r="E59" s="16">
        <v>40179</v>
      </c>
      <c r="F59" s="16">
        <v>40543</v>
      </c>
      <c r="G59" s="16">
        <v>40543</v>
      </c>
      <c r="H59" s="6">
        <v>45</v>
      </c>
      <c r="I59" s="6" t="s">
        <v>8</v>
      </c>
      <c r="J59" s="6">
        <v>10</v>
      </c>
      <c r="K59" s="6">
        <v>8760</v>
      </c>
      <c r="L59" s="6">
        <v>4.21</v>
      </c>
      <c r="M59" s="6">
        <v>-368796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S59" s="6">
        <v>0</v>
      </c>
      <c r="T59" s="6">
        <v>0</v>
      </c>
      <c r="U59" s="6">
        <v>0</v>
      </c>
      <c r="V59" s="6">
        <v>0</v>
      </c>
      <c r="W59" s="6">
        <v>39420</v>
      </c>
      <c r="X59" s="6">
        <v>480964.30000001303</v>
      </c>
      <c r="Y59" s="6">
        <v>0</v>
      </c>
      <c r="Z59" s="6">
        <v>480964.30000001303</v>
      </c>
      <c r="AA59" s="6">
        <v>480964.30000001303</v>
      </c>
      <c r="AB59" s="6">
        <v>0</v>
      </c>
      <c r="AC59" s="6">
        <v>480964.30000001303</v>
      </c>
      <c r="AE59">
        <v>0</v>
      </c>
      <c r="AO59" s="30" t="e">
        <f t="shared" si="20"/>
        <v>#DIV/0!</v>
      </c>
      <c r="AP59" s="30" t="e">
        <f t="shared" si="21"/>
        <v>#DIV/0!</v>
      </c>
    </row>
    <row r="60" spans="2:42" x14ac:dyDescent="0.25">
      <c r="B60" s="6" t="s">
        <v>83</v>
      </c>
      <c r="C60" s="6" t="s">
        <v>126</v>
      </c>
      <c r="D60" s="6" t="s">
        <v>125</v>
      </c>
      <c r="E60" s="16">
        <v>40179</v>
      </c>
      <c r="F60" s="16">
        <v>40543</v>
      </c>
      <c r="G60" s="16">
        <v>40543</v>
      </c>
      <c r="H60" s="6">
        <v>45</v>
      </c>
      <c r="I60" s="6" t="s">
        <v>8</v>
      </c>
      <c r="J60" s="6">
        <v>10</v>
      </c>
      <c r="K60" s="6">
        <v>8760</v>
      </c>
      <c r="L60" s="6">
        <v>4.21</v>
      </c>
      <c r="M60" s="6">
        <v>-368796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S60" s="6">
        <v>0</v>
      </c>
      <c r="T60" s="6">
        <v>0</v>
      </c>
      <c r="U60" s="6">
        <v>0</v>
      </c>
      <c r="V60" s="6">
        <v>0</v>
      </c>
      <c r="W60" s="6">
        <v>39420</v>
      </c>
      <c r="X60" s="6">
        <v>-329376</v>
      </c>
      <c r="Y60" s="6">
        <v>0</v>
      </c>
      <c r="Z60" s="6">
        <v>-329376</v>
      </c>
      <c r="AA60" s="6">
        <v>-329376</v>
      </c>
      <c r="AB60" s="6">
        <v>0</v>
      </c>
      <c r="AC60" s="6">
        <v>-329376</v>
      </c>
      <c r="AE60">
        <v>0</v>
      </c>
      <c r="AO60" s="30" t="e">
        <f t="shared" si="20"/>
        <v>#DIV/0!</v>
      </c>
      <c r="AP60" s="30" t="e">
        <f t="shared" si="21"/>
        <v>#DIV/0!</v>
      </c>
    </row>
    <row r="61" spans="2:42" x14ac:dyDescent="0.25">
      <c r="B61" s="6" t="s">
        <v>77</v>
      </c>
      <c r="C61" s="6" t="s">
        <v>127</v>
      </c>
      <c r="D61" s="6" t="s">
        <v>128</v>
      </c>
      <c r="E61" s="16">
        <v>40452</v>
      </c>
      <c r="F61" s="16">
        <v>40543</v>
      </c>
      <c r="G61" s="16">
        <v>40543</v>
      </c>
      <c r="H61" s="6">
        <v>45</v>
      </c>
      <c r="I61" s="6" t="s">
        <v>8</v>
      </c>
      <c r="J61" s="6">
        <v>10</v>
      </c>
      <c r="K61" s="6">
        <v>792</v>
      </c>
      <c r="L61" s="6">
        <v>4.21</v>
      </c>
      <c r="M61" s="6">
        <v>-33343.199999999997</v>
      </c>
      <c r="N61" s="6">
        <v>0</v>
      </c>
      <c r="O61" s="6">
        <v>0</v>
      </c>
      <c r="P61" s="6">
        <v>0</v>
      </c>
      <c r="Q61" s="6">
        <v>0</v>
      </c>
      <c r="R61" s="6">
        <v>0</v>
      </c>
      <c r="S61" s="6">
        <v>0</v>
      </c>
      <c r="T61" s="6">
        <v>0</v>
      </c>
      <c r="U61" s="6">
        <v>0</v>
      </c>
      <c r="V61" s="6">
        <v>0</v>
      </c>
      <c r="W61" s="6">
        <v>3564</v>
      </c>
      <c r="X61" s="6">
        <v>156117.79999999999</v>
      </c>
      <c r="Y61" s="6">
        <v>0</v>
      </c>
      <c r="Z61" s="6">
        <v>156117.79999999999</v>
      </c>
      <c r="AA61" s="6">
        <v>156117.79999999999</v>
      </c>
      <c r="AB61" s="6">
        <v>0</v>
      </c>
      <c r="AC61" s="6">
        <v>156117.79999999999</v>
      </c>
      <c r="AE61">
        <v>0</v>
      </c>
      <c r="AO61" s="30" t="e">
        <f t="shared" si="20"/>
        <v>#DIV/0!</v>
      </c>
      <c r="AP61" s="30" t="e">
        <f t="shared" si="21"/>
        <v>#DIV/0!</v>
      </c>
    </row>
    <row r="62" spans="2:42" x14ac:dyDescent="0.25">
      <c r="B62" s="6" t="s">
        <v>77</v>
      </c>
      <c r="C62" s="6" t="s">
        <v>127</v>
      </c>
      <c r="D62" s="6" t="s">
        <v>129</v>
      </c>
      <c r="E62" s="16">
        <v>40452</v>
      </c>
      <c r="F62" s="16">
        <v>40543</v>
      </c>
      <c r="G62" s="16">
        <v>40543</v>
      </c>
      <c r="H62" s="6">
        <v>45</v>
      </c>
      <c r="I62" s="6" t="s">
        <v>8</v>
      </c>
      <c r="J62" s="6">
        <v>10</v>
      </c>
      <c r="K62" s="6">
        <v>792</v>
      </c>
      <c r="L62" s="6">
        <v>4.21</v>
      </c>
      <c r="M62" s="6">
        <v>-33343.199999999997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V62" s="6">
        <v>0</v>
      </c>
      <c r="W62" s="6">
        <v>3564</v>
      </c>
      <c r="X62" s="6">
        <v>-29779.200000000001</v>
      </c>
      <c r="Y62" s="6">
        <v>0</v>
      </c>
      <c r="Z62" s="6">
        <v>-29779.200000000001</v>
      </c>
      <c r="AA62" s="6">
        <v>-29779.200000000001</v>
      </c>
      <c r="AB62" s="6">
        <v>0</v>
      </c>
      <c r="AC62" s="6">
        <v>-29779.200000000001</v>
      </c>
      <c r="AE62">
        <v>0</v>
      </c>
      <c r="AO62" s="30" t="e">
        <f t="shared" si="20"/>
        <v>#DIV/0!</v>
      </c>
      <c r="AP62" s="30" t="e">
        <f t="shared" si="21"/>
        <v>#DIV/0!</v>
      </c>
    </row>
    <row r="63" spans="2:42" x14ac:dyDescent="0.25">
      <c r="B63" s="6" t="s">
        <v>77</v>
      </c>
      <c r="C63" s="6" t="s">
        <v>127</v>
      </c>
      <c r="D63" s="6" t="s">
        <v>130</v>
      </c>
      <c r="E63" s="16">
        <v>40452</v>
      </c>
      <c r="F63" s="16">
        <v>40543</v>
      </c>
      <c r="G63" s="16">
        <v>40543</v>
      </c>
      <c r="H63" s="6">
        <v>45</v>
      </c>
      <c r="I63" s="6" t="s">
        <v>8</v>
      </c>
      <c r="J63" s="6">
        <v>10</v>
      </c>
      <c r="K63" s="6">
        <v>2209</v>
      </c>
      <c r="L63" s="6">
        <v>4.21</v>
      </c>
      <c r="M63" s="6">
        <v>-92998.9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S63" s="6">
        <v>0</v>
      </c>
      <c r="T63" s="6">
        <v>0</v>
      </c>
      <c r="U63" s="6">
        <v>0</v>
      </c>
      <c r="V63" s="6">
        <v>0</v>
      </c>
      <c r="W63" s="6">
        <v>9940.5</v>
      </c>
      <c r="X63" s="6">
        <v>294709.70000000199</v>
      </c>
      <c r="Y63" s="6">
        <v>0</v>
      </c>
      <c r="Z63" s="6">
        <v>294709.70000000199</v>
      </c>
      <c r="AA63" s="6">
        <v>294709.70000000199</v>
      </c>
      <c r="AB63" s="6">
        <v>0</v>
      </c>
      <c r="AC63" s="6">
        <v>294709.70000000199</v>
      </c>
      <c r="AE63">
        <v>0</v>
      </c>
      <c r="AO63" s="30" t="e">
        <f t="shared" si="20"/>
        <v>#DIV/0!</v>
      </c>
      <c r="AP63" s="30" t="e">
        <f t="shared" si="21"/>
        <v>#DIV/0!</v>
      </c>
    </row>
    <row r="64" spans="2:42" x14ac:dyDescent="0.25">
      <c r="B64" s="6" t="s">
        <v>77</v>
      </c>
      <c r="C64" s="6" t="s">
        <v>127</v>
      </c>
      <c r="D64" s="6" t="s">
        <v>131</v>
      </c>
      <c r="E64" s="16">
        <v>40452</v>
      </c>
      <c r="F64" s="16">
        <v>40543</v>
      </c>
      <c r="G64" s="16">
        <v>40543</v>
      </c>
      <c r="H64" s="6">
        <v>45</v>
      </c>
      <c r="I64" s="6" t="s">
        <v>8</v>
      </c>
      <c r="J64" s="6">
        <v>10</v>
      </c>
      <c r="K64" s="6">
        <v>2209</v>
      </c>
      <c r="L64" s="6">
        <v>4.21</v>
      </c>
      <c r="M64" s="6">
        <v>-92998.9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U64" s="6">
        <v>0</v>
      </c>
      <c r="V64" s="6">
        <v>0</v>
      </c>
      <c r="W64" s="6">
        <v>9940.5</v>
      </c>
      <c r="X64" s="6">
        <v>-83058.399999999994</v>
      </c>
      <c r="Y64" s="6">
        <v>0</v>
      </c>
      <c r="Z64" s="6">
        <v>-83058.399999999994</v>
      </c>
      <c r="AA64" s="6">
        <v>-83058.399999999994</v>
      </c>
      <c r="AB64" s="6">
        <v>0</v>
      </c>
      <c r="AC64" s="6">
        <v>-83058.399999999994</v>
      </c>
      <c r="AE64">
        <v>0</v>
      </c>
      <c r="AO64" s="30" t="e">
        <f t="shared" si="20"/>
        <v>#DIV/0!</v>
      </c>
      <c r="AP64" s="30" t="e">
        <f t="shared" si="21"/>
        <v>#DIV/0!</v>
      </c>
    </row>
    <row r="65" spans="2:42" x14ac:dyDescent="0.25">
      <c r="B65" s="6" t="s">
        <v>83</v>
      </c>
      <c r="C65" s="6" t="s">
        <v>132</v>
      </c>
      <c r="D65" s="6" t="s">
        <v>130</v>
      </c>
      <c r="E65" s="16">
        <v>40452</v>
      </c>
      <c r="F65" s="16">
        <v>40543</v>
      </c>
      <c r="G65" s="16">
        <v>40543</v>
      </c>
      <c r="H65" s="6">
        <v>45</v>
      </c>
      <c r="I65" s="6" t="s">
        <v>8</v>
      </c>
      <c r="J65" s="6">
        <v>10</v>
      </c>
      <c r="K65" s="6">
        <v>2209</v>
      </c>
      <c r="L65" s="6">
        <v>4.21</v>
      </c>
      <c r="M65" s="6">
        <v>-92998.9</v>
      </c>
      <c r="N65" s="6">
        <v>0</v>
      </c>
      <c r="O65" s="6">
        <v>0</v>
      </c>
      <c r="P65" s="6">
        <v>0</v>
      </c>
      <c r="Q65" s="6">
        <v>0</v>
      </c>
      <c r="R65" s="6">
        <v>0</v>
      </c>
      <c r="S65" s="6">
        <v>0</v>
      </c>
      <c r="T65" s="6">
        <v>0</v>
      </c>
      <c r="U65" s="6">
        <v>0</v>
      </c>
      <c r="V65" s="6">
        <v>0</v>
      </c>
      <c r="W65" s="6">
        <v>9940.5</v>
      </c>
      <c r="X65" s="6">
        <v>300326.900000002</v>
      </c>
      <c r="Y65" s="6">
        <v>0</v>
      </c>
      <c r="Z65" s="6">
        <v>300326.900000002</v>
      </c>
      <c r="AA65" s="6">
        <v>300326.900000002</v>
      </c>
      <c r="AB65" s="6">
        <v>0</v>
      </c>
      <c r="AC65" s="6">
        <v>300326.900000002</v>
      </c>
      <c r="AE65">
        <v>0</v>
      </c>
      <c r="AO65" s="30" t="e">
        <f t="shared" si="20"/>
        <v>#DIV/0!</v>
      </c>
      <c r="AP65" s="30" t="e">
        <f t="shared" si="21"/>
        <v>#DIV/0!</v>
      </c>
    </row>
    <row r="66" spans="2:42" x14ac:dyDescent="0.25">
      <c r="B66" s="6" t="s">
        <v>83</v>
      </c>
      <c r="C66" s="6" t="s">
        <v>132</v>
      </c>
      <c r="D66" s="6" t="s">
        <v>131</v>
      </c>
      <c r="E66" s="16">
        <v>40452</v>
      </c>
      <c r="F66" s="16">
        <v>40543</v>
      </c>
      <c r="G66" s="16">
        <v>40543</v>
      </c>
      <c r="H66" s="6">
        <v>45</v>
      </c>
      <c r="I66" s="6" t="s">
        <v>8</v>
      </c>
      <c r="J66" s="6">
        <v>10</v>
      </c>
      <c r="K66" s="6">
        <v>2209</v>
      </c>
      <c r="L66" s="6">
        <v>4.21</v>
      </c>
      <c r="M66" s="6">
        <v>-92998.9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0</v>
      </c>
      <c r="V66" s="6">
        <v>0</v>
      </c>
      <c r="W66" s="6">
        <v>9940.5</v>
      </c>
      <c r="X66" s="6">
        <v>-83058.399999999994</v>
      </c>
      <c r="Y66" s="6">
        <v>0</v>
      </c>
      <c r="Z66" s="6">
        <v>-83058.399999999994</v>
      </c>
      <c r="AA66" s="6">
        <v>-83058.399999999994</v>
      </c>
      <c r="AB66" s="6">
        <v>0</v>
      </c>
      <c r="AC66" s="6">
        <v>-83058.399999999994</v>
      </c>
      <c r="AE66">
        <v>0</v>
      </c>
      <c r="AO66" s="30" t="e">
        <f t="shared" si="20"/>
        <v>#DIV/0!</v>
      </c>
      <c r="AP66" s="30" t="e">
        <f t="shared" si="21"/>
        <v>#DIV/0!</v>
      </c>
    </row>
    <row r="67" spans="2:42" x14ac:dyDescent="0.25">
      <c r="B67" s="6"/>
      <c r="C67" s="6"/>
      <c r="D67" s="6"/>
      <c r="E67" s="16"/>
      <c r="F67" s="1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</row>
    <row r="68" spans="2:42" x14ac:dyDescent="0.25">
      <c r="B68" s="6"/>
      <c r="C68" s="6"/>
      <c r="D68" s="6"/>
      <c r="E68" s="16"/>
      <c r="F68" s="1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</row>
    <row r="69" spans="2:42" x14ac:dyDescent="0.25">
      <c r="B69" s="6"/>
      <c r="C69" s="6"/>
      <c r="D69" s="6"/>
      <c r="E69" s="16"/>
      <c r="F69" s="1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</row>
    <row r="70" spans="2:42" x14ac:dyDescent="0.25">
      <c r="B70" s="6"/>
      <c r="C70" s="6"/>
      <c r="D70" s="6"/>
      <c r="E70" s="16"/>
      <c r="F70" s="1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</row>
    <row r="71" spans="2:42" x14ac:dyDescent="0.25">
      <c r="B71" s="6"/>
      <c r="C71" s="6"/>
      <c r="D71" s="6"/>
      <c r="E71" s="16"/>
      <c r="F71" s="1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</row>
    <row r="72" spans="2:42" x14ac:dyDescent="0.25">
      <c r="B72" s="6"/>
      <c r="C72" s="6"/>
      <c r="D72" s="6"/>
      <c r="E72" s="16"/>
      <c r="F72" s="1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</row>
    <row r="73" spans="2:42" x14ac:dyDescent="0.25">
      <c r="B73" s="6"/>
      <c r="C73" s="6"/>
      <c r="D73" s="6"/>
      <c r="E73" s="16"/>
      <c r="F73" s="1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</row>
    <row r="74" spans="2:42" x14ac:dyDescent="0.25">
      <c r="B74" s="6"/>
      <c r="C74" s="6"/>
      <c r="D74" s="6"/>
      <c r="E74" s="16"/>
      <c r="F74" s="1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</row>
    <row r="75" spans="2:42" x14ac:dyDescent="0.25">
      <c r="B75" s="6"/>
      <c r="C75" s="6"/>
      <c r="D75" s="6"/>
      <c r="E75" s="16"/>
      <c r="F75" s="1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</row>
    <row r="76" spans="2:42" x14ac:dyDescent="0.25">
      <c r="B76" s="6"/>
      <c r="C76" s="6"/>
      <c r="D76" s="6"/>
      <c r="E76" s="16"/>
      <c r="F76" s="1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</row>
    <row r="77" spans="2:42" x14ac:dyDescent="0.25">
      <c r="B77" s="6"/>
      <c r="C77" s="6"/>
      <c r="D77" s="6"/>
      <c r="E77" s="16"/>
      <c r="F77" s="1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</row>
    <row r="78" spans="2:42" x14ac:dyDescent="0.25">
      <c r="B78" s="6"/>
      <c r="C78" s="6"/>
      <c r="D78" s="6"/>
      <c r="E78" s="16"/>
      <c r="F78" s="1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</row>
    <row r="79" spans="2:42" x14ac:dyDescent="0.25">
      <c r="B79" s="6"/>
      <c r="C79" s="6"/>
      <c r="D79" s="6"/>
      <c r="E79" s="16"/>
      <c r="F79" s="1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</row>
    <row r="80" spans="2:42" x14ac:dyDescent="0.25">
      <c r="B80" s="6"/>
      <c r="C80" s="6"/>
      <c r="D80" s="6"/>
      <c r="E80" s="16"/>
      <c r="F80" s="1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</row>
    <row r="81" spans="2:29" x14ac:dyDescent="0.25">
      <c r="B81" s="6"/>
      <c r="C81" s="6"/>
      <c r="D81" s="6"/>
      <c r="E81" s="16"/>
      <c r="F81" s="1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</row>
    <row r="82" spans="2:29" x14ac:dyDescent="0.25">
      <c r="B82" s="6"/>
      <c r="C82" s="6"/>
      <c r="D82" s="6"/>
      <c r="E82" s="16"/>
      <c r="F82" s="1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</row>
    <row r="83" spans="2:29" x14ac:dyDescent="0.25">
      <c r="B83" s="6"/>
      <c r="C83" s="6"/>
      <c r="D83" s="6"/>
      <c r="E83" s="16"/>
      <c r="F83" s="1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</row>
    <row r="84" spans="2:29" x14ac:dyDescent="0.25">
      <c r="B84" s="6"/>
      <c r="C84" s="6"/>
      <c r="D84" s="6"/>
      <c r="E84" s="16"/>
      <c r="F84" s="1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</row>
    <row r="85" spans="2:29" x14ac:dyDescent="0.25">
      <c r="B85" s="6"/>
      <c r="C85" s="6"/>
      <c r="D85" s="6"/>
      <c r="E85" s="16"/>
      <c r="F85" s="1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</row>
    <row r="86" spans="2:29" x14ac:dyDescent="0.25">
      <c r="B86" s="6"/>
      <c r="C86" s="6"/>
      <c r="D86" s="6"/>
      <c r="E86" s="16"/>
      <c r="F86" s="1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</row>
    <row r="87" spans="2:29" x14ac:dyDescent="0.25">
      <c r="B87" s="6"/>
      <c r="C87" s="6"/>
      <c r="D87" s="6"/>
      <c r="E87" s="16"/>
      <c r="F87" s="1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</row>
    <row r="88" spans="2:29" x14ac:dyDescent="0.25">
      <c r="B88" s="6"/>
      <c r="C88" s="6"/>
      <c r="D88" s="6"/>
      <c r="E88" s="16"/>
      <c r="F88" s="1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</row>
    <row r="89" spans="2:29" x14ac:dyDescent="0.25">
      <c r="B89" s="6"/>
      <c r="C89" s="6"/>
      <c r="D89" s="6"/>
      <c r="E89" s="16"/>
      <c r="F89" s="1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</row>
    <row r="90" spans="2:29" x14ac:dyDescent="0.25">
      <c r="B90" s="6"/>
      <c r="C90" s="6"/>
      <c r="D90" s="6"/>
      <c r="E90" s="16"/>
      <c r="F90" s="1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</row>
    <row r="91" spans="2:29" x14ac:dyDescent="0.25">
      <c r="B91" s="6"/>
      <c r="C91" s="6"/>
      <c r="D91" s="6"/>
      <c r="E91" s="16"/>
      <c r="F91" s="1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</row>
    <row r="92" spans="2:29" x14ac:dyDescent="0.25">
      <c r="B92" s="6"/>
      <c r="C92" s="6"/>
      <c r="D92" s="6"/>
      <c r="E92" s="16"/>
      <c r="F92" s="1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</row>
    <row r="93" spans="2:29" x14ac:dyDescent="0.25">
      <c r="B93" s="6"/>
      <c r="C93" s="6"/>
      <c r="D93" s="6"/>
      <c r="E93" s="16"/>
      <c r="F93" s="1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</row>
    <row r="94" spans="2:29" x14ac:dyDescent="0.25">
      <c r="B94" s="6"/>
      <c r="C94" s="6"/>
      <c r="D94" s="6"/>
      <c r="E94" s="16"/>
      <c r="F94" s="1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</row>
    <row r="95" spans="2:29" x14ac:dyDescent="0.25">
      <c r="B95" s="6"/>
      <c r="C95" s="6"/>
      <c r="D95" s="6"/>
      <c r="E95" s="16"/>
      <c r="F95" s="1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</row>
    <row r="96" spans="2:29" x14ac:dyDescent="0.25">
      <c r="B96" s="6"/>
      <c r="C96" s="6"/>
      <c r="D96" s="6"/>
      <c r="E96" s="16"/>
      <c r="F96" s="1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</row>
    <row r="97" spans="2:29" x14ac:dyDescent="0.25">
      <c r="B97" s="6"/>
      <c r="C97" s="6"/>
      <c r="D97" s="6"/>
      <c r="E97" s="16"/>
      <c r="F97" s="1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</row>
    <row r="98" spans="2:29" x14ac:dyDescent="0.25">
      <c r="B98" s="6"/>
      <c r="C98" s="6"/>
      <c r="D98" s="6"/>
      <c r="E98" s="16"/>
      <c r="F98" s="1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</row>
    <row r="99" spans="2:29" x14ac:dyDescent="0.25">
      <c r="B99" s="6"/>
      <c r="C99" s="6"/>
      <c r="D99" s="6"/>
      <c r="E99" s="16"/>
      <c r="F99" s="1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</row>
    <row r="100" spans="2:29" x14ac:dyDescent="0.25">
      <c r="B100" s="6"/>
      <c r="C100" s="6"/>
      <c r="D100" s="6"/>
      <c r="E100" s="16"/>
      <c r="F100" s="1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</row>
    <row r="101" spans="2:29" x14ac:dyDescent="0.25">
      <c r="B101" s="6"/>
      <c r="C101" s="6"/>
      <c r="D101" s="6"/>
      <c r="E101" s="16"/>
      <c r="F101" s="1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</row>
    <row r="102" spans="2:29" x14ac:dyDescent="0.25">
      <c r="B102" s="6"/>
      <c r="C102" s="6"/>
      <c r="D102" s="6"/>
      <c r="E102" s="16"/>
      <c r="F102" s="1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</row>
    <row r="103" spans="2:29" x14ac:dyDescent="0.25">
      <c r="B103" s="6"/>
      <c r="C103" s="6"/>
      <c r="D103" s="6"/>
      <c r="E103" s="16"/>
      <c r="F103" s="1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</row>
    <row r="104" spans="2:29" x14ac:dyDescent="0.25">
      <c r="B104" s="6"/>
      <c r="C104" s="6"/>
      <c r="D104" s="6"/>
      <c r="E104" s="16"/>
      <c r="F104" s="1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</row>
    <row r="105" spans="2:29" x14ac:dyDescent="0.25">
      <c r="B105" s="6"/>
      <c r="C105" s="6"/>
      <c r="D105" s="6"/>
      <c r="E105" s="16"/>
      <c r="F105" s="1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</row>
    <row r="106" spans="2:29" x14ac:dyDescent="0.25">
      <c r="B106" s="6"/>
      <c r="C106" s="6"/>
      <c r="D106" s="6"/>
      <c r="E106" s="16"/>
      <c r="F106" s="1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</row>
    <row r="107" spans="2:29" x14ac:dyDescent="0.25">
      <c r="B107" s="6"/>
      <c r="C107" s="6"/>
      <c r="D107" s="6"/>
      <c r="E107" s="16"/>
      <c r="F107" s="1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</row>
    <row r="108" spans="2:29" x14ac:dyDescent="0.25">
      <c r="B108" s="6"/>
      <c r="C108" s="6"/>
      <c r="D108" s="6"/>
      <c r="E108" s="16"/>
      <c r="F108" s="1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</row>
    <row r="109" spans="2:29" x14ac:dyDescent="0.25">
      <c r="B109" s="6"/>
      <c r="C109" s="6"/>
      <c r="D109" s="6"/>
      <c r="E109" s="16"/>
      <c r="F109" s="1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</row>
    <row r="110" spans="2:29" x14ac:dyDescent="0.25">
      <c r="B110" s="6"/>
      <c r="C110" s="6"/>
      <c r="D110" s="6"/>
      <c r="E110" s="16"/>
      <c r="F110" s="1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</row>
    <row r="111" spans="2:29" x14ac:dyDescent="0.25">
      <c r="B111" s="6"/>
      <c r="C111" s="6"/>
      <c r="D111" s="6"/>
      <c r="E111" s="16"/>
      <c r="F111" s="1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</row>
    <row r="112" spans="2:29" x14ac:dyDescent="0.25">
      <c r="B112" s="6"/>
      <c r="C112" s="6"/>
      <c r="D112" s="6"/>
      <c r="E112" s="16"/>
      <c r="F112" s="1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</row>
    <row r="113" spans="2:29" x14ac:dyDescent="0.25">
      <c r="B113" s="6"/>
      <c r="C113" s="6"/>
      <c r="D113" s="6"/>
      <c r="E113" s="16"/>
      <c r="F113" s="1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</row>
    <row r="114" spans="2:29" x14ac:dyDescent="0.25">
      <c r="B114" s="6"/>
      <c r="C114" s="6"/>
      <c r="D114" s="6"/>
      <c r="E114" s="16"/>
      <c r="F114" s="1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</row>
    <row r="115" spans="2:29" x14ac:dyDescent="0.25">
      <c r="B115" s="6"/>
      <c r="C115" s="6"/>
      <c r="D115" s="6"/>
      <c r="E115" s="16"/>
      <c r="F115" s="1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</row>
    <row r="116" spans="2:29" x14ac:dyDescent="0.25">
      <c r="B116" s="6"/>
      <c r="C116" s="6"/>
      <c r="D116" s="6"/>
      <c r="E116" s="16"/>
      <c r="F116" s="1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</row>
    <row r="117" spans="2:29" x14ac:dyDescent="0.25">
      <c r="B117" s="6"/>
      <c r="C117" s="6"/>
      <c r="D117" s="6"/>
      <c r="E117" s="16"/>
      <c r="F117" s="1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</row>
    <row r="118" spans="2:29" x14ac:dyDescent="0.25">
      <c r="B118" s="6"/>
      <c r="C118" s="6"/>
      <c r="D118" s="6"/>
      <c r="E118" s="16"/>
      <c r="F118" s="1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</row>
    <row r="119" spans="2:29" x14ac:dyDescent="0.25">
      <c r="B119" s="6"/>
      <c r="C119" s="6"/>
      <c r="D119" s="6"/>
      <c r="E119" s="16"/>
      <c r="F119" s="1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</row>
    <row r="120" spans="2:29" x14ac:dyDescent="0.25">
      <c r="B120" s="6"/>
      <c r="C120" s="6"/>
      <c r="D120" s="6"/>
      <c r="E120" s="16"/>
      <c r="F120" s="1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</row>
    <row r="121" spans="2:29" x14ac:dyDescent="0.25">
      <c r="B121" s="6"/>
      <c r="C121" s="6"/>
      <c r="D121" s="6"/>
      <c r="E121" s="16"/>
      <c r="F121" s="1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</row>
    <row r="122" spans="2:29" x14ac:dyDescent="0.25">
      <c r="B122" s="6"/>
      <c r="C122" s="6"/>
      <c r="D122" s="6"/>
      <c r="E122" s="16"/>
      <c r="F122" s="1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</row>
    <row r="123" spans="2:29" x14ac:dyDescent="0.25">
      <c r="B123" s="6"/>
      <c r="C123" s="6"/>
      <c r="D123" s="6"/>
      <c r="E123" s="16"/>
      <c r="F123" s="1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</row>
    <row r="124" spans="2:29" x14ac:dyDescent="0.25">
      <c r="B124" s="6"/>
      <c r="C124" s="6"/>
      <c r="D124" s="6"/>
      <c r="E124" s="16"/>
      <c r="F124" s="1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</row>
    <row r="125" spans="2:29" x14ac:dyDescent="0.25">
      <c r="B125" s="6"/>
      <c r="C125" s="6"/>
      <c r="D125" s="6"/>
      <c r="E125" s="16"/>
      <c r="F125" s="1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</row>
    <row r="126" spans="2:29" x14ac:dyDescent="0.25">
      <c r="B126" s="6"/>
      <c r="C126" s="6"/>
      <c r="D126" s="6"/>
      <c r="E126" s="16"/>
      <c r="F126" s="1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</row>
    <row r="127" spans="2:29" x14ac:dyDescent="0.25">
      <c r="B127" s="6"/>
      <c r="C127" s="6"/>
      <c r="D127" s="6"/>
      <c r="E127" s="16"/>
      <c r="F127" s="1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</row>
    <row r="128" spans="2:29" x14ac:dyDescent="0.25">
      <c r="B128" s="6"/>
      <c r="C128" s="6"/>
      <c r="D128" s="6"/>
      <c r="E128" s="16"/>
      <c r="F128" s="1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</row>
    <row r="129" spans="2:29" x14ac:dyDescent="0.25">
      <c r="B129" s="6"/>
      <c r="C129" s="6"/>
      <c r="D129" s="6"/>
      <c r="E129" s="16"/>
      <c r="F129" s="1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</row>
    <row r="130" spans="2:29" x14ac:dyDescent="0.25">
      <c r="B130" s="6"/>
      <c r="C130" s="6"/>
      <c r="D130" s="6"/>
      <c r="E130" s="16"/>
      <c r="F130" s="1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</row>
    <row r="131" spans="2:29" x14ac:dyDescent="0.25">
      <c r="B131" s="6"/>
      <c r="C131" s="6"/>
      <c r="D131" s="6"/>
      <c r="E131" s="16"/>
      <c r="F131" s="1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</row>
    <row r="132" spans="2:29" x14ac:dyDescent="0.25">
      <c r="B132" s="6"/>
      <c r="C132" s="6"/>
      <c r="D132" s="6"/>
      <c r="E132" s="16"/>
      <c r="F132" s="1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</row>
    <row r="133" spans="2:29" x14ac:dyDescent="0.25">
      <c r="B133" s="6"/>
      <c r="C133" s="6"/>
      <c r="D133" s="6"/>
      <c r="E133" s="16"/>
      <c r="F133" s="1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</row>
    <row r="134" spans="2:29" x14ac:dyDescent="0.25">
      <c r="B134" s="6"/>
      <c r="C134" s="6"/>
      <c r="D134" s="6"/>
      <c r="E134" s="16"/>
      <c r="F134" s="1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</row>
    <row r="135" spans="2:29" x14ac:dyDescent="0.25">
      <c r="B135" s="6"/>
      <c r="C135" s="6"/>
      <c r="D135" s="6"/>
      <c r="E135" s="16"/>
      <c r="F135" s="1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</row>
    <row r="136" spans="2:29" x14ac:dyDescent="0.25">
      <c r="B136" s="6"/>
      <c r="C136" s="6"/>
      <c r="D136" s="6"/>
      <c r="E136" s="16"/>
      <c r="F136" s="1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</row>
    <row r="137" spans="2:29" x14ac:dyDescent="0.25">
      <c r="B137" s="6"/>
      <c r="C137" s="6"/>
      <c r="D137" s="6"/>
      <c r="E137" s="16"/>
      <c r="F137" s="1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</row>
    <row r="138" spans="2:29" x14ac:dyDescent="0.25">
      <c r="B138" s="6"/>
      <c r="C138" s="6"/>
      <c r="D138" s="6"/>
      <c r="E138" s="16"/>
      <c r="F138" s="1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PosMon-EUR-MtM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QA Install</dc:creator>
  <cp:lastModifiedBy>Daniel Watanabe</cp:lastModifiedBy>
  <dcterms:created xsi:type="dcterms:W3CDTF">2013-08-22T06:34:41Z</dcterms:created>
  <dcterms:modified xsi:type="dcterms:W3CDTF">2015-11-12T13:11:51Z</dcterms:modified>
</cp:coreProperties>
</file>