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tfs\Development\QA\Regression\Bin\Verification\"/>
    </mc:Choice>
  </mc:AlternateContent>
  <bookViews>
    <workbookView xWindow="240" yWindow="105" windowWidth="19320" windowHeight="9030" activeTab="2"/>
  </bookViews>
  <sheets>
    <sheet name="Sheet1" sheetId="14" r:id="rId1"/>
    <sheet name="PosMon-EUR-MtM" sheetId="13" r:id="rId2"/>
    <sheet name="CF" sheetId="20" r:id="rId3"/>
    <sheet name="Greeks on a timeline" sheetId="15" r:id="rId4"/>
    <sheet name="Exposure" sheetId="16" r:id="rId5"/>
    <sheet name="CurrExp" sheetId="17" r:id="rId6"/>
    <sheet name="Sens" sheetId="19" r:id="rId7"/>
  </sheets>
  <functionGroups builtInGroupCount="18"/>
  <calcPr calcId="162913"/>
  <pivotCaches>
    <pivotCache cacheId="3" r:id="rId8"/>
  </pivotCaches>
</workbook>
</file>

<file path=xl/calcChain.xml><?xml version="1.0" encoding="utf-8"?>
<calcChain xmlns="http://schemas.openxmlformats.org/spreadsheetml/2006/main">
  <c r="AS46" i="20" l="1"/>
  <c r="AT24" i="20"/>
  <c r="AJ35" i="20"/>
  <c r="AJ34" i="20"/>
  <c r="AJ32" i="20"/>
  <c r="AJ31" i="20"/>
  <c r="AJ30" i="20"/>
  <c r="AJ29" i="20"/>
  <c r="AJ28" i="20"/>
  <c r="AJ27" i="20"/>
  <c r="AJ26" i="20"/>
  <c r="AJ38" i="20"/>
  <c r="AJ39" i="20"/>
  <c r="AJ40" i="20"/>
  <c r="AJ41" i="20"/>
  <c r="AJ37" i="20"/>
  <c r="AJ14" i="20"/>
  <c r="AJ15" i="20"/>
  <c r="AJ16" i="20"/>
  <c r="AJ17" i="20"/>
  <c r="AJ18" i="20"/>
  <c r="AJ19" i="20"/>
  <c r="AJ13" i="20"/>
  <c r="AK44" i="20"/>
  <c r="AK45" i="20"/>
  <c r="AK43" i="20"/>
  <c r="AK22" i="20"/>
  <c r="AK23" i="20"/>
  <c r="AK21" i="20"/>
  <c r="AH46" i="20" l="1"/>
  <c r="AM46" i="20"/>
  <c r="AO46" i="20"/>
  <c r="AN46" i="20"/>
  <c r="AK46" i="20"/>
  <c r="AL46" i="20"/>
  <c r="AQ24" i="20"/>
  <c r="AP24" i="20"/>
  <c r="AO24" i="20"/>
  <c r="AM24" i="20"/>
  <c r="AH24" i="20" s="1"/>
  <c r="AR24" i="20" s="1"/>
  <c r="AI45" i="20"/>
  <c r="AH45" i="20"/>
  <c r="AJ45" i="20" s="1"/>
  <c r="AI44" i="20"/>
  <c r="AH44" i="20"/>
  <c r="AJ44" i="20" s="1"/>
  <c r="AI43" i="20"/>
  <c r="AH43" i="20"/>
  <c r="AJ43" i="20" s="1"/>
  <c r="AI22" i="20"/>
  <c r="AI23" i="20"/>
  <c r="AL24" i="20"/>
  <c r="AI21" i="20"/>
  <c r="AN24" i="20"/>
  <c r="AG14" i="20"/>
  <c r="AG15" i="20"/>
  <c r="AG16" i="20"/>
  <c r="AG17" i="20"/>
  <c r="AG18" i="20"/>
  <c r="AG19" i="20"/>
  <c r="AG26" i="20"/>
  <c r="AG27" i="20"/>
  <c r="AG28" i="20"/>
  <c r="AG29" i="20"/>
  <c r="AG30" i="20"/>
  <c r="AG31" i="20"/>
  <c r="AG32" i="20"/>
  <c r="AG34" i="20"/>
  <c r="AG35" i="20"/>
  <c r="AG37" i="20"/>
  <c r="AG38" i="20"/>
  <c r="AG39" i="20"/>
  <c r="AG40" i="20"/>
  <c r="AG41" i="20"/>
  <c r="AG13" i="20"/>
  <c r="AE46" i="20"/>
  <c r="U46" i="20"/>
  <c r="M46" i="20"/>
  <c r="G46" i="20"/>
  <c r="AE45" i="20"/>
  <c r="U45" i="20"/>
  <c r="M45" i="20"/>
  <c r="G45" i="20"/>
  <c r="AE44" i="20"/>
  <c r="U44" i="20"/>
  <c r="M44" i="20"/>
  <c r="G44" i="20"/>
  <c r="AE43" i="20"/>
  <c r="U43" i="20"/>
  <c r="M43" i="20"/>
  <c r="G43" i="20"/>
  <c r="AE41" i="20"/>
  <c r="U41" i="20"/>
  <c r="M41" i="20"/>
  <c r="G41" i="20"/>
  <c r="AE40" i="20"/>
  <c r="U40" i="20"/>
  <c r="M40" i="20"/>
  <c r="G40" i="20"/>
  <c r="AE39" i="20"/>
  <c r="AH39" i="20" s="1"/>
  <c r="U39" i="20"/>
  <c r="M39" i="20"/>
  <c r="G39" i="20"/>
  <c r="AE38" i="20"/>
  <c r="U38" i="20"/>
  <c r="M38" i="20"/>
  <c r="G38" i="20"/>
  <c r="AE37" i="20"/>
  <c r="U37" i="20"/>
  <c r="M37" i="20"/>
  <c r="G37" i="20"/>
  <c r="K35" i="20"/>
  <c r="J35" i="20" s="1"/>
  <c r="AE35" i="20" s="1"/>
  <c r="AH35" i="20" s="1"/>
  <c r="G35" i="20"/>
  <c r="K34" i="20"/>
  <c r="J34" i="20" s="1"/>
  <c r="U34" i="20" s="1"/>
  <c r="G34" i="20"/>
  <c r="AE32" i="20"/>
  <c r="U32" i="20"/>
  <c r="M32" i="20"/>
  <c r="G32" i="20"/>
  <c r="AE31" i="20"/>
  <c r="U31" i="20"/>
  <c r="M31" i="20"/>
  <c r="G31" i="20"/>
  <c r="AE30" i="20"/>
  <c r="U30" i="20"/>
  <c r="M30" i="20"/>
  <c r="G30" i="20"/>
  <c r="AE29" i="20"/>
  <c r="U29" i="20"/>
  <c r="M29" i="20"/>
  <c r="G29" i="20"/>
  <c r="AE28" i="20"/>
  <c r="U28" i="20"/>
  <c r="M28" i="20"/>
  <c r="G28" i="20"/>
  <c r="AE27" i="20"/>
  <c r="U27" i="20"/>
  <c r="M27" i="20"/>
  <c r="G27" i="20"/>
  <c r="AE26" i="20"/>
  <c r="AH26" i="20" s="1"/>
  <c r="U26" i="20"/>
  <c r="M26" i="20"/>
  <c r="G26" i="20"/>
  <c r="AE24" i="20"/>
  <c r="AI1" i="20" s="1"/>
  <c r="U24" i="20"/>
  <c r="M24" i="20"/>
  <c r="G24" i="20"/>
  <c r="AE23" i="20"/>
  <c r="U23" i="20"/>
  <c r="M23" i="20"/>
  <c r="G23" i="20"/>
  <c r="AE22" i="20"/>
  <c r="U22" i="20"/>
  <c r="M22" i="20"/>
  <c r="G22" i="20"/>
  <c r="AE21" i="20"/>
  <c r="U21" i="20"/>
  <c r="M21" i="20"/>
  <c r="G21" i="20"/>
  <c r="AE19" i="20"/>
  <c r="U19" i="20"/>
  <c r="M19" i="20"/>
  <c r="G19" i="20"/>
  <c r="AE18" i="20"/>
  <c r="U18" i="20"/>
  <c r="M18" i="20"/>
  <c r="G18" i="20"/>
  <c r="AE17" i="20"/>
  <c r="AH17" i="20" s="1"/>
  <c r="U17" i="20"/>
  <c r="M17" i="20"/>
  <c r="G17" i="20"/>
  <c r="AE16" i="20"/>
  <c r="U16" i="20"/>
  <c r="M16" i="20"/>
  <c r="G16" i="20"/>
  <c r="AE15" i="20"/>
  <c r="U15" i="20"/>
  <c r="M15" i="20"/>
  <c r="G15" i="20"/>
  <c r="AE14" i="20"/>
  <c r="AH14" i="20" s="1"/>
  <c r="U14" i="20"/>
  <c r="M14" i="20"/>
  <c r="G14" i="20"/>
  <c r="AE13" i="20"/>
  <c r="U13" i="20"/>
  <c r="M13" i="20"/>
  <c r="G13" i="20"/>
  <c r="AP46" i="20" l="1"/>
  <c r="AH40" i="20"/>
  <c r="AH30" i="20"/>
  <c r="AH21" i="20"/>
  <c r="AJ21" i="20" s="1"/>
  <c r="AH29" i="20"/>
  <c r="AH31" i="20"/>
  <c r="AH22" i="20"/>
  <c r="AJ22" i="20" s="1"/>
  <c r="AH13" i="20"/>
  <c r="AH38" i="20"/>
  <c r="AH28" i="20"/>
  <c r="AH18" i="20"/>
  <c r="AH19" i="20"/>
  <c r="AH37" i="20"/>
  <c r="AH27" i="20"/>
  <c r="AH16" i="20"/>
  <c r="AH15" i="20"/>
  <c r="AH32" i="20"/>
  <c r="AH23" i="20"/>
  <c r="AJ23" i="20" s="1"/>
  <c r="AH41" i="20"/>
  <c r="M34" i="20"/>
  <c r="AE34" i="20"/>
  <c r="AH34" i="20" s="1"/>
  <c r="M35" i="20"/>
  <c r="U35" i="20"/>
  <c r="O36" i="17"/>
  <c r="BJ14" i="19"/>
  <c r="BJ15" i="19"/>
  <c r="BJ16" i="19"/>
  <c r="BJ17" i="19"/>
  <c r="BJ18" i="19"/>
  <c r="BJ19" i="19"/>
  <c r="BJ20" i="19"/>
  <c r="BJ11" i="19" s="1"/>
  <c r="BJ21" i="19"/>
  <c r="BJ22" i="19"/>
  <c r="BJ23" i="19"/>
  <c r="BJ24" i="19"/>
  <c r="BJ25" i="19"/>
  <c r="BJ26" i="19"/>
  <c r="BJ27" i="19"/>
  <c r="BJ28" i="19"/>
  <c r="BJ29" i="19"/>
  <c r="BJ30" i="19"/>
  <c r="BJ31" i="19"/>
  <c r="BJ32" i="19"/>
  <c r="BJ33" i="19"/>
  <c r="BJ34" i="19"/>
  <c r="BJ35" i="19"/>
  <c r="BJ36" i="19"/>
  <c r="BJ37" i="19"/>
  <c r="BJ38" i="19"/>
  <c r="BJ39" i="19"/>
  <c r="BJ40" i="19"/>
  <c r="BJ41" i="19"/>
  <c r="BJ42" i="19"/>
  <c r="BJ43" i="19"/>
  <c r="BJ44" i="19"/>
  <c r="BJ45" i="19"/>
  <c r="BJ46" i="19"/>
  <c r="BJ13" i="19"/>
  <c r="BI14" i="19"/>
  <c r="BI15" i="19"/>
  <c r="BI16" i="19"/>
  <c r="BI17" i="19"/>
  <c r="BI18" i="19"/>
  <c r="BI19" i="19"/>
  <c r="BI20" i="19"/>
  <c r="BI21" i="19"/>
  <c r="BI22" i="19"/>
  <c r="BI23" i="19"/>
  <c r="BI24" i="19"/>
  <c r="BI25" i="19"/>
  <c r="BI26" i="19"/>
  <c r="BI27" i="19"/>
  <c r="BI28" i="19"/>
  <c r="BI29" i="19"/>
  <c r="BI30" i="19"/>
  <c r="BI31" i="19"/>
  <c r="BI32" i="19"/>
  <c r="BI33" i="19"/>
  <c r="BI34" i="19"/>
  <c r="BI35" i="19"/>
  <c r="BI36" i="19"/>
  <c r="BI37" i="19"/>
  <c r="BI38" i="19"/>
  <c r="BI39" i="19"/>
  <c r="BI40" i="19"/>
  <c r="BI41" i="19"/>
  <c r="BI42" i="19"/>
  <c r="BI43" i="19"/>
  <c r="BI44" i="19"/>
  <c r="BI45" i="19"/>
  <c r="BI46" i="19"/>
  <c r="BI13" i="19"/>
  <c r="BH14" i="19"/>
  <c r="BH15" i="19"/>
  <c r="BH16" i="19"/>
  <c r="BH17" i="19"/>
  <c r="BH18" i="19"/>
  <c r="BH19" i="19"/>
  <c r="BH20" i="19"/>
  <c r="BH21" i="19"/>
  <c r="BH22" i="19"/>
  <c r="BH23" i="19"/>
  <c r="BH24" i="19"/>
  <c r="BH25" i="19"/>
  <c r="BH26" i="19"/>
  <c r="BH27" i="19"/>
  <c r="BH28" i="19"/>
  <c r="BH29" i="19"/>
  <c r="BH30" i="19"/>
  <c r="BH31" i="19"/>
  <c r="BH32" i="19"/>
  <c r="BH33" i="19"/>
  <c r="BH34" i="19"/>
  <c r="BH35" i="19"/>
  <c r="BH36" i="19"/>
  <c r="BH37" i="19"/>
  <c r="BH38" i="19"/>
  <c r="BH39" i="19"/>
  <c r="BH40" i="19"/>
  <c r="BH41" i="19"/>
  <c r="BH42" i="19"/>
  <c r="BH43" i="19"/>
  <c r="BH44" i="19"/>
  <c r="BH45" i="19"/>
  <c r="BH46" i="19"/>
  <c r="BH13" i="19"/>
  <c r="BB14" i="19"/>
  <c r="BB15" i="19"/>
  <c r="BB16" i="19"/>
  <c r="BB17" i="19"/>
  <c r="BB18" i="19"/>
  <c r="BB19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2" i="19"/>
  <c r="BB33" i="19"/>
  <c r="BB34" i="19"/>
  <c r="BB35" i="19"/>
  <c r="BB36" i="19"/>
  <c r="BB37" i="19"/>
  <c r="BB38" i="19"/>
  <c r="BB39" i="19"/>
  <c r="BB40" i="19"/>
  <c r="BB41" i="19"/>
  <c r="BB42" i="19"/>
  <c r="BB43" i="19"/>
  <c r="BB44" i="19"/>
  <c r="BB45" i="19"/>
  <c r="BB46" i="19"/>
  <c r="BB13" i="19"/>
  <c r="BG11" i="19"/>
  <c r="BG14" i="19"/>
  <c r="BG15" i="19"/>
  <c r="BG16" i="19"/>
  <c r="BG17" i="19"/>
  <c r="BG18" i="19"/>
  <c r="BG19" i="19"/>
  <c r="BG20" i="19"/>
  <c r="BG21" i="19"/>
  <c r="BG22" i="19"/>
  <c r="BG23" i="19"/>
  <c r="BG24" i="19"/>
  <c r="BG25" i="19"/>
  <c r="BG26" i="19"/>
  <c r="BG27" i="19"/>
  <c r="BG28" i="19"/>
  <c r="BG29" i="19"/>
  <c r="BG30" i="19"/>
  <c r="BG31" i="19"/>
  <c r="BG32" i="19"/>
  <c r="BG33" i="19"/>
  <c r="BG34" i="19"/>
  <c r="BG35" i="19"/>
  <c r="BG36" i="19"/>
  <c r="BG37" i="19"/>
  <c r="BG38" i="19"/>
  <c r="BG39" i="19"/>
  <c r="BG40" i="19"/>
  <c r="BG41" i="19"/>
  <c r="BG42" i="19"/>
  <c r="BG43" i="19"/>
  <c r="BG44" i="19"/>
  <c r="BG45" i="19"/>
  <c r="BG46" i="19"/>
  <c r="BG13" i="19"/>
  <c r="BF11" i="19"/>
  <c r="BE11" i="19"/>
  <c r="BE14" i="19"/>
  <c r="BF14" i="19" s="1"/>
  <c r="BE15" i="19"/>
  <c r="BF15" i="19" s="1"/>
  <c r="BE16" i="19"/>
  <c r="BE17" i="19"/>
  <c r="BE18" i="19"/>
  <c r="BF18" i="19" s="1"/>
  <c r="BE19" i="19"/>
  <c r="BF19" i="19" s="1"/>
  <c r="BE20" i="19"/>
  <c r="BE21" i="19"/>
  <c r="BE22" i="19"/>
  <c r="BF22" i="19" s="1"/>
  <c r="BE23" i="19"/>
  <c r="BF23" i="19" s="1"/>
  <c r="BE24" i="19"/>
  <c r="BE25" i="19"/>
  <c r="BE26" i="19"/>
  <c r="BF26" i="19" s="1"/>
  <c r="BE27" i="19"/>
  <c r="BF27" i="19" s="1"/>
  <c r="BE28" i="19"/>
  <c r="BE29" i="19"/>
  <c r="BE30" i="19"/>
  <c r="BF30" i="19" s="1"/>
  <c r="BE31" i="19"/>
  <c r="BF31" i="19" s="1"/>
  <c r="BE32" i="19"/>
  <c r="BE33" i="19"/>
  <c r="BE34" i="19"/>
  <c r="BF34" i="19" s="1"/>
  <c r="BE35" i="19"/>
  <c r="BF35" i="19" s="1"/>
  <c r="BE36" i="19"/>
  <c r="BE37" i="19"/>
  <c r="BE38" i="19"/>
  <c r="BF38" i="19" s="1"/>
  <c r="BE39" i="19"/>
  <c r="BF39" i="19" s="1"/>
  <c r="BE40" i="19"/>
  <c r="BE41" i="19"/>
  <c r="BE42" i="19"/>
  <c r="BF42" i="19" s="1"/>
  <c r="BE43" i="19"/>
  <c r="BF43" i="19" s="1"/>
  <c r="BE44" i="19"/>
  <c r="BE45" i="19"/>
  <c r="BE46" i="19"/>
  <c r="BF46" i="19" s="1"/>
  <c r="BE13" i="19"/>
  <c r="BF16" i="19"/>
  <c r="BF17" i="19"/>
  <c r="BF20" i="19"/>
  <c r="BF21" i="19"/>
  <c r="BF24" i="19"/>
  <c r="BF25" i="19"/>
  <c r="BF28" i="19"/>
  <c r="BF29" i="19"/>
  <c r="BF32" i="19"/>
  <c r="BF33" i="19"/>
  <c r="BF36" i="19"/>
  <c r="BF37" i="19"/>
  <c r="BF40" i="19"/>
  <c r="BF41" i="19"/>
  <c r="BF44" i="19"/>
  <c r="BF45" i="19"/>
  <c r="BF13" i="19"/>
  <c r="BD14" i="19"/>
  <c r="BD15" i="19"/>
  <c r="BD16" i="19"/>
  <c r="BD17" i="19"/>
  <c r="BD18" i="19"/>
  <c r="BD19" i="19"/>
  <c r="BD20" i="19"/>
  <c r="BD21" i="19"/>
  <c r="BD22" i="19"/>
  <c r="BD23" i="19"/>
  <c r="BD24" i="19"/>
  <c r="BD25" i="19"/>
  <c r="BD26" i="19"/>
  <c r="BD27" i="19"/>
  <c r="BD28" i="19"/>
  <c r="BD29" i="19"/>
  <c r="BD30" i="19"/>
  <c r="BD31" i="19"/>
  <c r="BD32" i="19"/>
  <c r="BD33" i="19"/>
  <c r="BD34" i="19"/>
  <c r="BD35" i="19"/>
  <c r="BD36" i="19"/>
  <c r="BD37" i="19"/>
  <c r="BD38" i="19"/>
  <c r="BD39" i="19"/>
  <c r="BD40" i="19"/>
  <c r="BD41" i="19"/>
  <c r="BD42" i="19"/>
  <c r="BD43" i="19"/>
  <c r="BD44" i="19"/>
  <c r="BD45" i="19"/>
  <c r="BD46" i="19"/>
  <c r="BD13" i="19"/>
  <c r="BC14" i="19"/>
  <c r="BC15" i="19"/>
  <c r="BC16" i="19"/>
  <c r="BC17" i="19"/>
  <c r="BC18" i="19"/>
  <c r="BC19" i="19"/>
  <c r="BC20" i="19"/>
  <c r="BC21" i="19"/>
  <c r="BC22" i="19"/>
  <c r="BC23" i="19"/>
  <c r="BC24" i="19"/>
  <c r="BC25" i="19"/>
  <c r="BC26" i="19"/>
  <c r="BC27" i="19"/>
  <c r="BC28" i="19"/>
  <c r="BC29" i="19"/>
  <c r="BC30" i="19"/>
  <c r="BC31" i="19"/>
  <c r="BC32" i="19"/>
  <c r="BC33" i="19"/>
  <c r="BC34" i="19"/>
  <c r="BC35" i="19"/>
  <c r="BC36" i="19"/>
  <c r="BC37" i="19"/>
  <c r="BC38" i="19"/>
  <c r="BC39" i="19"/>
  <c r="BC40" i="19"/>
  <c r="BC41" i="19"/>
  <c r="BC42" i="19"/>
  <c r="BC43" i="19"/>
  <c r="BC44" i="19"/>
  <c r="BC45" i="19"/>
  <c r="BC46" i="19"/>
  <c r="BC13" i="19"/>
  <c r="AQ46" i="19"/>
  <c r="AL46" i="19"/>
  <c r="AI46" i="19"/>
  <c r="AS46" i="19" s="1"/>
  <c r="AG46" i="19"/>
  <c r="AD46" i="19"/>
  <c r="U46" i="19"/>
  <c r="M46" i="19"/>
  <c r="G46" i="19"/>
  <c r="AQ45" i="19"/>
  <c r="AL45" i="19"/>
  <c r="AN45" i="19" s="1"/>
  <c r="AI45" i="19"/>
  <c r="AS45" i="19" s="1"/>
  <c r="AG45" i="19"/>
  <c r="U45" i="19"/>
  <c r="M45" i="19"/>
  <c r="G45" i="19"/>
  <c r="AQ44" i="19"/>
  <c r="AL44" i="19"/>
  <c r="AN44" i="19" s="1"/>
  <c r="AI44" i="19"/>
  <c r="AS44" i="19" s="1"/>
  <c r="AY44" i="19" s="1"/>
  <c r="AG44" i="19"/>
  <c r="U44" i="19"/>
  <c r="M44" i="19"/>
  <c r="G44" i="19"/>
  <c r="AQ43" i="19"/>
  <c r="AL43" i="19"/>
  <c r="AN43" i="19" s="1"/>
  <c r="AI43" i="19"/>
  <c r="AS43" i="19" s="1"/>
  <c r="AY43" i="19" s="1"/>
  <c r="AG43" i="19"/>
  <c r="U43" i="19"/>
  <c r="M43" i="19"/>
  <c r="G43" i="19"/>
  <c r="AQ41" i="19"/>
  <c r="AP41" i="19"/>
  <c r="AO41" i="19"/>
  <c r="AN41" i="19"/>
  <c r="AI41" i="19"/>
  <c r="AS41" i="19" s="1"/>
  <c r="AY41" i="19" s="1"/>
  <c r="AG41" i="19"/>
  <c r="U41" i="19"/>
  <c r="M41" i="19"/>
  <c r="G41" i="19"/>
  <c r="AQ40" i="19"/>
  <c r="AP40" i="19"/>
  <c r="AO40" i="19"/>
  <c r="AN40" i="19"/>
  <c r="AI40" i="19"/>
  <c r="AS40" i="19" s="1"/>
  <c r="AG40" i="19"/>
  <c r="U40" i="19"/>
  <c r="M40" i="19"/>
  <c r="G40" i="19"/>
  <c r="AQ39" i="19"/>
  <c r="AP39" i="19"/>
  <c r="AO39" i="19"/>
  <c r="AN39" i="19"/>
  <c r="AI39" i="19"/>
  <c r="AS39" i="19" s="1"/>
  <c r="AG39" i="19"/>
  <c r="U39" i="19"/>
  <c r="M39" i="19"/>
  <c r="G39" i="19"/>
  <c r="AQ38" i="19"/>
  <c r="AP38" i="19"/>
  <c r="AO38" i="19"/>
  <c r="AN38" i="19"/>
  <c r="AI38" i="19"/>
  <c r="AS38" i="19" s="1"/>
  <c r="AY38" i="19" s="1"/>
  <c r="AG38" i="19"/>
  <c r="U38" i="19"/>
  <c r="M38" i="19"/>
  <c r="G38" i="19"/>
  <c r="AQ37" i="19"/>
  <c r="AP37" i="19"/>
  <c r="AO37" i="19"/>
  <c r="AN37" i="19"/>
  <c r="AI37" i="19"/>
  <c r="AS37" i="19" s="1"/>
  <c r="AY37" i="19" s="1"/>
  <c r="AG37" i="19"/>
  <c r="U37" i="19"/>
  <c r="M37" i="19"/>
  <c r="G37" i="19"/>
  <c r="AQ35" i="19"/>
  <c r="AP35" i="19"/>
  <c r="AO35" i="19"/>
  <c r="AI35" i="19"/>
  <c r="AS35" i="19" s="1"/>
  <c r="K35" i="19"/>
  <c r="G35" i="19"/>
  <c r="AQ34" i="19"/>
  <c r="AP34" i="19"/>
  <c r="AO34" i="19"/>
  <c r="AI34" i="19"/>
  <c r="AS34" i="19" s="1"/>
  <c r="K34" i="19"/>
  <c r="J34" i="19" s="1"/>
  <c r="G34" i="19"/>
  <c r="AS32" i="19"/>
  <c r="AQ32" i="19"/>
  <c r="AP32" i="19"/>
  <c r="AO32" i="19"/>
  <c r="AN32" i="19"/>
  <c r="AG32" i="19"/>
  <c r="U32" i="19"/>
  <c r="M32" i="19"/>
  <c r="G32" i="19"/>
  <c r="AS31" i="19"/>
  <c r="AY31" i="19" s="1"/>
  <c r="AQ31" i="19"/>
  <c r="AP31" i="19"/>
  <c r="AO31" i="19"/>
  <c r="AN31" i="19"/>
  <c r="AG31" i="19"/>
  <c r="U31" i="19"/>
  <c r="M31" i="19"/>
  <c r="G31" i="19"/>
  <c r="AS30" i="19"/>
  <c r="AY30" i="19" s="1"/>
  <c r="AQ30" i="19"/>
  <c r="AP30" i="19"/>
  <c r="AO30" i="19"/>
  <c r="AN30" i="19"/>
  <c r="AG30" i="19"/>
  <c r="U30" i="19"/>
  <c r="M30" i="19"/>
  <c r="G30" i="19"/>
  <c r="AS29" i="19"/>
  <c r="AY29" i="19" s="1"/>
  <c r="AQ29" i="19"/>
  <c r="AP29" i="19"/>
  <c r="AO29" i="19"/>
  <c r="AN29" i="19"/>
  <c r="AG29" i="19"/>
  <c r="U29" i="19"/>
  <c r="M29" i="19"/>
  <c r="G29" i="19"/>
  <c r="AS28" i="19"/>
  <c r="AY28" i="19" s="1"/>
  <c r="AQ28" i="19"/>
  <c r="AP28" i="19"/>
  <c r="AO28" i="19"/>
  <c r="AN28" i="19"/>
  <c r="AG28" i="19"/>
  <c r="U28" i="19"/>
  <c r="M28" i="19"/>
  <c r="G28" i="19"/>
  <c r="AS27" i="19"/>
  <c r="AY27" i="19" s="1"/>
  <c r="AQ27" i="19"/>
  <c r="AP27" i="19"/>
  <c r="AO27" i="19"/>
  <c r="AN27" i="19"/>
  <c r="AG27" i="19"/>
  <c r="U27" i="19"/>
  <c r="M27" i="19"/>
  <c r="G27" i="19"/>
  <c r="AS26" i="19"/>
  <c r="AQ26" i="19"/>
  <c r="AP26" i="19"/>
  <c r="AO26" i="19"/>
  <c r="AN26" i="19"/>
  <c r="AG26" i="19"/>
  <c r="U26" i="19"/>
  <c r="M26" i="19"/>
  <c r="G26" i="19"/>
  <c r="AQ24" i="19"/>
  <c r="AM24" i="19"/>
  <c r="AL24" i="19"/>
  <c r="AI24" i="19"/>
  <c r="AS24" i="19" s="1"/>
  <c r="AG24" i="19"/>
  <c r="U24" i="19"/>
  <c r="M24" i="19"/>
  <c r="G24" i="19"/>
  <c r="AQ23" i="19"/>
  <c r="AN23" i="19"/>
  <c r="AP23" i="19" s="1"/>
  <c r="AI23" i="19"/>
  <c r="AS23" i="19" s="1"/>
  <c r="AY23" i="19" s="1"/>
  <c r="AG23" i="19"/>
  <c r="U23" i="19"/>
  <c r="M23" i="19"/>
  <c r="G23" i="19"/>
  <c r="AQ22" i="19"/>
  <c r="AP22" i="19"/>
  <c r="AO22" i="19"/>
  <c r="AN22" i="19"/>
  <c r="AI22" i="19"/>
  <c r="AS22" i="19" s="1"/>
  <c r="AG22" i="19"/>
  <c r="U22" i="19"/>
  <c r="M22" i="19"/>
  <c r="G22" i="19"/>
  <c r="AQ21" i="19"/>
  <c r="AN21" i="19"/>
  <c r="AP21" i="19" s="1"/>
  <c r="AI21" i="19"/>
  <c r="AS21" i="19" s="1"/>
  <c r="AY21" i="19" s="1"/>
  <c r="AG21" i="19"/>
  <c r="U21" i="19"/>
  <c r="M21" i="19"/>
  <c r="G21" i="19"/>
  <c r="AS19" i="19"/>
  <c r="AQ19" i="19"/>
  <c r="AP19" i="19"/>
  <c r="AO19" i="19"/>
  <c r="AN19" i="19"/>
  <c r="AG19" i="19"/>
  <c r="U19" i="19"/>
  <c r="M19" i="19"/>
  <c r="G19" i="19"/>
  <c r="AS18" i="19"/>
  <c r="AY18" i="19" s="1"/>
  <c r="AQ18" i="19"/>
  <c r="AP18" i="19"/>
  <c r="AO18" i="19"/>
  <c r="AN18" i="19"/>
  <c r="AG18" i="19"/>
  <c r="U18" i="19"/>
  <c r="M18" i="19"/>
  <c r="G18" i="19"/>
  <c r="AS17" i="19"/>
  <c r="AY17" i="19" s="1"/>
  <c r="AQ17" i="19"/>
  <c r="AP17" i="19"/>
  <c r="AO17" i="19"/>
  <c r="AN17" i="19"/>
  <c r="AG17" i="19"/>
  <c r="U17" i="19"/>
  <c r="M17" i="19"/>
  <c r="G17" i="19"/>
  <c r="AS16" i="19"/>
  <c r="AQ16" i="19"/>
  <c r="AP16" i="19"/>
  <c r="AO16" i="19"/>
  <c r="AN16" i="19"/>
  <c r="AG16" i="19"/>
  <c r="U16" i="19"/>
  <c r="M16" i="19"/>
  <c r="G16" i="19"/>
  <c r="AS15" i="19"/>
  <c r="AY15" i="19" s="1"/>
  <c r="AQ15" i="19"/>
  <c r="AP15" i="19"/>
  <c r="AO15" i="19"/>
  <c r="AN15" i="19"/>
  <c r="AG15" i="19"/>
  <c r="U15" i="19"/>
  <c r="M15" i="19"/>
  <c r="G15" i="19"/>
  <c r="AS14" i="19"/>
  <c r="AQ14" i="19"/>
  <c r="AP14" i="19"/>
  <c r="AO14" i="19"/>
  <c r="AN14" i="19"/>
  <c r="AG14" i="19"/>
  <c r="U14" i="19"/>
  <c r="M14" i="19"/>
  <c r="G14" i="19"/>
  <c r="AS13" i="19"/>
  <c r="AY13" i="19" s="1"/>
  <c r="AQ13" i="19"/>
  <c r="AP13" i="19"/>
  <c r="AO13" i="19"/>
  <c r="AN13" i="19"/>
  <c r="AG13" i="19"/>
  <c r="U13" i="19"/>
  <c r="M13" i="19"/>
  <c r="G13" i="19"/>
  <c r="O3" i="17"/>
  <c r="O4" i="17"/>
  <c r="O5" i="17"/>
  <c r="O6" i="17"/>
  <c r="O7" i="17"/>
  <c r="O8" i="17"/>
  <c r="O9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5" i="17"/>
  <c r="H35" i="17"/>
  <c r="J35" i="17" s="1"/>
  <c r="G35" i="17"/>
  <c r="I35" i="17" s="1"/>
  <c r="L35" i="17" s="1"/>
  <c r="J34" i="17"/>
  <c r="I34" i="17"/>
  <c r="L34" i="17" s="1"/>
  <c r="J33" i="17"/>
  <c r="I33" i="17"/>
  <c r="L33" i="17" s="1"/>
  <c r="J32" i="17"/>
  <c r="I32" i="17"/>
  <c r="L32" i="17" s="1"/>
  <c r="J30" i="17"/>
  <c r="I30" i="17"/>
  <c r="L30" i="17" s="1"/>
  <c r="J29" i="17"/>
  <c r="I29" i="17"/>
  <c r="L29" i="17" s="1"/>
  <c r="J28" i="17"/>
  <c r="I28" i="17"/>
  <c r="L28" i="17" s="1"/>
  <c r="J27" i="17"/>
  <c r="I27" i="17"/>
  <c r="L27" i="17" s="1"/>
  <c r="J26" i="17"/>
  <c r="I26" i="17"/>
  <c r="L26" i="17" s="1"/>
  <c r="H24" i="17"/>
  <c r="F24" i="17" s="1"/>
  <c r="J24" i="17" s="1"/>
  <c r="G24" i="17"/>
  <c r="H23" i="17"/>
  <c r="G23" i="17"/>
  <c r="F23" i="17"/>
  <c r="J21" i="17"/>
  <c r="I21" i="17"/>
  <c r="L21" i="17" s="1"/>
  <c r="J20" i="17"/>
  <c r="I20" i="17"/>
  <c r="L20" i="17" s="1"/>
  <c r="J19" i="17"/>
  <c r="I19" i="17"/>
  <c r="L19" i="17" s="1"/>
  <c r="J18" i="17"/>
  <c r="I18" i="17"/>
  <c r="L18" i="17" s="1"/>
  <c r="J17" i="17"/>
  <c r="I17" i="17"/>
  <c r="L17" i="17" s="1"/>
  <c r="J16" i="17"/>
  <c r="I16" i="17"/>
  <c r="L16" i="17" s="1"/>
  <c r="J15" i="17"/>
  <c r="I15" i="17"/>
  <c r="L15" i="17" s="1"/>
  <c r="H13" i="17"/>
  <c r="J13" i="17" s="1"/>
  <c r="G13" i="17"/>
  <c r="I13" i="17" s="1"/>
  <c r="L13" i="17" s="1"/>
  <c r="J12" i="17"/>
  <c r="I12" i="17"/>
  <c r="L12" i="17" s="1"/>
  <c r="J11" i="17"/>
  <c r="I11" i="17"/>
  <c r="L11" i="17" s="1"/>
  <c r="J10" i="17"/>
  <c r="I10" i="17"/>
  <c r="L10" i="17" s="1"/>
  <c r="J8" i="17"/>
  <c r="I8" i="17"/>
  <c r="L8" i="17" s="1"/>
  <c r="J7" i="17"/>
  <c r="I7" i="17"/>
  <c r="L7" i="17" s="1"/>
  <c r="J6" i="17"/>
  <c r="I6" i="17"/>
  <c r="L6" i="17" s="1"/>
  <c r="J5" i="17"/>
  <c r="I5" i="17"/>
  <c r="L5" i="17" s="1"/>
  <c r="J4" i="17"/>
  <c r="I4" i="17"/>
  <c r="L4" i="17" s="1"/>
  <c r="J3" i="17"/>
  <c r="I3" i="17"/>
  <c r="L3" i="17" s="1"/>
  <c r="J2" i="17"/>
  <c r="I2" i="17"/>
  <c r="L2" i="17" s="1"/>
  <c r="O2" i="17" s="1"/>
  <c r="AT37" i="19"/>
  <c r="AU34" i="19"/>
  <c r="AU31" i="19"/>
  <c r="AU27" i="19"/>
  <c r="AR37" i="19"/>
  <c r="AT40" i="19"/>
  <c r="AR32" i="19"/>
  <c r="AT31" i="19"/>
  <c r="AV27" i="19"/>
  <c r="AR14" i="19"/>
  <c r="AR29" i="19"/>
  <c r="AW41" i="19"/>
  <c r="AU37" i="19"/>
  <c r="AX30" i="19"/>
  <c r="AR28" i="19"/>
  <c r="AT27" i="19"/>
  <c r="AW18" i="19"/>
  <c r="AR40" i="19"/>
  <c r="AV38" i="19"/>
  <c r="AV34" i="19"/>
  <c r="AV30" i="19"/>
  <c r="AV29" i="19"/>
  <c r="AX26" i="19"/>
  <c r="AX14" i="19"/>
  <c r="AX18" i="19"/>
  <c r="AV13" i="19"/>
  <c r="AU17" i="19"/>
  <c r="AX35" i="19"/>
  <c r="AT34" i="19"/>
  <c r="AX32" i="19"/>
  <c r="AV26" i="19"/>
  <c r="AT35" i="19"/>
  <c r="AV35" i="19"/>
  <c r="AR31" i="19"/>
  <c r="AX28" i="19"/>
  <c r="AR15" i="19"/>
  <c r="AR38" i="19"/>
  <c r="AT28" i="19"/>
  <c r="AX40" i="19"/>
  <c r="AX37" i="19"/>
  <c r="AX29" i="19"/>
  <c r="AR27" i="19"/>
  <c r="AV19" i="19"/>
  <c r="AU14" i="19"/>
  <c r="AT26" i="19"/>
  <c r="AU13" i="19"/>
  <c r="AX38" i="19"/>
  <c r="AR34" i="19"/>
  <c r="AT32" i="19"/>
  <c r="AT30" i="19"/>
  <c r="AU19" i="19"/>
  <c r="AV17" i="19"/>
  <c r="AT14" i="19"/>
  <c r="AV31" i="19"/>
  <c r="AX19" i="19"/>
  <c r="AT13" i="19"/>
  <c r="AV16" i="19"/>
  <c r="AX15" i="19"/>
  <c r="AW14" i="19"/>
  <c r="AW39" i="19"/>
  <c r="AT17" i="19"/>
  <c r="AQ46" i="20" l="1"/>
  <c r="BI11" i="19"/>
  <c r="BH11" i="19"/>
  <c r="BD11" i="19"/>
  <c r="BC11" i="19"/>
  <c r="AP44" i="19"/>
  <c r="AO44" i="19"/>
  <c r="U34" i="19"/>
  <c r="M34" i="19"/>
  <c r="AG34" i="19"/>
  <c r="AZ34" i="19" s="1"/>
  <c r="AY22" i="19"/>
  <c r="AN24" i="19"/>
  <c r="AO24" i="19" s="1"/>
  <c r="AY34" i="19"/>
  <c r="AM34" i="19"/>
  <c r="AN34" i="19" s="1"/>
  <c r="AY32" i="19"/>
  <c r="AY39" i="19"/>
  <c r="AY40" i="19"/>
  <c r="AY46" i="19"/>
  <c r="AY16" i="19"/>
  <c r="AY19" i="19"/>
  <c r="AY26" i="19"/>
  <c r="AM46" i="19"/>
  <c r="AN46" i="19" s="1"/>
  <c r="AY14" i="19"/>
  <c r="AZ27" i="19"/>
  <c r="AZ38" i="19"/>
  <c r="AZ15" i="19"/>
  <c r="AZ31" i="19"/>
  <c r="AZ40" i="19"/>
  <c r="AZ28" i="19"/>
  <c r="AZ29" i="19"/>
  <c r="AZ14" i="19"/>
  <c r="AZ32" i="19"/>
  <c r="AZ37" i="19"/>
  <c r="AO23" i="19"/>
  <c r="AP45" i="19"/>
  <c r="AO45" i="19"/>
  <c r="AY24" i="19"/>
  <c r="AP43" i="19"/>
  <c r="AO43" i="19"/>
  <c r="M35" i="19"/>
  <c r="J35" i="19"/>
  <c r="AM35" i="19"/>
  <c r="AN35" i="19" s="1"/>
  <c r="AY45" i="19"/>
  <c r="AO21" i="19"/>
  <c r="I24" i="17"/>
  <c r="L24" i="17" s="1"/>
  <c r="J23" i="17"/>
  <c r="I23" i="17"/>
  <c r="L23" i="17" s="1"/>
  <c r="L35" i="16"/>
  <c r="O35" i="16" s="1"/>
  <c r="P46" i="16"/>
  <c r="P50" i="16" s="1"/>
  <c r="O46" i="16"/>
  <c r="P45" i="16"/>
  <c r="O45" i="16"/>
  <c r="O44" i="16"/>
  <c r="P44" i="16"/>
  <c r="P42" i="16"/>
  <c r="P55" i="16" s="1"/>
  <c r="P43" i="16"/>
  <c r="O42" i="16"/>
  <c r="O55" i="16" s="1"/>
  <c r="O43" i="16"/>
  <c r="O56" i="16" s="1"/>
  <c r="O41" i="16"/>
  <c r="P41" i="16"/>
  <c r="N41" i="16"/>
  <c r="P39" i="16"/>
  <c r="P52" i="16" s="1"/>
  <c r="P40" i="16"/>
  <c r="P53" i="16" s="1"/>
  <c r="O39" i="16"/>
  <c r="O52" i="16" s="1"/>
  <c r="O40" i="16"/>
  <c r="O53" i="16" s="1"/>
  <c r="O38" i="16"/>
  <c r="P38" i="16"/>
  <c r="P51" i="16" s="1"/>
  <c r="N38" i="16"/>
  <c r="O37" i="16"/>
  <c r="P37" i="16"/>
  <c r="P36" i="16"/>
  <c r="O36" i="16"/>
  <c r="O50" i="16"/>
  <c r="O34" i="16"/>
  <c r="P34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2" i="16"/>
  <c r="R2" i="16"/>
  <c r="P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M2" i="16"/>
  <c r="L2" i="16"/>
  <c r="K2" i="16"/>
  <c r="I23" i="16"/>
  <c r="J23" i="16" s="1"/>
  <c r="I24" i="16"/>
  <c r="J24" i="16" s="1"/>
  <c r="I25" i="16"/>
  <c r="I26" i="16"/>
  <c r="I27" i="16"/>
  <c r="J27" i="16" s="1"/>
  <c r="I28" i="16"/>
  <c r="J28" i="16" s="1"/>
  <c r="I29" i="16"/>
  <c r="I30" i="16"/>
  <c r="I22" i="16"/>
  <c r="I21" i="16"/>
  <c r="J21" i="16" s="1"/>
  <c r="I20" i="16"/>
  <c r="I12" i="16"/>
  <c r="J12" i="16" s="1"/>
  <c r="J3" i="16"/>
  <c r="J4" i="16"/>
  <c r="J5" i="16"/>
  <c r="J6" i="16"/>
  <c r="J7" i="16"/>
  <c r="J8" i="16"/>
  <c r="J9" i="16"/>
  <c r="J10" i="16"/>
  <c r="J11" i="16"/>
  <c r="J13" i="16"/>
  <c r="J14" i="16"/>
  <c r="J15" i="16"/>
  <c r="J16" i="16"/>
  <c r="J17" i="16"/>
  <c r="J18" i="16"/>
  <c r="J19" i="16"/>
  <c r="J20" i="16"/>
  <c r="J22" i="16"/>
  <c r="J25" i="16"/>
  <c r="J26" i="16"/>
  <c r="J29" i="16"/>
  <c r="J30" i="16"/>
  <c r="J2" i="16"/>
  <c r="N36" i="16"/>
  <c r="N35" i="16"/>
  <c r="O51" i="16"/>
  <c r="O54" i="16"/>
  <c r="P54" i="16"/>
  <c r="P56" i="16"/>
  <c r="N2" i="16"/>
  <c r="N3" i="16"/>
  <c r="N4" i="16"/>
  <c r="N5" i="16"/>
  <c r="N6" i="16"/>
  <c r="N7" i="16"/>
  <c r="N8" i="16"/>
  <c r="N9" i="16"/>
  <c r="N10" i="16"/>
  <c r="N11" i="16"/>
  <c r="N12" i="16"/>
  <c r="H12" i="16"/>
  <c r="H20" i="16"/>
  <c r="H21" i="16"/>
  <c r="H30" i="16"/>
  <c r="N30" i="16" s="1"/>
  <c r="L44" i="16"/>
  <c r="K44" i="16"/>
  <c r="H44" i="16"/>
  <c r="J44" i="16" s="1"/>
  <c r="L45" i="16"/>
  <c r="K45" i="16"/>
  <c r="I43" i="16"/>
  <c r="I42" i="16"/>
  <c r="L42" i="16" s="1"/>
  <c r="I41" i="16"/>
  <c r="L41" i="16" s="1"/>
  <c r="I40" i="16"/>
  <c r="J40" i="16" s="1"/>
  <c r="I39" i="16"/>
  <c r="L39" i="16" s="1"/>
  <c r="M39" i="16" s="1"/>
  <c r="I38" i="16"/>
  <c r="L38" i="16" s="1"/>
  <c r="M38" i="16" s="1"/>
  <c r="I46" i="16"/>
  <c r="L46" i="16" s="1"/>
  <c r="M46" i="16" s="1"/>
  <c r="I36" i="16"/>
  <c r="I45" i="16"/>
  <c r="I44" i="16"/>
  <c r="I37" i="16"/>
  <c r="L37" i="16" s="1"/>
  <c r="I35" i="16"/>
  <c r="L36" i="16"/>
  <c r="M34" i="16"/>
  <c r="L34" i="16"/>
  <c r="I34" i="16"/>
  <c r="N43" i="16"/>
  <c r="M56" i="16"/>
  <c r="L56" i="16" s="1"/>
  <c r="M55" i="16"/>
  <c r="L55" i="16" s="1"/>
  <c r="M54" i="16"/>
  <c r="L54" i="16" s="1"/>
  <c r="M53" i="16"/>
  <c r="L53" i="16" s="1"/>
  <c r="M52" i="16"/>
  <c r="L52" i="16" s="1"/>
  <c r="M51" i="16"/>
  <c r="L51" i="16" s="1"/>
  <c r="J51" i="16"/>
  <c r="M50" i="16"/>
  <c r="L50" i="16" s="1"/>
  <c r="J50" i="16"/>
  <c r="M49" i="16"/>
  <c r="L49" i="16"/>
  <c r="J49" i="16"/>
  <c r="H46" i="16"/>
  <c r="K46" i="16" s="1"/>
  <c r="H45" i="16"/>
  <c r="J45" i="16" s="1"/>
  <c r="H43" i="16"/>
  <c r="K43" i="16" s="1"/>
  <c r="K42" i="16"/>
  <c r="N42" i="16" s="1"/>
  <c r="H42" i="16"/>
  <c r="H41" i="16"/>
  <c r="K41" i="16" s="1"/>
  <c r="H40" i="16"/>
  <c r="K40" i="16" s="1"/>
  <c r="N40" i="16" s="1"/>
  <c r="H39" i="16"/>
  <c r="K39" i="16" s="1"/>
  <c r="N39" i="16" s="1"/>
  <c r="H38" i="16"/>
  <c r="K38" i="16" s="1"/>
  <c r="K37" i="16"/>
  <c r="H37" i="16"/>
  <c r="H36" i="16"/>
  <c r="K36" i="16" s="1"/>
  <c r="M36" i="16" s="1"/>
  <c r="K35" i="16"/>
  <c r="H35" i="16"/>
  <c r="K34" i="16"/>
  <c r="H34" i="16"/>
  <c r="J34" i="16" s="1"/>
  <c r="G30" i="16"/>
  <c r="K30" i="16" s="1"/>
  <c r="N29" i="16"/>
  <c r="K29" i="16"/>
  <c r="P29" i="16" s="1"/>
  <c r="N28" i="16"/>
  <c r="K28" i="16"/>
  <c r="P27" i="16"/>
  <c r="N27" i="16"/>
  <c r="K27" i="16"/>
  <c r="N26" i="16"/>
  <c r="K26" i="16"/>
  <c r="P26" i="16" s="1"/>
  <c r="N25" i="16"/>
  <c r="K25" i="16"/>
  <c r="P25" i="16" s="1"/>
  <c r="N24" i="16"/>
  <c r="K24" i="16"/>
  <c r="N23" i="16"/>
  <c r="K23" i="16"/>
  <c r="P23" i="16" s="1"/>
  <c r="N22" i="16"/>
  <c r="K22" i="16"/>
  <c r="P22" i="16" s="1"/>
  <c r="F21" i="16"/>
  <c r="N21" i="16" s="1"/>
  <c r="G21" i="16"/>
  <c r="G20" i="16"/>
  <c r="F20" i="16" s="1"/>
  <c r="P19" i="16"/>
  <c r="N19" i="16"/>
  <c r="K19" i="16"/>
  <c r="N18" i="16"/>
  <c r="K18" i="16"/>
  <c r="P18" i="16" s="1"/>
  <c r="N17" i="16"/>
  <c r="K17" i="16"/>
  <c r="P16" i="16"/>
  <c r="N16" i="16"/>
  <c r="K16" i="16"/>
  <c r="N15" i="16"/>
  <c r="K15" i="16"/>
  <c r="P15" i="16" s="1"/>
  <c r="N14" i="16"/>
  <c r="K14" i="16"/>
  <c r="P14" i="16" s="1"/>
  <c r="N13" i="16"/>
  <c r="K13" i="16"/>
  <c r="G12" i="16"/>
  <c r="K12" i="16" s="1"/>
  <c r="K11" i="16"/>
  <c r="P11" i="16" s="1"/>
  <c r="P10" i="16"/>
  <c r="K10" i="16"/>
  <c r="K9" i="16"/>
  <c r="P9" i="16" s="1"/>
  <c r="K8" i="16"/>
  <c r="K7" i="16"/>
  <c r="P7" i="16" s="1"/>
  <c r="P6" i="16"/>
  <c r="K6" i="16"/>
  <c r="P5" i="16"/>
  <c r="K5" i="16"/>
  <c r="K4" i="16"/>
  <c r="K3" i="16"/>
  <c r="P3" i="16" s="1"/>
  <c r="AW44" i="19"/>
  <c r="AU22" i="19"/>
  <c r="AV18" i="19"/>
  <c r="AX16" i="19"/>
  <c r="AR13" i="19"/>
  <c r="AX44" i="19"/>
  <c r="AW26" i="19"/>
  <c r="AW34" i="19"/>
  <c r="AR30" i="19"/>
  <c r="AW28" i="19"/>
  <c r="AW31" i="19"/>
  <c r="AT22" i="19"/>
  <c r="AT18" i="19"/>
  <c r="AX13" i="19"/>
  <c r="AV15" i="19"/>
  <c r="AV44" i="19"/>
  <c r="AW30" i="19"/>
  <c r="AV37" i="19"/>
  <c r="AX31" i="19"/>
  <c r="AU29" i="19"/>
  <c r="AV28" i="19"/>
  <c r="AV14" i="19"/>
  <c r="AU39" i="19"/>
  <c r="AR39" i="19"/>
  <c r="AT16" i="19"/>
  <c r="AW16" i="19"/>
  <c r="AW35" i="19"/>
  <c r="AU40" i="19"/>
  <c r="AV32" i="19"/>
  <c r="AW32" i="19"/>
  <c r="AT15" i="19"/>
  <c r="AU41" i="19"/>
  <c r="AU15" i="19"/>
  <c r="AX39" i="19"/>
  <c r="AR17" i="19"/>
  <c r="AW15" i="19"/>
  <c r="AU18" i="19"/>
  <c r="AU26" i="19"/>
  <c r="AX34" i="19"/>
  <c r="AU38" i="19"/>
  <c r="AT44" i="19"/>
  <c r="AT38" i="19"/>
  <c r="AR16" i="19"/>
  <c r="AT41" i="19"/>
  <c r="AV39" i="19"/>
  <c r="AR18" i="19"/>
  <c r="AU16" i="19"/>
  <c r="AW29" i="19"/>
  <c r="AW27" i="19"/>
  <c r="AR26" i="19"/>
  <c r="AR35" i="19"/>
  <c r="AW40" i="19"/>
  <c r="AX17" i="19"/>
  <c r="AR41" i="19"/>
  <c r="AR22" i="19"/>
  <c r="AT39" i="19"/>
  <c r="AT19" i="19"/>
  <c r="AX22" i="19"/>
  <c r="AU44" i="19"/>
  <c r="AU30" i="19"/>
  <c r="AU28" i="19"/>
  <c r="AX27" i="19"/>
  <c r="AW37" i="19"/>
  <c r="AR19" i="19"/>
  <c r="AU35" i="19"/>
  <c r="AW13" i="19"/>
  <c r="AW19" i="19"/>
  <c r="AX41" i="19"/>
  <c r="AV22" i="19"/>
  <c r="AW17" i="19"/>
  <c r="AV41" i="19"/>
  <c r="AW22" i="19"/>
  <c r="AR44" i="19"/>
  <c r="AW38" i="19"/>
  <c r="AU32" i="19"/>
  <c r="AT29" i="19"/>
  <c r="AV40" i="19"/>
  <c r="AP46" i="19" l="1"/>
  <c r="AO46" i="19"/>
  <c r="AP24" i="19"/>
  <c r="AZ44" i="19"/>
  <c r="AZ19" i="19"/>
  <c r="AZ22" i="19"/>
  <c r="AZ41" i="19"/>
  <c r="AZ26" i="19"/>
  <c r="AZ18" i="19"/>
  <c r="AZ16" i="19"/>
  <c r="AZ17" i="19"/>
  <c r="AZ39" i="19"/>
  <c r="AZ30" i="19"/>
  <c r="AZ13" i="19"/>
  <c r="AG35" i="19"/>
  <c r="AY35" i="19" s="1"/>
  <c r="U35" i="19"/>
  <c r="BA29" i="19"/>
  <c r="BA28" i="19"/>
  <c r="BA40" i="19"/>
  <c r="BA31" i="19"/>
  <c r="BA15" i="19"/>
  <c r="BA37" i="19"/>
  <c r="BA38" i="19"/>
  <c r="BA32" i="19"/>
  <c r="BA27" i="19"/>
  <c r="BA14" i="19"/>
  <c r="BA34" i="19"/>
  <c r="O49" i="16"/>
  <c r="P49" i="16"/>
  <c r="N45" i="16"/>
  <c r="M35" i="16"/>
  <c r="P35" i="16" s="1"/>
  <c r="M37" i="16"/>
  <c r="M41" i="16"/>
  <c r="M42" i="16"/>
  <c r="J36" i="16"/>
  <c r="J43" i="16"/>
  <c r="N46" i="16"/>
  <c r="M44" i="16"/>
  <c r="M45" i="16"/>
  <c r="L43" i="16"/>
  <c r="M43" i="16" s="1"/>
  <c r="J42" i="16"/>
  <c r="J41" i="16"/>
  <c r="L40" i="16"/>
  <c r="M40" i="16" s="1"/>
  <c r="J39" i="16"/>
  <c r="J38" i="16"/>
  <c r="J46" i="16"/>
  <c r="J37" i="16"/>
  <c r="J35" i="16"/>
  <c r="N53" i="16"/>
  <c r="N20" i="16"/>
  <c r="K20" i="16"/>
  <c r="P20" i="16" s="1"/>
  <c r="P30" i="16"/>
  <c r="P12" i="16"/>
  <c r="K21" i="16"/>
  <c r="P4" i="16"/>
  <c r="P8" i="16"/>
  <c r="P13" i="16"/>
  <c r="P17" i="16"/>
  <c r="P24" i="16"/>
  <c r="N44" i="16" s="1"/>
  <c r="P28" i="16"/>
  <c r="AR24" i="19"/>
  <c r="AX24" i="19"/>
  <c r="AW24" i="19"/>
  <c r="AT24" i="19"/>
  <c r="AU24" i="19"/>
  <c r="AV24" i="19"/>
  <c r="AU46" i="19"/>
  <c r="AX43" i="19"/>
  <c r="AX21" i="19"/>
  <c r="AW23" i="19"/>
  <c r="AR45" i="19"/>
  <c r="AT46" i="19"/>
  <c r="AX23" i="19"/>
  <c r="AW43" i="19"/>
  <c r="AW21" i="19"/>
  <c r="AV23" i="19"/>
  <c r="AV43" i="19"/>
  <c r="AR46" i="19"/>
  <c r="AV21" i="19"/>
  <c r="AU23" i="19"/>
  <c r="AT23" i="19"/>
  <c r="AU43" i="19"/>
  <c r="AX46" i="19"/>
  <c r="AU21" i="19"/>
  <c r="AX45" i="19"/>
  <c r="AU45" i="19"/>
  <c r="AT43" i="19"/>
  <c r="AW46" i="19"/>
  <c r="AT21" i="19"/>
  <c r="AW45" i="19"/>
  <c r="AT45" i="19"/>
  <c r="AR43" i="19"/>
  <c r="AV46" i="19"/>
  <c r="AR21" i="19"/>
  <c r="AR23" i="19"/>
  <c r="AV45" i="19"/>
  <c r="AZ24" i="19" l="1"/>
  <c r="AZ23" i="19"/>
  <c r="AZ21" i="19"/>
  <c r="AZ43" i="19"/>
  <c r="AZ46" i="19"/>
  <c r="AZ45" i="19"/>
  <c r="BA26" i="19"/>
  <c r="AZ35" i="19"/>
  <c r="BA18" i="19"/>
  <c r="BA13" i="19"/>
  <c r="BA41" i="19"/>
  <c r="BA30" i="19"/>
  <c r="BA22" i="19"/>
  <c r="BA39" i="19"/>
  <c r="BA24" i="19"/>
  <c r="BA17" i="19"/>
  <c r="BA19" i="19"/>
  <c r="BA16" i="19"/>
  <c r="BA44" i="19"/>
  <c r="N34" i="16"/>
  <c r="P21" i="16"/>
  <c r="N51" i="16"/>
  <c r="N54" i="16"/>
  <c r="N55" i="16"/>
  <c r="N50" i="16"/>
  <c r="N56" i="16"/>
  <c r="N52" i="16"/>
  <c r="N37" i="16"/>
  <c r="BA45" i="19" l="1"/>
  <c r="BA46" i="19"/>
  <c r="BA35" i="19"/>
  <c r="BA43" i="19"/>
  <c r="BA21" i="19"/>
  <c r="BA23" i="19"/>
  <c r="N49" i="16"/>
  <c r="R49" i="15" l="1"/>
  <c r="R50" i="15"/>
  <c r="R51" i="15"/>
  <c r="R52" i="15"/>
  <c r="R53" i="15"/>
  <c r="R54" i="15"/>
  <c r="R55" i="15"/>
  <c r="R48" i="15"/>
  <c r="P49" i="15"/>
  <c r="P50" i="15"/>
  <c r="P51" i="15"/>
  <c r="P52" i="15"/>
  <c r="P53" i="15"/>
  <c r="P54" i="15"/>
  <c r="P55" i="15"/>
  <c r="P48" i="15"/>
  <c r="T55" i="15"/>
  <c r="T54" i="15"/>
  <c r="T53" i="15"/>
  <c r="T52" i="15"/>
  <c r="T51" i="15"/>
  <c r="T50" i="15"/>
  <c r="T49" i="15"/>
  <c r="T48" i="15"/>
  <c r="S55" i="15"/>
  <c r="S54" i="15"/>
  <c r="S53" i="15"/>
  <c r="S52" i="15"/>
  <c r="S51" i="15"/>
  <c r="S50" i="15"/>
  <c r="S49" i="15"/>
  <c r="S48" i="15"/>
  <c r="Q55" i="15"/>
  <c r="Q54" i="15"/>
  <c r="Q53" i="15"/>
  <c r="Q52" i="15"/>
  <c r="Q51" i="15"/>
  <c r="Q50" i="15"/>
  <c r="Q49" i="15"/>
  <c r="Q48" i="15"/>
  <c r="O50" i="15"/>
  <c r="O49" i="15"/>
  <c r="O48" i="15"/>
  <c r="O53" i="15"/>
  <c r="O54" i="15"/>
  <c r="O52" i="15"/>
  <c r="O51" i="15"/>
  <c r="O55" i="15"/>
  <c r="T45" i="15"/>
  <c r="T44" i="15"/>
  <c r="S45" i="15"/>
  <c r="S44" i="15"/>
  <c r="R44" i="15"/>
  <c r="R45" i="15"/>
  <c r="Q44" i="15"/>
  <c r="Q45" i="15"/>
  <c r="P45" i="15"/>
  <c r="P44" i="15"/>
  <c r="H30" i="15"/>
  <c r="J45" i="15"/>
  <c r="I45" i="15"/>
  <c r="J44" i="15"/>
  <c r="I44" i="15"/>
  <c r="H45" i="15"/>
  <c r="H38" i="15"/>
  <c r="H39" i="15"/>
  <c r="H40" i="15"/>
  <c r="H41" i="15"/>
  <c r="H42" i="15"/>
  <c r="H37" i="15"/>
  <c r="H35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H44" i="15"/>
  <c r="H43" i="15"/>
  <c r="H36" i="15"/>
  <c r="H34" i="15"/>
  <c r="H33" i="15"/>
  <c r="N45" i="15"/>
  <c r="N44" i="15"/>
  <c r="M44" i="15"/>
  <c r="T43" i="15"/>
  <c r="S43" i="15"/>
  <c r="Q43" i="15"/>
  <c r="O43" i="15"/>
  <c r="T41" i="15"/>
  <c r="T42" i="15"/>
  <c r="T40" i="15"/>
  <c r="T38" i="15"/>
  <c r="T39" i="15"/>
  <c r="T37" i="15"/>
  <c r="S41" i="15"/>
  <c r="S42" i="15"/>
  <c r="S40" i="15"/>
  <c r="S38" i="15"/>
  <c r="S39" i="15"/>
  <c r="S37" i="15"/>
  <c r="Q41" i="15"/>
  <c r="Q42" i="15"/>
  <c r="Q40" i="15"/>
  <c r="Q38" i="15"/>
  <c r="R38" i="15" s="1"/>
  <c r="Q39" i="15"/>
  <c r="R39" i="15" s="1"/>
  <c r="Q37" i="15"/>
  <c r="R37" i="15" s="1"/>
  <c r="O41" i="15"/>
  <c r="O42" i="15"/>
  <c r="P42" i="15" s="1"/>
  <c r="O40" i="15"/>
  <c r="P40" i="15" s="1"/>
  <c r="O38" i="15"/>
  <c r="P38" i="15" s="1"/>
  <c r="O39" i="15"/>
  <c r="P39" i="15" s="1"/>
  <c r="O37" i="15"/>
  <c r="P37" i="15" s="1"/>
  <c r="T36" i="15"/>
  <c r="S36" i="15"/>
  <c r="Q36" i="15"/>
  <c r="Q35" i="15"/>
  <c r="Q34" i="15"/>
  <c r="S35" i="15"/>
  <c r="S34" i="15"/>
  <c r="T34" i="15"/>
  <c r="T35" i="15"/>
  <c r="R35" i="15"/>
  <c r="R34" i="15"/>
  <c r="P41" i="15"/>
  <c r="P43" i="15"/>
  <c r="P33" i="15"/>
  <c r="P34" i="15"/>
  <c r="P35" i="15"/>
  <c r="P36" i="15"/>
  <c r="M43" i="15"/>
  <c r="M36" i="15"/>
  <c r="M33" i="15"/>
  <c r="M34" i="15"/>
  <c r="M35" i="15"/>
  <c r="M37" i="15"/>
  <c r="M38" i="15"/>
  <c r="M39" i="15"/>
  <c r="M40" i="15"/>
  <c r="M41" i="15"/>
  <c r="M42" i="15"/>
  <c r="M45" i="15"/>
  <c r="O36" i="15"/>
  <c r="O35" i="15"/>
  <c r="O34" i="15"/>
  <c r="L50" i="15"/>
  <c r="L51" i="15"/>
  <c r="L52" i="15"/>
  <c r="L53" i="15"/>
  <c r="L54" i="15"/>
  <c r="L55" i="15"/>
  <c r="L49" i="15"/>
  <c r="L48" i="15"/>
  <c r="R36" i="15"/>
  <c r="R40" i="15"/>
  <c r="R41" i="15"/>
  <c r="R42" i="15"/>
  <c r="R43" i="15"/>
  <c r="R33" i="15"/>
  <c r="N42" i="15"/>
  <c r="N41" i="15"/>
  <c r="N40" i="15"/>
  <c r="N39" i="15"/>
  <c r="N38" i="15"/>
  <c r="N37" i="15"/>
  <c r="N35" i="15"/>
  <c r="N43" i="15"/>
  <c r="N36" i="15"/>
  <c r="N34" i="15"/>
  <c r="N33" i="15"/>
  <c r="T33" i="15"/>
  <c r="S33" i="15"/>
  <c r="Q33" i="15"/>
  <c r="O33" i="15"/>
  <c r="J50" i="15"/>
  <c r="J49" i="15"/>
  <c r="M52" i="15"/>
  <c r="J48" i="15"/>
  <c r="G30" i="15"/>
  <c r="I30" i="15" s="1"/>
  <c r="T30" i="15" s="1"/>
  <c r="G20" i="15"/>
  <c r="F20" i="15" s="1"/>
  <c r="G12" i="15"/>
  <c r="I12" i="15" s="1"/>
  <c r="Q12" i="15" s="1"/>
  <c r="I3" i="15"/>
  <c r="S3" i="15" s="1"/>
  <c r="I4" i="15"/>
  <c r="T4" i="15" s="1"/>
  <c r="I5" i="15"/>
  <c r="T5" i="15" s="1"/>
  <c r="I6" i="15"/>
  <c r="O6" i="15" s="1"/>
  <c r="I7" i="15"/>
  <c r="S7" i="15" s="1"/>
  <c r="I8" i="15"/>
  <c r="O8" i="15" s="1"/>
  <c r="I9" i="15"/>
  <c r="O9" i="15" s="1"/>
  <c r="I10" i="15"/>
  <c r="O10" i="15" s="1"/>
  <c r="I11" i="15"/>
  <c r="S11" i="15" s="1"/>
  <c r="I13" i="15"/>
  <c r="T13" i="15" s="1"/>
  <c r="I14" i="15"/>
  <c r="S14" i="15" s="1"/>
  <c r="I15" i="15"/>
  <c r="S15" i="15" s="1"/>
  <c r="I16" i="15"/>
  <c r="S16" i="15" s="1"/>
  <c r="I17" i="15"/>
  <c r="O17" i="15" s="1"/>
  <c r="I18" i="15"/>
  <c r="O18" i="15" s="1"/>
  <c r="I19" i="15"/>
  <c r="T19" i="15" s="1"/>
  <c r="I22" i="15"/>
  <c r="O22" i="15" s="1"/>
  <c r="I23" i="15"/>
  <c r="S23" i="15" s="1"/>
  <c r="I24" i="15"/>
  <c r="S24" i="15" s="1"/>
  <c r="I25" i="15"/>
  <c r="O25" i="15" s="1"/>
  <c r="I26" i="15"/>
  <c r="O26" i="15" s="1"/>
  <c r="I27" i="15"/>
  <c r="S27" i="15" s="1"/>
  <c r="I28" i="15"/>
  <c r="T28" i="15" s="1"/>
  <c r="I29" i="15"/>
  <c r="T29" i="15" s="1"/>
  <c r="I2" i="15"/>
  <c r="S2" i="15" s="1"/>
  <c r="G21" i="15"/>
  <c r="M55" i="15"/>
  <c r="M54" i="15"/>
  <c r="M53" i="15"/>
  <c r="M51" i="15"/>
  <c r="M50" i="15"/>
  <c r="M49" i="15"/>
  <c r="M48" i="15"/>
  <c r="H12" i="15"/>
  <c r="J12" i="15" s="1"/>
  <c r="J9" i="15"/>
  <c r="J10" i="15"/>
  <c r="J11" i="15"/>
  <c r="J13" i="15"/>
  <c r="J14" i="15"/>
  <c r="J15" i="15"/>
  <c r="J16" i="15"/>
  <c r="J17" i="15"/>
  <c r="J18" i="15"/>
  <c r="J19" i="15"/>
  <c r="J22" i="15"/>
  <c r="J23" i="15"/>
  <c r="J24" i="15"/>
  <c r="J25" i="15"/>
  <c r="J26" i="15"/>
  <c r="J27" i="15"/>
  <c r="J28" i="15"/>
  <c r="J29" i="15"/>
  <c r="J3" i="15"/>
  <c r="J4" i="15"/>
  <c r="J5" i="15"/>
  <c r="J6" i="15"/>
  <c r="J7" i="15"/>
  <c r="J8" i="15"/>
  <c r="J2" i="15"/>
  <c r="H21" i="15"/>
  <c r="F21" i="15" s="1"/>
  <c r="J21" i="15" s="1"/>
  <c r="H20" i="15"/>
  <c r="Q27" i="15" l="1"/>
  <c r="Q5" i="15"/>
  <c r="Q6" i="15"/>
  <c r="Q11" i="15"/>
  <c r="Q3" i="15"/>
  <c r="Q30" i="15"/>
  <c r="Q22" i="15"/>
  <c r="Q14" i="15"/>
  <c r="Q29" i="15"/>
  <c r="Q13" i="15"/>
  <c r="Q28" i="15"/>
  <c r="Q4" i="15"/>
  <c r="Q19" i="15"/>
  <c r="O11" i="15"/>
  <c r="Q26" i="15"/>
  <c r="Q18" i="15"/>
  <c r="Q10" i="15"/>
  <c r="Q2" i="15"/>
  <c r="Q25" i="15"/>
  <c r="Q17" i="15"/>
  <c r="Q9" i="15"/>
  <c r="Q24" i="15"/>
  <c r="Q16" i="15"/>
  <c r="Q8" i="15"/>
  <c r="Q23" i="15"/>
  <c r="Q15" i="15"/>
  <c r="Q7" i="15"/>
  <c r="T27" i="15"/>
  <c r="O4" i="15"/>
  <c r="T22" i="15"/>
  <c r="J20" i="15"/>
  <c r="O3" i="15"/>
  <c r="T11" i="15"/>
  <c r="S25" i="15"/>
  <c r="T6" i="15"/>
  <c r="O28" i="15"/>
  <c r="S22" i="15"/>
  <c r="T3" i="15"/>
  <c r="O27" i="15"/>
  <c r="S17" i="15"/>
  <c r="O24" i="15"/>
  <c r="S9" i="15"/>
  <c r="O16" i="15"/>
  <c r="S6" i="15"/>
  <c r="S30" i="15"/>
  <c r="O2" i="15"/>
  <c r="O23" i="15"/>
  <c r="O15" i="15"/>
  <c r="O7" i="15"/>
  <c r="S29" i="15"/>
  <c r="S13" i="15"/>
  <c r="S5" i="15"/>
  <c r="T26" i="15"/>
  <c r="T18" i="15"/>
  <c r="T10" i="15"/>
  <c r="O30" i="15"/>
  <c r="O14" i="15"/>
  <c r="S28" i="15"/>
  <c r="S12" i="15"/>
  <c r="S4" i="15"/>
  <c r="T25" i="15"/>
  <c r="T17" i="15"/>
  <c r="T9" i="15"/>
  <c r="I20" i="15"/>
  <c r="Q20" i="15" s="1"/>
  <c r="O29" i="15"/>
  <c r="O13" i="15"/>
  <c r="O5" i="15"/>
  <c r="S19" i="15"/>
  <c r="T24" i="15"/>
  <c r="T16" i="15"/>
  <c r="T8" i="15"/>
  <c r="O12" i="15"/>
  <c r="S26" i="15"/>
  <c r="S18" i="15"/>
  <c r="S10" i="15"/>
  <c r="T2" i="15"/>
  <c r="T23" i="15"/>
  <c r="T15" i="15"/>
  <c r="T7" i="15"/>
  <c r="O19" i="15"/>
  <c r="T14" i="15"/>
  <c r="S8" i="15"/>
  <c r="T12" i="15"/>
  <c r="I21" i="15"/>
  <c r="Q21" i="15" s="1"/>
  <c r="J30" i="15"/>
  <c r="G43" i="13"/>
  <c r="M43" i="13"/>
  <c r="U43" i="13"/>
  <c r="AG43" i="13"/>
  <c r="AI43" i="13"/>
  <c r="AL43" i="13"/>
  <c r="AN43" i="13" s="1"/>
  <c r="AQ43" i="13"/>
  <c r="O45" i="15" l="1"/>
  <c r="O44" i="15"/>
  <c r="T20" i="15"/>
  <c r="O20" i="15"/>
  <c r="S20" i="15"/>
  <c r="T21" i="15"/>
  <c r="O21" i="15"/>
  <c r="S21" i="15"/>
  <c r="AP43" i="13"/>
  <c r="AO43" i="13"/>
  <c r="AS43" i="13"/>
  <c r="AX43" i="13"/>
  <c r="AR43" i="13"/>
  <c r="AW43" i="13"/>
  <c r="AT43" i="13"/>
  <c r="AU43" i="13"/>
  <c r="AV43" i="13"/>
  <c r="AY43" i="13" l="1"/>
  <c r="AZ43" i="13"/>
  <c r="BA43" i="13" s="1"/>
  <c r="BB43" i="13"/>
  <c r="BG43" i="13" s="1"/>
  <c r="BO43" i="13"/>
  <c r="BX43" i="13"/>
  <c r="BY43" i="13"/>
  <c r="BN43" i="13"/>
  <c r="BS43" i="13"/>
  <c r="BV43" i="13"/>
  <c r="BW43" i="13"/>
  <c r="BM43" i="13"/>
  <c r="BJ43" i="13"/>
  <c r="BK43" i="13"/>
  <c r="BL43" i="13"/>
  <c r="BZ43" i="13"/>
  <c r="BH43" i="13" l="1"/>
  <c r="BI43" i="13" s="1"/>
  <c r="BE43" i="13"/>
  <c r="BD43" i="13"/>
  <c r="G44" i="13"/>
  <c r="M44" i="13"/>
  <c r="U44" i="13"/>
  <c r="AG44" i="13"/>
  <c r="AI44" i="13"/>
  <c r="AL44" i="13"/>
  <c r="AN44" i="13" s="1"/>
  <c r="AO44" i="13" s="1"/>
  <c r="AQ44" i="13"/>
  <c r="BQ43" i="13"/>
  <c r="BU43" i="13"/>
  <c r="BT43" i="13"/>
  <c r="BP43" i="13"/>
  <c r="AR44" i="13"/>
  <c r="AP44" i="13" l="1"/>
  <c r="BF43" i="13"/>
  <c r="AS44" i="13"/>
  <c r="AY44" i="13"/>
  <c r="AZ44" i="13"/>
  <c r="BA44" i="13"/>
  <c r="BH44" i="13" s="1"/>
  <c r="BB44" i="13"/>
  <c r="BD44" i="13" s="1"/>
  <c r="AX44" i="13"/>
  <c r="BM44" i="13"/>
  <c r="BY44" i="13"/>
  <c r="BP44" i="13"/>
  <c r="BJ44" i="13"/>
  <c r="AW44" i="13"/>
  <c r="BN44" i="13"/>
  <c r="BZ44" i="13"/>
  <c r="BT44" i="13"/>
  <c r="BO44" i="13"/>
  <c r="BR43" i="13"/>
  <c r="BL44" i="13"/>
  <c r="AT44" i="13"/>
  <c r="BV44" i="13" s="1"/>
  <c r="BK44" i="13"/>
  <c r="AU44" i="13"/>
  <c r="BW44" i="13" s="1"/>
  <c r="AV44" i="13"/>
  <c r="BX44" i="13" s="1"/>
  <c r="BE44" i="13" l="1"/>
  <c r="BG44" i="13"/>
  <c r="G45" i="13"/>
  <c r="M45" i="13"/>
  <c r="U45" i="13"/>
  <c r="AG45" i="13"/>
  <c r="AI45" i="13"/>
  <c r="AL45" i="13"/>
  <c r="AN45" i="13" s="1"/>
  <c r="AQ45" i="13"/>
  <c r="BQ44" i="13"/>
  <c r="BS44" i="13"/>
  <c r="BF44" i="13" l="1"/>
  <c r="AO45" i="13"/>
  <c r="AP45" i="13"/>
  <c r="BI44" i="13"/>
  <c r="AS45" i="13"/>
  <c r="AY45" i="13"/>
  <c r="BB45" i="13"/>
  <c r="BD45" i="13" s="1"/>
  <c r="AT45" i="13"/>
  <c r="BL45" i="13"/>
  <c r="BO45" i="13"/>
  <c r="BV45" i="13"/>
  <c r="AU45" i="13"/>
  <c r="BW45" i="13" s="1"/>
  <c r="BK45" i="13"/>
  <c r="AV45" i="13"/>
  <c r="BX45" i="13" s="1"/>
  <c r="AW45" i="13"/>
  <c r="BZ45" i="13"/>
  <c r="AX45" i="13"/>
  <c r="BY45" i="13" s="1"/>
  <c r="BR44" i="13"/>
  <c r="AR45" i="13"/>
  <c r="BP45" i="13"/>
  <c r="BU44" i="13"/>
  <c r="BJ45" i="13"/>
  <c r="AZ45" i="13" l="1"/>
  <c r="BG45" i="13"/>
  <c r="BM45" i="13"/>
  <c r="BS45" i="13"/>
  <c r="BA45" i="13" l="1"/>
  <c r="K35" i="13"/>
  <c r="J35" i="13" s="1"/>
  <c r="U35" i="13" s="1"/>
  <c r="K34" i="13"/>
  <c r="BB19" i="13"/>
  <c r="AS19" i="13"/>
  <c r="AQ19" i="13"/>
  <c r="AP19" i="13"/>
  <c r="AO19" i="13"/>
  <c r="AN19" i="13"/>
  <c r="AG19" i="13"/>
  <c r="U19" i="13"/>
  <c r="M19" i="13"/>
  <c r="G19" i="13"/>
  <c r="BB18" i="13"/>
  <c r="AS18" i="13"/>
  <c r="AQ18" i="13"/>
  <c r="AP18" i="13"/>
  <c r="AO18" i="13"/>
  <c r="AN18" i="13"/>
  <c r="AG18" i="13"/>
  <c r="U18" i="13"/>
  <c r="M18" i="13"/>
  <c r="G18" i="13"/>
  <c r="BB17" i="13"/>
  <c r="AS17" i="13"/>
  <c r="AQ17" i="13"/>
  <c r="AP17" i="13"/>
  <c r="AO17" i="13"/>
  <c r="AN17" i="13"/>
  <c r="AG17" i="13"/>
  <c r="U17" i="13"/>
  <c r="M17" i="13"/>
  <c r="G17" i="13"/>
  <c r="BB16" i="13"/>
  <c r="AS16" i="13"/>
  <c r="AQ16" i="13"/>
  <c r="AP16" i="13"/>
  <c r="AO16" i="13"/>
  <c r="AN16" i="13"/>
  <c r="AG16" i="13"/>
  <c r="U16" i="13"/>
  <c r="M16" i="13"/>
  <c r="G16" i="13"/>
  <c r="BB15" i="13"/>
  <c r="AS15" i="13"/>
  <c r="AQ15" i="13"/>
  <c r="AP15" i="13"/>
  <c r="AO15" i="13"/>
  <c r="AN15" i="13"/>
  <c r="AG15" i="13"/>
  <c r="U15" i="13"/>
  <c r="M15" i="13"/>
  <c r="G15" i="13"/>
  <c r="BB14" i="13"/>
  <c r="AS14" i="13"/>
  <c r="AQ14" i="13"/>
  <c r="AP14" i="13"/>
  <c r="AO14" i="13"/>
  <c r="AN14" i="13"/>
  <c r="AG14" i="13"/>
  <c r="U14" i="13"/>
  <c r="M14" i="13"/>
  <c r="G14" i="13"/>
  <c r="BB13" i="13"/>
  <c r="AS13" i="13"/>
  <c r="AQ13" i="13"/>
  <c r="AP13" i="13"/>
  <c r="AO13" i="13"/>
  <c r="AN13" i="13"/>
  <c r="AG13" i="13"/>
  <c r="U13" i="13"/>
  <c r="M13" i="13"/>
  <c r="G13" i="13"/>
  <c r="AS27" i="13"/>
  <c r="BB27" i="13"/>
  <c r="AS28" i="13"/>
  <c r="BB28" i="13"/>
  <c r="AS29" i="13"/>
  <c r="BB29" i="13"/>
  <c r="AS30" i="13"/>
  <c r="BB30" i="13"/>
  <c r="AS31" i="13"/>
  <c r="BB31" i="13"/>
  <c r="AS32" i="13"/>
  <c r="BB32" i="13"/>
  <c r="BB26" i="13"/>
  <c r="AS26" i="13"/>
  <c r="AP27" i="13"/>
  <c r="AP28" i="13"/>
  <c r="AP29" i="13"/>
  <c r="AP30" i="13"/>
  <c r="AP31" i="13"/>
  <c r="AP32" i="13"/>
  <c r="AP26" i="13"/>
  <c r="AO27" i="13"/>
  <c r="AO28" i="13"/>
  <c r="AO29" i="13"/>
  <c r="AO30" i="13"/>
  <c r="AO31" i="13"/>
  <c r="AO32" i="13"/>
  <c r="AO26" i="13"/>
  <c r="AN27" i="13"/>
  <c r="AN28" i="13"/>
  <c r="AN29" i="13"/>
  <c r="AN30" i="13"/>
  <c r="AN31" i="13"/>
  <c r="AN32" i="13"/>
  <c r="AN26" i="13"/>
  <c r="AQ27" i="13"/>
  <c r="AQ28" i="13"/>
  <c r="AQ29" i="13"/>
  <c r="AQ30" i="13"/>
  <c r="AQ31" i="13"/>
  <c r="AQ32" i="13"/>
  <c r="AQ26" i="13"/>
  <c r="AG27" i="13"/>
  <c r="AG28" i="13"/>
  <c r="AG29" i="13"/>
  <c r="AG30" i="13"/>
  <c r="AG31" i="13"/>
  <c r="AG32" i="13"/>
  <c r="AG26" i="13"/>
  <c r="U27" i="13"/>
  <c r="U28" i="13"/>
  <c r="U29" i="13"/>
  <c r="U30" i="13"/>
  <c r="U31" i="13"/>
  <c r="U32" i="13"/>
  <c r="U26" i="13"/>
  <c r="M27" i="13"/>
  <c r="M28" i="13"/>
  <c r="M29" i="13"/>
  <c r="M30" i="13"/>
  <c r="M31" i="13"/>
  <c r="M32" i="13"/>
  <c r="M26" i="13"/>
  <c r="G27" i="13"/>
  <c r="G28" i="13"/>
  <c r="G29" i="13"/>
  <c r="G30" i="13"/>
  <c r="G31" i="13"/>
  <c r="G32" i="13"/>
  <c r="G26" i="13"/>
  <c r="AN41" i="13"/>
  <c r="AO41" i="13"/>
  <c r="AP41" i="13"/>
  <c r="AQ41" i="13"/>
  <c r="BB41" i="13"/>
  <c r="AI41" i="13"/>
  <c r="AS41" i="13" s="1"/>
  <c r="U41" i="13"/>
  <c r="M41" i="13"/>
  <c r="AG41" i="13"/>
  <c r="G41" i="13"/>
  <c r="BB40" i="13"/>
  <c r="AQ40" i="13"/>
  <c r="AN40" i="13"/>
  <c r="AI40" i="13"/>
  <c r="AS40" i="13" s="1"/>
  <c r="AG40" i="13"/>
  <c r="U40" i="13"/>
  <c r="M40" i="13"/>
  <c r="G40" i="13"/>
  <c r="AQ39" i="13"/>
  <c r="AN39" i="13"/>
  <c r="AP39" i="13" s="1"/>
  <c r="AI39" i="13"/>
  <c r="AS39" i="13" s="1"/>
  <c r="AG39" i="13"/>
  <c r="BB39" i="13" s="1"/>
  <c r="U39" i="13"/>
  <c r="M39" i="13"/>
  <c r="G39" i="13"/>
  <c r="AQ38" i="13"/>
  <c r="AP38" i="13"/>
  <c r="AO38" i="13"/>
  <c r="AN38" i="13"/>
  <c r="AI38" i="13"/>
  <c r="AS38" i="13" s="1"/>
  <c r="AG38" i="13"/>
  <c r="BB38" i="13" s="1"/>
  <c r="U38" i="13"/>
  <c r="M38" i="13"/>
  <c r="G38" i="13"/>
  <c r="BB37" i="13"/>
  <c r="AQ37" i="13"/>
  <c r="AP37" i="13"/>
  <c r="AO37" i="13"/>
  <c r="AN37" i="13"/>
  <c r="AI37" i="13"/>
  <c r="AS37" i="13" s="1"/>
  <c r="AG37" i="13"/>
  <c r="U37" i="13"/>
  <c r="M37" i="13"/>
  <c r="G37" i="13"/>
  <c r="AQ24" i="13"/>
  <c r="AQ35" i="13"/>
  <c r="AQ34" i="13"/>
  <c r="AQ23" i="13"/>
  <c r="AQ22" i="13"/>
  <c r="AQ21" i="13"/>
  <c r="BB35" i="13"/>
  <c r="BB34" i="13"/>
  <c r="BB24" i="13"/>
  <c r="AM24" i="13"/>
  <c r="AL24" i="13"/>
  <c r="U24" i="13"/>
  <c r="U23" i="13"/>
  <c r="U22" i="13"/>
  <c r="U21" i="13"/>
  <c r="M24" i="13"/>
  <c r="M23" i="13"/>
  <c r="M22" i="13"/>
  <c r="M21" i="13"/>
  <c r="BB46" i="13"/>
  <c r="AL46" i="13"/>
  <c r="AM46" i="13" s="1"/>
  <c r="AQ46" i="13"/>
  <c r="AD46" i="13"/>
  <c r="U46" i="13"/>
  <c r="M46" i="13"/>
  <c r="G46" i="13"/>
  <c r="G21" i="13"/>
  <c r="G22" i="13"/>
  <c r="G23" i="13"/>
  <c r="G24" i="13"/>
  <c r="G34" i="13"/>
  <c r="G35" i="13"/>
  <c r="AN21" i="13"/>
  <c r="AN22" i="13"/>
  <c r="AN23" i="13"/>
  <c r="BN45" i="13"/>
  <c r="AV15" i="13"/>
  <c r="BK13" i="13"/>
  <c r="AV18" i="13"/>
  <c r="AX13" i="13"/>
  <c r="AR27" i="13"/>
  <c r="AV26" i="13"/>
  <c r="AR32" i="13"/>
  <c r="AW32" i="13"/>
  <c r="AT30" i="13"/>
  <c r="AV28" i="13"/>
  <c r="BX26" i="13"/>
  <c r="AX41" i="13"/>
  <c r="BO38" i="13"/>
  <c r="AR38" i="13"/>
  <c r="AW27" i="13"/>
  <c r="BJ27" i="13"/>
  <c r="AV31" i="13"/>
  <c r="BX31" i="13" s="1"/>
  <c r="BY41" i="13"/>
  <c r="BK29" i="13"/>
  <c r="AW29" i="13"/>
  <c r="AX26" i="13"/>
  <c r="BO18" i="13"/>
  <c r="AX14" i="13"/>
  <c r="AX18" i="13"/>
  <c r="AU18" i="13"/>
  <c r="BO32" i="13"/>
  <c r="AX31" i="13"/>
  <c r="BY31" i="13" s="1"/>
  <c r="AU31" i="13"/>
  <c r="AT31" i="13"/>
  <c r="AU30" i="13"/>
  <c r="AR31" i="13"/>
  <c r="AV32" i="13"/>
  <c r="BK26" i="13"/>
  <c r="AT41" i="13"/>
  <c r="BV41" i="13"/>
  <c r="BK39" i="13"/>
  <c r="AV37" i="13"/>
  <c r="AW30" i="13"/>
  <c r="AU29" i="13"/>
  <c r="BZ32" i="13"/>
  <c r="AU14" i="13"/>
  <c r="BK16" i="13"/>
  <c r="BO19" i="13"/>
  <c r="AR17" i="13"/>
  <c r="BJ17" i="13" s="1"/>
  <c r="BO17" i="13"/>
  <c r="AW17" i="13"/>
  <c r="BK27" i="13"/>
  <c r="BO27" i="13"/>
  <c r="AX30" i="13"/>
  <c r="BY30" i="13" s="1"/>
  <c r="AT29" i="13"/>
  <c r="AV27" i="13"/>
  <c r="BX27" i="13" s="1"/>
  <c r="BO29" i="13"/>
  <c r="AW28" i="13"/>
  <c r="AR29" i="13"/>
  <c r="AU41" i="13"/>
  <c r="BW41" i="13" s="1"/>
  <c r="BO41" i="13"/>
  <c r="BO37" i="13"/>
  <c r="BO21" i="13"/>
  <c r="AR16" i="13"/>
  <c r="BV31" i="13"/>
  <c r="BX32" i="13"/>
  <c r="AR41" i="13"/>
  <c r="BO30" i="13"/>
  <c r="AT32" i="13"/>
  <c r="BV32" i="13" s="1"/>
  <c r="AR13" i="13"/>
  <c r="BJ13" i="13" s="1"/>
  <c r="BW14" i="13"/>
  <c r="AR18" i="13"/>
  <c r="BO14" i="13"/>
  <c r="AX17" i="13"/>
  <c r="AT14" i="13"/>
  <c r="BK31" i="13"/>
  <c r="AT28" i="13"/>
  <c r="BV28" i="13"/>
  <c r="BO28" i="13"/>
  <c r="AT27" i="13"/>
  <c r="AV30" i="13"/>
  <c r="BO26" i="13"/>
  <c r="AT26" i="13"/>
  <c r="BV29" i="13"/>
  <c r="AV41" i="13"/>
  <c r="BX41" i="13"/>
  <c r="BK37" i="13"/>
  <c r="BJ38" i="13"/>
  <c r="AW13" i="13"/>
  <c r="AR30" i="13"/>
  <c r="BX28" i="13"/>
  <c r="BK40" i="13"/>
  <c r="AR19" i="13"/>
  <c r="BJ19" i="13" s="1"/>
  <c r="BK32" i="13"/>
  <c r="AT38" i="13"/>
  <c r="BK18" i="13"/>
  <c r="AU17" i="13"/>
  <c r="BW17" i="13" s="1"/>
  <c r="BK17" i="13"/>
  <c r="BO13" i="13"/>
  <c r="AT18" i="13"/>
  <c r="AU16" i="13"/>
  <c r="AT17" i="13"/>
  <c r="BV18" i="13"/>
  <c r="BK15" i="13"/>
  <c r="AX16" i="13"/>
  <c r="AU32" i="13"/>
  <c r="BW32" i="13" s="1"/>
  <c r="AX28" i="13"/>
  <c r="AU27" i="13"/>
  <c r="BW27" i="13" s="1"/>
  <c r="BY28" i="13"/>
  <c r="AV29" i="13"/>
  <c r="BX29" i="13" s="1"/>
  <c r="BK30" i="13"/>
  <c r="BK28" i="13"/>
  <c r="AU26" i="13"/>
  <c r="BZ27" i="13"/>
  <c r="BJ41" i="13"/>
  <c r="BO39" i="13"/>
  <c r="BK38" i="13"/>
  <c r="BJ18" i="13"/>
  <c r="BO16" i="13"/>
  <c r="AV19" i="13"/>
  <c r="BO15" i="13"/>
  <c r="BK19" i="13"/>
  <c r="AT15" i="13"/>
  <c r="AX27" i="13"/>
  <c r="BY27" i="13" s="1"/>
  <c r="BZ30" i="13"/>
  <c r="AT37" i="13"/>
  <c r="BK14" i="13"/>
  <c r="AT16" i="13"/>
  <c r="BY14" i="13"/>
  <c r="AT19" i="13"/>
  <c r="AV14" i="13"/>
  <c r="AR15" i="13"/>
  <c r="BJ15" i="13" s="1"/>
  <c r="AR26" i="13"/>
  <c r="BJ26" i="13" s="1"/>
  <c r="AR28" i="13"/>
  <c r="BJ28" i="13" s="1"/>
  <c r="BO31" i="13"/>
  <c r="AU28" i="13"/>
  <c r="BW28" i="13" s="1"/>
  <c r="AX29" i="13"/>
  <c r="AX32" i="13"/>
  <c r="AW31" i="13"/>
  <c r="AW26" i="13"/>
  <c r="BZ31" i="13"/>
  <c r="AW41" i="13"/>
  <c r="BZ41" i="13" s="1"/>
  <c r="BK41" i="13"/>
  <c r="BO40" i="13"/>
  <c r="BV37" i="13"/>
  <c r="BJ16" i="13"/>
  <c r="BH45" i="13" l="1"/>
  <c r="BE45" i="13"/>
  <c r="AY31" i="13"/>
  <c r="BG31" i="13" s="1"/>
  <c r="AY32" i="13"/>
  <c r="BG32" i="13" s="1"/>
  <c r="AY14" i="13"/>
  <c r="AY18" i="13"/>
  <c r="BG18" i="13" s="1"/>
  <c r="M35" i="13"/>
  <c r="AY13" i="13"/>
  <c r="BD13" i="13" s="1"/>
  <c r="AY19" i="13"/>
  <c r="BG19" i="13" s="1"/>
  <c r="AY16" i="13"/>
  <c r="BG16" i="13" s="1"/>
  <c r="AY27" i="13"/>
  <c r="BG27" i="13" s="1"/>
  <c r="AM35" i="13"/>
  <c r="AN35" i="13" s="1"/>
  <c r="J34" i="13"/>
  <c r="U34" i="13" s="1"/>
  <c r="AM34" i="13"/>
  <c r="AN34" i="13" s="1"/>
  <c r="AY26" i="13"/>
  <c r="BG26" i="13" s="1"/>
  <c r="BD14" i="13"/>
  <c r="BG14" i="13"/>
  <c r="BD32" i="13"/>
  <c r="AY29" i="13"/>
  <c r="AY17" i="13"/>
  <c r="BG17" i="13" s="1"/>
  <c r="AY41" i="13"/>
  <c r="BG41" i="13" s="1"/>
  <c r="AY28" i="13"/>
  <c r="BD28" i="13" s="1"/>
  <c r="AY15" i="13"/>
  <c r="BD15" i="13" s="1"/>
  <c r="AY30" i="13"/>
  <c r="BD30" i="13" s="1"/>
  <c r="AZ15" i="13"/>
  <c r="AZ19" i="13"/>
  <c r="AZ16" i="13"/>
  <c r="AZ17" i="13"/>
  <c r="AZ18" i="13"/>
  <c r="AZ13" i="13"/>
  <c r="AZ30" i="13"/>
  <c r="AZ29" i="13"/>
  <c r="AZ32" i="13"/>
  <c r="AZ28" i="13"/>
  <c r="AZ31" i="13"/>
  <c r="AZ27" i="13"/>
  <c r="AZ26" i="13"/>
  <c r="AZ41" i="13"/>
  <c r="AY40" i="13"/>
  <c r="BG40" i="13" s="1"/>
  <c r="AY39" i="13"/>
  <c r="BG39" i="13" s="1"/>
  <c r="AY38" i="13"/>
  <c r="BG38" i="13" s="1"/>
  <c r="AY37" i="13"/>
  <c r="BD37" i="13" s="1"/>
  <c r="AZ38" i="13"/>
  <c r="AP40" i="13"/>
  <c r="AO40" i="13"/>
  <c r="AO39" i="13"/>
  <c r="AN24" i="13"/>
  <c r="AO24" i="13" s="1"/>
  <c r="AN46" i="13"/>
  <c r="AG46" i="13"/>
  <c r="AG21" i="13"/>
  <c r="BB21" i="13" s="1"/>
  <c r="AG22" i="13"/>
  <c r="BB22" i="13" s="1"/>
  <c r="AG23" i="13"/>
  <c r="BB23" i="13" s="1"/>
  <c r="AG24" i="13"/>
  <c r="AG35" i="13"/>
  <c r="AP21" i="13"/>
  <c r="AP22" i="13"/>
  <c r="AP23" i="13"/>
  <c r="AP34" i="13"/>
  <c r="AP35" i="13"/>
  <c r="AO21" i="13"/>
  <c r="AO22" i="13"/>
  <c r="AO23" i="13"/>
  <c r="AO34" i="13"/>
  <c r="AO35" i="13"/>
  <c r="BY32" i="13"/>
  <c r="BV17" i="13"/>
  <c r="BV14" i="13"/>
  <c r="BW30" i="13"/>
  <c r="BX18" i="13"/>
  <c r="BY29" i="13"/>
  <c r="BW16" i="13"/>
  <c r="BY17" i="13"/>
  <c r="BW31" i="13"/>
  <c r="BX15" i="13"/>
  <c r="BL13" i="13"/>
  <c r="BV30" i="13"/>
  <c r="BX14" i="13"/>
  <c r="BV38" i="13"/>
  <c r="BJ29" i="13"/>
  <c r="BW18" i="13"/>
  <c r="BT45" i="13"/>
  <c r="BL31" i="13"/>
  <c r="BL19" i="13"/>
  <c r="BL32" i="13"/>
  <c r="BW29" i="13"/>
  <c r="BV19" i="13"/>
  <c r="BJ30" i="13"/>
  <c r="BZ28" i="13"/>
  <c r="BY18" i="13"/>
  <c r="BQ45" i="13"/>
  <c r="BY26" i="13"/>
  <c r="BL16" i="13"/>
  <c r="BV26" i="13"/>
  <c r="BV16" i="13"/>
  <c r="BZ13" i="13"/>
  <c r="BZ17" i="13"/>
  <c r="BZ29" i="13"/>
  <c r="BW26" i="13"/>
  <c r="BV15" i="13"/>
  <c r="BX19" i="13"/>
  <c r="BX30" i="13"/>
  <c r="BX37" i="13"/>
  <c r="BJ32" i="13"/>
  <c r="BZ26" i="13"/>
  <c r="BL14" i="13"/>
  <c r="BL18" i="13"/>
  <c r="BY16" i="13"/>
  <c r="BV27" i="13"/>
  <c r="BJ31" i="13"/>
  <c r="BY13" i="13"/>
  <c r="BF45" i="13" l="1"/>
  <c r="BI45" i="13"/>
  <c r="BD31" i="13"/>
  <c r="BG30" i="13"/>
  <c r="BD18" i="13"/>
  <c r="BG13" i="13"/>
  <c r="BD26" i="13"/>
  <c r="BR45" i="13"/>
  <c r="BL26" i="13"/>
  <c r="BL17" i="13"/>
  <c r="AT13" i="13"/>
  <c r="BM16" i="13"/>
  <c r="BU45" i="13"/>
  <c r="BP31" i="13"/>
  <c r="BS32" i="13"/>
  <c r="BP14" i="13"/>
  <c r="BL30" i="13"/>
  <c r="BM13" i="13"/>
  <c r="AX15" i="13"/>
  <c r="BM18" i="13"/>
  <c r="BM31" i="13"/>
  <c r="BS30" i="13"/>
  <c r="BL39" i="13"/>
  <c r="AU37" i="13"/>
  <c r="BM28" i="13"/>
  <c r="AW16" i="13"/>
  <c r="BS19" i="13"/>
  <c r="BP26" i="13"/>
  <c r="BL41" i="13"/>
  <c r="BP18" i="13"/>
  <c r="AU19" i="13"/>
  <c r="AV17" i="13"/>
  <c r="AW14" i="13"/>
  <c r="BS27" i="13"/>
  <c r="BM32" i="13"/>
  <c r="BL38" i="13"/>
  <c r="BS40" i="13"/>
  <c r="BS13" i="13"/>
  <c r="BS39" i="13"/>
  <c r="BM41" i="13"/>
  <c r="BP13" i="13"/>
  <c r="BL40" i="13"/>
  <c r="BS14" i="13"/>
  <c r="BS18" i="13"/>
  <c r="BM19" i="13"/>
  <c r="AU13" i="13"/>
  <c r="AX19" i="13"/>
  <c r="BS31" i="13"/>
  <c r="BM26" i="13"/>
  <c r="BL37" i="13"/>
  <c r="AX37" i="13"/>
  <c r="AW38" i="13"/>
  <c r="BP37" i="13"/>
  <c r="BM30" i="13"/>
  <c r="BL28" i="13"/>
  <c r="BL29" i="13"/>
  <c r="AR14" i="13"/>
  <c r="AW15" i="13"/>
  <c r="AU15" i="13"/>
  <c r="BP28" i="13"/>
  <c r="BM27" i="13"/>
  <c r="BM38" i="13"/>
  <c r="AU38" i="13"/>
  <c r="BM29" i="13"/>
  <c r="BS26" i="13"/>
  <c r="AW19" i="13"/>
  <c r="AR37" i="13"/>
  <c r="BP32" i="13"/>
  <c r="BM15" i="13"/>
  <c r="AV13" i="13"/>
  <c r="BM17" i="13"/>
  <c r="BL27" i="13"/>
  <c r="BL15" i="13"/>
  <c r="BS16" i="13"/>
  <c r="BS17" i="13"/>
  <c r="BP15" i="13"/>
  <c r="AW18" i="13"/>
  <c r="BP30" i="13"/>
  <c r="BS41" i="13"/>
  <c r="BS38" i="13"/>
  <c r="AV38" i="13"/>
  <c r="AV16" i="13"/>
  <c r="AW37" i="13"/>
  <c r="AX38" i="13"/>
  <c r="BG28" i="13" l="1"/>
  <c r="BD19" i="13"/>
  <c r="BD16" i="13"/>
  <c r="BG15" i="13"/>
  <c r="AG34" i="13"/>
  <c r="BY38" i="13"/>
  <c r="BW38" i="13"/>
  <c r="BX17" i="13"/>
  <c r="BZ37" i="13"/>
  <c r="BW15" i="13"/>
  <c r="BW19" i="13"/>
  <c r="BO34" i="13"/>
  <c r="BO22" i="13"/>
  <c r="BP19" i="13"/>
  <c r="AV22" i="13"/>
  <c r="BZ19" i="13"/>
  <c r="BO24" i="13"/>
  <c r="BX16" i="13"/>
  <c r="BZ15" i="13"/>
  <c r="BZ16" i="13"/>
  <c r="AV21" i="13"/>
  <c r="AV35" i="13"/>
  <c r="AU21" i="13"/>
  <c r="AU35" i="13"/>
  <c r="BO23" i="13"/>
  <c r="BX38" i="13"/>
  <c r="BZ38" i="13"/>
  <c r="BW37" i="13"/>
  <c r="BS28" i="13"/>
  <c r="BO46" i="13"/>
  <c r="AU23" i="13"/>
  <c r="BW13" i="13"/>
  <c r="BS15" i="13"/>
  <c r="AV34" i="13"/>
  <c r="BZ18" i="13"/>
  <c r="BY37" i="13"/>
  <c r="BY15" i="13"/>
  <c r="BO35" i="13"/>
  <c r="AV23" i="13"/>
  <c r="BZ14" i="13"/>
  <c r="BX13" i="13"/>
  <c r="BY19" i="13"/>
  <c r="BV13" i="13"/>
  <c r="BP16" i="13"/>
  <c r="BJ14" i="13"/>
  <c r="AU34" i="13"/>
  <c r="BJ37" i="13"/>
  <c r="BG37" i="13" l="1"/>
  <c r="BD41" i="13"/>
  <c r="BD27" i="13"/>
  <c r="M34" i="13"/>
  <c r="BG29" i="13"/>
  <c r="BD29" i="13"/>
  <c r="BD17" i="13"/>
  <c r="AZ14" i="13"/>
  <c r="BA18" i="13"/>
  <c r="BA17" i="13"/>
  <c r="BA16" i="13"/>
  <c r="BA19" i="13"/>
  <c r="BA13" i="13"/>
  <c r="BA15" i="13"/>
  <c r="BA31" i="13"/>
  <c r="BA27" i="13"/>
  <c r="BA28" i="13"/>
  <c r="BA32" i="13"/>
  <c r="BA29" i="13"/>
  <c r="BA30" i="13"/>
  <c r="BA26" i="13"/>
  <c r="BD39" i="13"/>
  <c r="AP24" i="13"/>
  <c r="BD40" i="13"/>
  <c r="BD38" i="13"/>
  <c r="BA41" i="13"/>
  <c r="AZ37" i="13"/>
  <c r="BA38" i="13"/>
  <c r="AO46" i="13"/>
  <c r="AP46" i="13"/>
  <c r="AI46" i="13"/>
  <c r="AI21" i="13"/>
  <c r="AI22" i="13"/>
  <c r="AI23" i="13"/>
  <c r="AI24" i="13"/>
  <c r="AI34" i="13"/>
  <c r="AI35" i="13"/>
  <c r="BS29" i="13"/>
  <c r="BN17" i="13"/>
  <c r="BN30" i="13"/>
  <c r="AR39" i="13"/>
  <c r="AU40" i="13"/>
  <c r="BJ39" i="13"/>
  <c r="BN18" i="13"/>
  <c r="BP39" i="13"/>
  <c r="AX40" i="13"/>
  <c r="AX39" i="13"/>
  <c r="BP29" i="13"/>
  <c r="BP17" i="13"/>
  <c r="BN32" i="13"/>
  <c r="AU24" i="13"/>
  <c r="AT39" i="13"/>
  <c r="AT40" i="13"/>
  <c r="BN38" i="13"/>
  <c r="BP27" i="13"/>
  <c r="BM37" i="13"/>
  <c r="BM14" i="13"/>
  <c r="BN28" i="13"/>
  <c r="AV24" i="13"/>
  <c r="AV39" i="13"/>
  <c r="AW39" i="13"/>
  <c r="BP40" i="13"/>
  <c r="AW40" i="13"/>
  <c r="AV46" i="13"/>
  <c r="AU22" i="13"/>
  <c r="BN15" i="13"/>
  <c r="BN31" i="13"/>
  <c r="BS37" i="13"/>
  <c r="BN13" i="13"/>
  <c r="BN27" i="13"/>
  <c r="BP38" i="13"/>
  <c r="AR40" i="13"/>
  <c r="BN29" i="13"/>
  <c r="BJ40" i="13"/>
  <c r="BP41" i="13"/>
  <c r="BN16" i="13"/>
  <c r="BN26" i="13"/>
  <c r="BN41" i="13"/>
  <c r="AV40" i="13"/>
  <c r="AU46" i="13"/>
  <c r="BN19" i="13"/>
  <c r="AU39" i="13"/>
  <c r="BH18" i="13" l="1"/>
  <c r="BE18" i="13"/>
  <c r="BE17" i="13"/>
  <c r="BH17" i="13"/>
  <c r="BE19" i="13"/>
  <c r="BH19" i="13"/>
  <c r="BH16" i="13"/>
  <c r="BE16" i="13"/>
  <c r="BE13" i="13"/>
  <c r="BH13" i="13"/>
  <c r="BE15" i="13"/>
  <c r="BH15" i="13"/>
  <c r="BA14" i="13"/>
  <c r="BH28" i="13"/>
  <c r="BE28" i="13"/>
  <c r="BE27" i="13"/>
  <c r="BH27" i="13"/>
  <c r="BE30" i="13"/>
  <c r="BH30" i="13"/>
  <c r="BE29" i="13"/>
  <c r="BH29" i="13"/>
  <c r="BE31" i="13"/>
  <c r="BH31" i="13"/>
  <c r="BH32" i="13"/>
  <c r="BE32" i="13"/>
  <c r="BH26" i="13"/>
  <c r="BE26" i="13"/>
  <c r="BH41" i="13"/>
  <c r="BE41" i="13"/>
  <c r="AZ40" i="13"/>
  <c r="AZ39" i="13"/>
  <c r="BH38" i="13"/>
  <c r="BE38" i="13"/>
  <c r="BA37" i="13"/>
  <c r="BW39" i="13"/>
  <c r="BY40" i="13"/>
  <c r="BQ16" i="13"/>
  <c r="BX40" i="13"/>
  <c r="BW40" i="13"/>
  <c r="BQ17" i="13"/>
  <c r="BT28" i="13"/>
  <c r="BT27" i="13"/>
  <c r="BM40" i="13"/>
  <c r="BQ30" i="13"/>
  <c r="BQ27" i="13"/>
  <c r="BZ40" i="13"/>
  <c r="BQ15" i="13"/>
  <c r="BQ29" i="13"/>
  <c r="BT26" i="13"/>
  <c r="BQ38" i="13"/>
  <c r="BZ39" i="13"/>
  <c r="BT17" i="13"/>
  <c r="BQ28" i="13"/>
  <c r="BQ26" i="13"/>
  <c r="BN37" i="13"/>
  <c r="BY39" i="13"/>
  <c r="BT41" i="13"/>
  <c r="BX39" i="13"/>
  <c r="BT18" i="13"/>
  <c r="BT15" i="13"/>
  <c r="BQ31" i="13"/>
  <c r="BQ32" i="13"/>
  <c r="BM39" i="13"/>
  <c r="BT38" i="13"/>
  <c r="BT13" i="13"/>
  <c r="BT16" i="13"/>
  <c r="BV40" i="13"/>
  <c r="BQ13" i="13"/>
  <c r="BT19" i="13"/>
  <c r="BT31" i="13"/>
  <c r="BN14" i="13"/>
  <c r="BQ41" i="13"/>
  <c r="BV39" i="13"/>
  <c r="BQ18" i="13"/>
  <c r="BQ19" i="13"/>
  <c r="BT29" i="13"/>
  <c r="BT30" i="13"/>
  <c r="BT32" i="13"/>
  <c r="BI16" i="13" l="1"/>
  <c r="BH14" i="13"/>
  <c r="BE14" i="13"/>
  <c r="BF19" i="13"/>
  <c r="BI19" i="13"/>
  <c r="BI15" i="13"/>
  <c r="BI17" i="13"/>
  <c r="BF15" i="13"/>
  <c r="BF17" i="13"/>
  <c r="BF16" i="13"/>
  <c r="BI13" i="13"/>
  <c r="BF18" i="13"/>
  <c r="BF13" i="13"/>
  <c r="BI18" i="13"/>
  <c r="BF27" i="13"/>
  <c r="BI29" i="13"/>
  <c r="BF28" i="13"/>
  <c r="BF29" i="13"/>
  <c r="BI30" i="13"/>
  <c r="BF30" i="13"/>
  <c r="BF32" i="13"/>
  <c r="BI27" i="13"/>
  <c r="BI32" i="13"/>
  <c r="BI31" i="13"/>
  <c r="BF31" i="13"/>
  <c r="BI28" i="13"/>
  <c r="BF26" i="13"/>
  <c r="BI26" i="13"/>
  <c r="BF41" i="13"/>
  <c r="BI41" i="13"/>
  <c r="BI38" i="13"/>
  <c r="BA39" i="13"/>
  <c r="BE37" i="13"/>
  <c r="BH37" i="13"/>
  <c r="BF38" i="13"/>
  <c r="BA40" i="13"/>
  <c r="AS46" i="13"/>
  <c r="AY46" i="13" s="1"/>
  <c r="AS21" i="13"/>
  <c r="AY21" i="13" s="1"/>
  <c r="AS22" i="13"/>
  <c r="AY22" i="13" s="1"/>
  <c r="AS23" i="13"/>
  <c r="AY23" i="13" s="1"/>
  <c r="AS24" i="13"/>
  <c r="AY24" i="13" s="1"/>
  <c r="AS34" i="13"/>
  <c r="AY34" i="13" s="1"/>
  <c r="AS35" i="13"/>
  <c r="AY35" i="13" s="1"/>
  <c r="BT14" i="13"/>
  <c r="BU17" i="13"/>
  <c r="BU26" i="13"/>
  <c r="BU41" i="13"/>
  <c r="AW24" i="13"/>
  <c r="AW21" i="13"/>
  <c r="AX46" i="13"/>
  <c r="BK35" i="13"/>
  <c r="AT22" i="13"/>
  <c r="BR27" i="13"/>
  <c r="BU29" i="13"/>
  <c r="BU38" i="13"/>
  <c r="AW22" i="13"/>
  <c r="AX21" i="13"/>
  <c r="BQ14" i="13"/>
  <c r="AX35" i="13"/>
  <c r="BU13" i="13"/>
  <c r="BU30" i="13"/>
  <c r="BU27" i="13"/>
  <c r="BN39" i="13"/>
  <c r="AW46" i="13"/>
  <c r="AX34" i="13"/>
  <c r="AR23" i="13"/>
  <c r="AW34" i="13"/>
  <c r="BK23" i="13"/>
  <c r="BL46" i="13"/>
  <c r="BK46" i="13"/>
  <c r="BR32" i="13"/>
  <c r="AT21" i="13"/>
  <c r="AT46" i="13"/>
  <c r="BU16" i="13"/>
  <c r="BR13" i="13"/>
  <c r="BU32" i="13"/>
  <c r="BR26" i="13"/>
  <c r="BQ37" i="13"/>
  <c r="AW35" i="13"/>
  <c r="AR24" i="13"/>
  <c r="AR21" i="13"/>
  <c r="BK34" i="13"/>
  <c r="AR22" i="13"/>
  <c r="AR35" i="13"/>
  <c r="BK24" i="13"/>
  <c r="BR41" i="13"/>
  <c r="AT34" i="13"/>
  <c r="BR17" i="13"/>
  <c r="BU15" i="13"/>
  <c r="BR30" i="13"/>
  <c r="BU28" i="13"/>
  <c r="BT37" i="13"/>
  <c r="BK21" i="13"/>
  <c r="AX23" i="13"/>
  <c r="BR16" i="13"/>
  <c r="BR19" i="13"/>
  <c r="BR31" i="13"/>
  <c r="BR28" i="13"/>
  <c r="BR38" i="13"/>
  <c r="AW23" i="13"/>
  <c r="BU18" i="13"/>
  <c r="BR18" i="13"/>
  <c r="BU31" i="13"/>
  <c r="BR29" i="13"/>
  <c r="BN40" i="13"/>
  <c r="AR34" i="13"/>
  <c r="AX24" i="13"/>
  <c r="AT23" i="13"/>
  <c r="AR46" i="13"/>
  <c r="BR15" i="13"/>
  <c r="AT35" i="13"/>
  <c r="AT24" i="13"/>
  <c r="BU19" i="13"/>
  <c r="AX22" i="13"/>
  <c r="BF14" i="13" l="1"/>
  <c r="BI14" i="13"/>
  <c r="BH40" i="13"/>
  <c r="BE40" i="13"/>
  <c r="BI37" i="13"/>
  <c r="BF37" i="13"/>
  <c r="BE39" i="13"/>
  <c r="BH39" i="13"/>
  <c r="BG34" i="13"/>
  <c r="BD34" i="13"/>
  <c r="BG35" i="13"/>
  <c r="BD35" i="13"/>
  <c r="BG24" i="13"/>
  <c r="BD24" i="13"/>
  <c r="BG23" i="13"/>
  <c r="BD23" i="13"/>
  <c r="BG22" i="13"/>
  <c r="BD22" i="13"/>
  <c r="BG21" i="13"/>
  <c r="BD21" i="13"/>
  <c r="BG46" i="13"/>
  <c r="BD46" i="13"/>
  <c r="AZ35" i="13"/>
  <c r="BA35" i="13" s="1"/>
  <c r="AZ22" i="13"/>
  <c r="BA22" i="13" s="1"/>
  <c r="AZ24" i="13"/>
  <c r="BA24" i="13" s="1"/>
  <c r="AZ23" i="13"/>
  <c r="BA23" i="13" s="1"/>
  <c r="AZ34" i="13"/>
  <c r="BA34" i="13" s="1"/>
  <c r="AZ46" i="13"/>
  <c r="BA46" i="13" s="1"/>
  <c r="AZ21" i="13"/>
  <c r="BA21" i="13" s="1"/>
  <c r="BU14" i="13"/>
  <c r="BL22" i="13"/>
  <c r="BP24" i="13"/>
  <c r="BS21" i="13"/>
  <c r="BX21" i="13"/>
  <c r="BY21" i="13"/>
  <c r="BZ22" i="13"/>
  <c r="BM34" i="13"/>
  <c r="BY24" i="13"/>
  <c r="BN22" i="13"/>
  <c r="BL23" i="13"/>
  <c r="BY23" i="13"/>
  <c r="BW24" i="13"/>
  <c r="BN35" i="13"/>
  <c r="BJ34" i="13"/>
  <c r="BR14" i="13"/>
  <c r="BN21" i="13"/>
  <c r="BT40" i="13"/>
  <c r="BP46" i="13"/>
  <c r="BS24" i="13"/>
  <c r="BV24" i="13"/>
  <c r="BN46" i="13"/>
  <c r="BP21" i="13"/>
  <c r="BQ40" i="13"/>
  <c r="BP22" i="13"/>
  <c r="BP34" i="13"/>
  <c r="BJ46" i="13"/>
  <c r="BJ35" i="13"/>
  <c r="BV21" i="13"/>
  <c r="BZ23" i="13"/>
  <c r="BJ21" i="13"/>
  <c r="BZ46" i="13"/>
  <c r="BM46" i="13"/>
  <c r="BS35" i="13"/>
  <c r="BY34" i="13"/>
  <c r="BN34" i="13"/>
  <c r="BV34" i="13"/>
  <c r="BW46" i="13"/>
  <c r="BZ35" i="13"/>
  <c r="BU37" i="13"/>
  <c r="BS23" i="13"/>
  <c r="BL34" i="13"/>
  <c r="BJ24" i="13"/>
  <c r="BJ23" i="13"/>
  <c r="BM21" i="13"/>
  <c r="BX22" i="13"/>
  <c r="BV46" i="13"/>
  <c r="BZ21" i="13"/>
  <c r="BX46" i="13"/>
  <c r="BL35" i="13"/>
  <c r="BW35" i="13"/>
  <c r="BN24" i="13"/>
  <c r="BX23" i="13"/>
  <c r="BV22" i="13"/>
  <c r="BL21" i="13"/>
  <c r="BW22" i="13"/>
  <c r="BY46" i="13"/>
  <c r="BR37" i="13"/>
  <c r="BK22" i="13"/>
  <c r="BQ39" i="13"/>
  <c r="BP35" i="13"/>
  <c r="BS22" i="13"/>
  <c r="BN23" i="13"/>
  <c r="BY22" i="13"/>
  <c r="BP23" i="13"/>
  <c r="BW21" i="13"/>
  <c r="BX35" i="13"/>
  <c r="BM23" i="13"/>
  <c r="BM22" i="13"/>
  <c r="BM24" i="13"/>
  <c r="BZ34" i="13"/>
  <c r="BY35" i="13"/>
  <c r="BX24" i="13"/>
  <c r="BW34" i="13"/>
  <c r="BV23" i="13"/>
  <c r="BX34" i="13"/>
  <c r="BL24" i="13"/>
  <c r="BT39" i="13"/>
  <c r="BS46" i="13"/>
  <c r="BW23" i="13"/>
  <c r="BJ22" i="13"/>
  <c r="BZ24" i="13"/>
  <c r="BI39" i="13" l="1"/>
  <c r="BF39" i="13"/>
  <c r="BF40" i="13"/>
  <c r="BI40" i="13"/>
  <c r="BH35" i="13"/>
  <c r="BE35" i="13"/>
  <c r="BH34" i="13"/>
  <c r="BE34" i="13"/>
  <c r="BE23" i="13"/>
  <c r="BH23" i="13"/>
  <c r="BH24" i="13"/>
  <c r="BE24" i="13"/>
  <c r="BE22" i="13"/>
  <c r="BH22" i="13"/>
  <c r="BE21" i="13"/>
  <c r="BH21" i="13"/>
  <c r="BE46" i="13"/>
  <c r="BH46" i="13"/>
  <c r="BU40" i="13"/>
  <c r="BT21" i="13"/>
  <c r="BQ35" i="13"/>
  <c r="BQ46" i="13"/>
  <c r="BT35" i="13"/>
  <c r="BT34" i="13"/>
  <c r="BT22" i="13"/>
  <c r="BM35" i="13"/>
  <c r="BQ22" i="13"/>
  <c r="BU39" i="13"/>
  <c r="BQ21" i="13"/>
  <c r="BS34" i="13"/>
  <c r="BT24" i="13"/>
  <c r="BT23" i="13"/>
  <c r="BQ34" i="13"/>
  <c r="BR40" i="13"/>
  <c r="BV35" i="13"/>
  <c r="BQ23" i="13"/>
  <c r="BR39" i="13"/>
  <c r="BQ24" i="13"/>
  <c r="BT46" i="13"/>
  <c r="BF23" i="13" l="1"/>
  <c r="BF34" i="13"/>
  <c r="BI34" i="13"/>
  <c r="BF24" i="13"/>
  <c r="BI24" i="13"/>
  <c r="BF35" i="13"/>
  <c r="BI35" i="13"/>
  <c r="BI23" i="13"/>
  <c r="BF21" i="13"/>
  <c r="BI21" i="13"/>
  <c r="BI46" i="13"/>
  <c r="BI22" i="13"/>
  <c r="BF46" i="13"/>
  <c r="BF22" i="13"/>
  <c r="BU35" i="13"/>
  <c r="BU34" i="13"/>
  <c r="BU21" i="13"/>
  <c r="BU22" i="13"/>
  <c r="BR34" i="13"/>
  <c r="BU24" i="13"/>
  <c r="BR22" i="13"/>
  <c r="BR21" i="13"/>
  <c r="BR23" i="13"/>
  <c r="BR24" i="13"/>
  <c r="BU23" i="13"/>
  <c r="BU46" i="13"/>
  <c r="BR35" i="13"/>
  <c r="BR46" i="13"/>
</calcChain>
</file>

<file path=xl/sharedStrings.xml><?xml version="1.0" encoding="utf-8"?>
<sst xmlns="http://schemas.openxmlformats.org/spreadsheetml/2006/main" count="984" uniqueCount="157">
  <si>
    <t>Hours</t>
  </si>
  <si>
    <t>Expiry</t>
  </si>
  <si>
    <t>Strike</t>
  </si>
  <si>
    <t>Active</t>
  </si>
  <si>
    <t>Volat</t>
  </si>
  <si>
    <t>Theta</t>
  </si>
  <si>
    <t>Rho</t>
  </si>
  <si>
    <t>Expired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</si>
  <si>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</si>
  <si>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</si>
  <si>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</si>
  <si>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</si>
  <si>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</si>
  <si>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</si>
  <si>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</si>
  <si>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</si>
  <si>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</si>
  <si>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Prod</t>
  </si>
  <si>
    <t>delta</t>
  </si>
  <si>
    <t>Gamma</t>
  </si>
  <si>
    <t>Vega</t>
  </si>
  <si>
    <t>GrossValue</t>
  </si>
  <si>
    <t>MtmValue</t>
  </si>
  <si>
    <t>Trade_PL</t>
  </si>
  <si>
    <t>Real_PL</t>
  </si>
  <si>
    <t>Unreal_PL</t>
  </si>
  <si>
    <t>Net_PL</t>
  </si>
  <si>
    <t>CFstoDate</t>
  </si>
  <si>
    <t>FwdCFs</t>
  </si>
  <si>
    <t>NetCfs</t>
  </si>
  <si>
    <t>PriceCalc</t>
  </si>
  <si>
    <t>PutCall</t>
  </si>
  <si>
    <t>CalcDelta</t>
  </si>
  <si>
    <t>CalcGamma</t>
  </si>
  <si>
    <t>CalcVega</t>
  </si>
  <si>
    <t>CalcTheta</t>
  </si>
  <si>
    <t>CalcRho</t>
  </si>
  <si>
    <t>CalcBookValue</t>
  </si>
  <si>
    <t>CalcGrossValue</t>
  </si>
  <si>
    <t>CalcMtM</t>
  </si>
  <si>
    <t>Calc TradePL</t>
  </si>
  <si>
    <t>CalcRealizedPL</t>
  </si>
  <si>
    <t>CalcUnrealizedPL</t>
  </si>
  <si>
    <t>CalcNetPL</t>
  </si>
  <si>
    <t>CalcCFToDate</t>
  </si>
  <si>
    <t>CalcFwdCF</t>
  </si>
  <si>
    <t>CalcNetCF</t>
  </si>
  <si>
    <t>ErrorBookValue</t>
  </si>
  <si>
    <t>ErrorGrossValue</t>
  </si>
  <si>
    <t>ErrorMtM</t>
  </si>
  <si>
    <t>ErrorRealizedPL</t>
  </si>
  <si>
    <t>ErrorUnrealizedPL</t>
  </si>
  <si>
    <t>ErrorNetPL</t>
  </si>
  <si>
    <t>ErrorCFToDate</t>
  </si>
  <si>
    <t>ErrorFwdCF</t>
  </si>
  <si>
    <t>ErrorNetCF</t>
  </si>
  <si>
    <t>ErrorBookPrice</t>
  </si>
  <si>
    <t>ErrorTradePL</t>
  </si>
  <si>
    <t>ErrorGamma1</t>
  </si>
  <si>
    <t>ErrorRho</t>
  </si>
  <si>
    <t>ErrorTheta</t>
  </si>
  <si>
    <t>Query</t>
  </si>
  <si>
    <t>Elviz other input</t>
  </si>
  <si>
    <t>Effective Rd</t>
  </si>
  <si>
    <t>Calculated</t>
  </si>
  <si>
    <t>Errors</t>
  </si>
  <si>
    <t>Elviz output</t>
  </si>
  <si>
    <t>PriceError</t>
  </si>
  <si>
    <t>FX</t>
  </si>
  <si>
    <t>Total Q</t>
  </si>
  <si>
    <t>Scaling</t>
  </si>
  <si>
    <t>OrgBookPrice</t>
  </si>
  <si>
    <t>ErrorDelta</t>
  </si>
  <si>
    <t>ErrorVega</t>
  </si>
  <si>
    <t>CalcBookPrice</t>
  </si>
  <si>
    <t>NordPool System Price</t>
  </si>
  <si>
    <t xml:space="preserve">   DECLARE @workspace varchar(255)
   DECLARE @reportDate Date
   set @workspace='el-asian-eur-posmon-eur-mtm'
   set @reportDate='2011-11-01'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</si>
  <si>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FloatingPrice</t>
  </si>
  <si>
    <t>T1</t>
  </si>
  <si>
    <t>T2</t>
  </si>
  <si>
    <t>TT</t>
  </si>
  <si>
    <t>Factor</t>
  </si>
  <si>
    <t>AdjStrike</t>
  </si>
  <si>
    <t>ASIC/Q YR-11 30.00 - Peak</t>
  </si>
  <si>
    <t>ExpiryRate</t>
  </si>
  <si>
    <t>UnderlyingPrice</t>
  </si>
  <si>
    <t>Split1</t>
  </si>
  <si>
    <t>Split2</t>
  </si>
  <si>
    <t>Split3</t>
  </si>
  <si>
    <t>Split4</t>
  </si>
  <si>
    <t>Row Labels</t>
  </si>
  <si>
    <t>(blank)</t>
  </si>
  <si>
    <t>Grand Total</t>
  </si>
  <si>
    <t>Sum of Bkvalue</t>
  </si>
  <si>
    <t>CalcSettlement</t>
  </si>
  <si>
    <t>ASIC/Q YR-11 30.00 - Base</t>
  </si>
  <si>
    <t>ASIC/D W47-11 30.00 - Peak</t>
  </si>
  <si>
    <t>Split5</t>
  </si>
  <si>
    <t>ASIC/D W47-11 30.00 - Base</t>
  </si>
  <si>
    <t>Split6</t>
  </si>
  <si>
    <t>Split7</t>
  </si>
  <si>
    <t>ASIC/Q 01-Jan-12 - 30-Jun-12 30.00 - Base</t>
  </si>
  <si>
    <t>Ext id</t>
  </si>
  <si>
    <t>Special-Cases-AsianDandQ-EUR-0006</t>
  </si>
  <si>
    <t>Special-Cases-AsianDandQ-EUR-0002</t>
  </si>
  <si>
    <t>Special-Cases-AsianDandQ-EUR-0005</t>
  </si>
  <si>
    <t>Special-Cases-AsianDandQ-EUR-0001</t>
  </si>
  <si>
    <t>Special-Cases-AsianDandQ-EUR-0003</t>
  </si>
  <si>
    <t>Special-Cases-AsianDandQ-EUR-0004</t>
  </si>
  <si>
    <t>Delta</t>
  </si>
  <si>
    <t>QTY (MW)</t>
  </si>
  <si>
    <t>Delta MWh</t>
  </si>
  <si>
    <t>Delta MW</t>
  </si>
  <si>
    <t>Gamma MWh</t>
  </si>
  <si>
    <t>Gamma MW</t>
  </si>
  <si>
    <t>Theta EUR/day</t>
  </si>
  <si>
    <t>Vega EUR/Vol%</t>
  </si>
  <si>
    <t>Unrealized hours</t>
  </si>
  <si>
    <t>Total hours</t>
  </si>
  <si>
    <t>Total volume (MWh)</t>
  </si>
  <si>
    <t>Unrealized volume (MWh)</t>
  </si>
  <si>
    <t>hours in Q4 11</t>
  </si>
  <si>
    <t>hours in Q1 12</t>
  </si>
  <si>
    <t>hours in Q2 12</t>
  </si>
  <si>
    <t>Month</t>
  </si>
  <si>
    <t xml:space="preserve">Hours </t>
  </si>
  <si>
    <t>total hours</t>
  </si>
  <si>
    <t>unr. hours</t>
  </si>
  <si>
    <t>Unr. hours</t>
  </si>
  <si>
    <t>Base exposure</t>
  </si>
  <si>
    <t>Peak exposure</t>
  </si>
  <si>
    <t>Offpeak exposure</t>
  </si>
  <si>
    <t>Peak hours</t>
  </si>
  <si>
    <t>Offpeak hours</t>
  </si>
  <si>
    <t>Base</t>
  </si>
  <si>
    <t>Peak</t>
  </si>
  <si>
    <t>Offpeak</t>
  </si>
  <si>
    <t>Peak volume</t>
  </si>
  <si>
    <t>Offpeak volume</t>
  </si>
  <si>
    <t>Delta-Gamma Abs</t>
  </si>
  <si>
    <t>Delta-Gamma Rel</t>
  </si>
  <si>
    <t>Vega rel</t>
  </si>
  <si>
    <t>Vega abs</t>
  </si>
  <si>
    <t>Theta abs</t>
  </si>
  <si>
    <t>Theta rel</t>
  </si>
  <si>
    <t>Rho abs</t>
  </si>
  <si>
    <t>Rho rel</t>
  </si>
  <si>
    <t>Tau</t>
  </si>
  <si>
    <t>adj.delta</t>
  </si>
  <si>
    <t>unr.hours</t>
  </si>
  <si>
    <t>real.hours</t>
  </si>
  <si>
    <t>unr. Cf</t>
  </si>
  <si>
    <t>unr.Q</t>
  </si>
  <si>
    <t>underl.-strike</t>
  </si>
  <si>
    <t>CF</t>
  </si>
  <si>
    <t>EURNOK</t>
  </si>
  <si>
    <t>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</si>
</sst>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64" formatCode="_-* #,##0.00_-;\-* #,##0.00_-;_-* &quot;-&quot;??_-;_-@_-"/>
    <numFmt numFmtId="165" formatCode="dd\.mm\.yyyy"/>
    <numFmt numFmtId="166" formatCode="0.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6" borderId="0" applyNumberFormat="0" applyBorder="0" applyAlignment="0" applyProtection="0"/>
    <xf numFmtId="0" fontId="5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102">
    <xf numFmtId="0" fontId="0" fillId="0" borderId="0" xfId="0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14" fontId="0" fillId="0" borderId="0" xfId="0" applyNumberFormat="1"/>
    <xf numFmtId="0" fontId="0" fillId="2" borderId="0" xfId="0" applyFill="1"/>
    <xf numFmtId="0" fontId="0" fillId="0" borderId="0" xfId="0"/>
    <xf numFmtId="49" fontId="1" fillId="5" borderId="0" xfId="0" applyNumberFormat="1" applyFont="1" applyFill="1"/>
    <xf numFmtId="0" fontId="0" fillId="5" borderId="0" xfId="0" applyFill="1"/>
    <xf numFmtId="0" fontId="0" fillId="5" borderId="0" xfId="0" applyNumberForma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wrapText="1"/>
    </xf>
    <xf numFmtId="17" fontId="0" fillId="0" borderId="0" xfId="0" applyNumberFormat="1"/>
    <xf numFmtId="0" fontId="4" fillId="2" borderId="0" xfId="3" applyNumberFormat="1" applyFont="1" applyFill="1"/>
    <xf numFmtId="11" fontId="4" fillId="2" borderId="0" xfId="3" applyNumberFormat="1" applyFont="1" applyFill="1"/>
    <xf numFmtId="0" fontId="4" fillId="2" borderId="0" xfId="3" applyFont="1" applyFill="1"/>
    <xf numFmtId="0" fontId="4" fillId="2" borderId="0" xfId="0" applyFont="1" applyFill="1"/>
    <xf numFmtId="0" fontId="0" fillId="0" borderId="0" xfId="0" applyFill="1"/>
    <xf numFmtId="2" fontId="0" fillId="3" borderId="0" xfId="0" applyNumberFormat="1" applyFill="1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5" borderId="0" xfId="0" applyNumberFormat="1" applyFont="1" applyFill="1"/>
    <xf numFmtId="165" fontId="4" fillId="2" borderId="0" xfId="3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/>
    <xf numFmtId="165" fontId="0" fillId="2" borderId="0" xfId="0" applyNumberFormat="1" applyFill="1"/>
    <xf numFmtId="165" fontId="0" fillId="0" borderId="0" xfId="0" applyNumberFormat="1" applyFill="1"/>
    <xf numFmtId="0" fontId="0" fillId="0" borderId="0" xfId="0"/>
    <xf numFmtId="0" fontId="0" fillId="0" borderId="0" xfId="0"/>
    <xf numFmtId="0" fontId="0" fillId="0" borderId="0" xfId="0"/>
    <xf numFmtId="0" fontId="4" fillId="5" borderId="0" xfId="0" applyFont="1" applyFill="1"/>
    <xf numFmtId="0" fontId="0" fillId="0" borderId="0" xfId="0"/>
    <xf numFmtId="0" fontId="4" fillId="0" borderId="0" xfId="3" applyNumberFormat="1" applyFont="1" applyFill="1"/>
    <xf numFmtId="0" fontId="4" fillId="0" borderId="0" xfId="0" applyFont="1" applyFill="1"/>
    <xf numFmtId="165" fontId="4" fillId="0" borderId="0" xfId="3" applyNumberFormat="1" applyFont="1" applyFill="1"/>
    <xf numFmtId="11" fontId="4" fillId="0" borderId="0" xfId="3" applyNumberFormat="1" applyFont="1" applyFill="1"/>
    <xf numFmtId="0" fontId="0" fillId="0" borderId="0" xfId="0" applyNumberFormat="1" applyFill="1"/>
    <xf numFmtId="2" fontId="0" fillId="0" borderId="0" xfId="0" applyNumberFormat="1" applyFill="1"/>
    <xf numFmtId="0" fontId="1" fillId="0" borderId="0" xfId="0" applyFont="1" applyFill="1"/>
    <xf numFmtId="47" fontId="4" fillId="0" borderId="0" xfId="0" applyNumberFormat="1" applyFont="1" applyFill="1"/>
    <xf numFmtId="0" fontId="0" fillId="0" borderId="0" xfId="0"/>
    <xf numFmtId="0" fontId="1" fillId="0" borderId="0" xfId="0" applyFont="1"/>
    <xf numFmtId="0" fontId="6" fillId="2" borderId="0" xfId="3" applyNumberFormat="1" applyFont="1" applyFill="1"/>
    <xf numFmtId="0" fontId="1" fillId="3" borderId="0" xfId="0" applyNumberFormat="1" applyFont="1" applyFill="1"/>
    <xf numFmtId="2" fontId="0" fillId="0" borderId="0" xfId="0" applyNumberFormat="1"/>
    <xf numFmtId="0" fontId="0" fillId="0" borderId="0" xfId="0"/>
    <xf numFmtId="0" fontId="2" fillId="8" borderId="0" xfId="5"/>
    <xf numFmtId="0" fontId="0" fillId="0" borderId="0" xfId="0"/>
    <xf numFmtId="0" fontId="2" fillId="9" borderId="0" xfId="6"/>
    <xf numFmtId="0" fontId="2" fillId="8" borderId="1" xfId="5" applyBorder="1"/>
    <xf numFmtId="0" fontId="0" fillId="0" borderId="1" xfId="0" applyBorder="1"/>
    <xf numFmtId="0" fontId="6" fillId="0" borderId="0" xfId="3" applyNumberFormat="1" applyFont="1" applyFill="1" applyBorder="1"/>
    <xf numFmtId="49" fontId="1" fillId="0" borderId="0" xfId="0" applyNumberFormat="1" applyFont="1" applyBorder="1"/>
    <xf numFmtId="0" fontId="0" fillId="0" borderId="0" xfId="0" applyBorder="1"/>
    <xf numFmtId="0" fontId="5" fillId="7" borderId="0" xfId="4" applyBorder="1"/>
    <xf numFmtId="0" fontId="2" fillId="8" borderId="0" xfId="5" applyBorder="1"/>
    <xf numFmtId="2" fontId="0" fillId="0" borderId="0" xfId="0" applyNumberFormat="1" applyFill="1" applyBorder="1"/>
    <xf numFmtId="0" fontId="0" fillId="0" borderId="0" xfId="0" applyFill="1" applyBorder="1"/>
    <xf numFmtId="0" fontId="4" fillId="0" borderId="0" xfId="3" applyNumberFormat="1" applyFont="1" applyFill="1" applyBorder="1"/>
    <xf numFmtId="2" fontId="0" fillId="0" borderId="0" xfId="0" applyNumberFormat="1" applyBorder="1"/>
    <xf numFmtId="17" fontId="1" fillId="0" borderId="0" xfId="0" applyNumberFormat="1" applyFont="1" applyBorder="1"/>
    <xf numFmtId="0" fontId="1" fillId="0" borderId="0" xfId="0" applyFont="1" applyFill="1" applyBorder="1"/>
    <xf numFmtId="165" fontId="0" fillId="0" borderId="0" xfId="0" applyNumberFormat="1" applyFill="1" applyBorder="1"/>
    <xf numFmtId="0" fontId="2" fillId="8" borderId="0" xfId="5" applyNumberFormat="1" applyBorder="1"/>
    <xf numFmtId="165" fontId="2" fillId="8" borderId="0" xfId="5" applyNumberFormat="1" applyBorder="1"/>
    <xf numFmtId="2" fontId="2" fillId="8" borderId="0" xfId="5" applyNumberFormat="1" applyBorder="1"/>
    <xf numFmtId="0" fontId="2" fillId="9" borderId="0" xfId="6" applyNumberFormat="1" applyBorder="1"/>
    <xf numFmtId="165" fontId="2" fillId="9" borderId="0" xfId="6" applyNumberFormat="1" applyBorder="1"/>
    <xf numFmtId="0" fontId="2" fillId="9" borderId="0" xfId="6" applyBorder="1"/>
    <xf numFmtId="2" fontId="2" fillId="9" borderId="0" xfId="6" applyNumberFormat="1" applyBorder="1"/>
    <xf numFmtId="0" fontId="2" fillId="9" borderId="1" xfId="6" applyBorder="1"/>
    <xf numFmtId="17" fontId="2" fillId="8" borderId="0" xfId="5" applyNumberFormat="1" applyBorder="1"/>
    <xf numFmtId="17" fontId="2" fillId="9" borderId="0" xfId="6" applyNumberFormat="1" applyBorder="1"/>
    <xf numFmtId="17" fontId="2" fillId="9" borderId="0" xfId="6" applyNumberFormat="1"/>
    <xf numFmtId="0" fontId="2" fillId="0" borderId="0" xfId="6" applyFill="1" applyBorder="1"/>
    <xf numFmtId="0" fontId="2" fillId="0" borderId="0" xfId="6" applyNumberFormat="1" applyFill="1" applyBorder="1"/>
    <xf numFmtId="165" fontId="2" fillId="0" borderId="0" xfId="6" applyNumberFormat="1" applyFill="1" applyBorder="1"/>
    <xf numFmtId="2" fontId="2" fillId="0" borderId="0" xfId="6" applyNumberFormat="1" applyFill="1" applyBorder="1"/>
    <xf numFmtId="0" fontId="2" fillId="0" borderId="0" xfId="6" applyFill="1"/>
    <xf numFmtId="166" fontId="2" fillId="8" borderId="0" xfId="5" applyNumberFormat="1"/>
    <xf numFmtId="166" fontId="2" fillId="9" borderId="0" xfId="6" applyNumberFormat="1"/>
    <xf numFmtId="166" fontId="5" fillId="7" borderId="0" xfId="4" applyNumberFormat="1" applyBorder="1"/>
    <xf numFmtId="166" fontId="5" fillId="7" borderId="0" xfId="4" applyNumberFormat="1"/>
    <xf numFmtId="49" fontId="1" fillId="0" borderId="0" xfId="0" applyNumberFormat="1" applyFont="1" applyFill="1" applyBorder="1"/>
    <xf numFmtId="0" fontId="1" fillId="0" borderId="0" xfId="0" applyFont="1" applyBorder="1"/>
    <xf numFmtId="0" fontId="5" fillId="7" borderId="0" xfId="4"/>
    <xf numFmtId="43" fontId="5" fillId="7" borderId="0" xfId="4" applyNumberFormat="1"/>
    <xf numFmtId="0" fontId="0" fillId="0" borderId="0" xfId="0" applyFont="1" applyFill="1"/>
    <xf numFmtId="0" fontId="5" fillId="7" borderId="0" xfId="4" applyNumberFormat="1"/>
    <xf numFmtId="0" fontId="0" fillId="0" borderId="0" xfId="0" applyNumberFormat="1" applyFont="1" applyFill="1"/>
    <xf numFmtId="0" fontId="0" fillId="0" borderId="0" xfId="0"/>
    <xf numFmtId="0" fontId="3" fillId="6" borderId="0" xfId="3" applyNumberFormat="1"/>
    <xf numFmtId="0" fontId="1" fillId="0" borderId="0" xfId="0" applyNumberFormat="1" applyFont="1" applyFill="1"/>
    <xf numFmtId="0" fontId="0" fillId="0" borderId="0" xfId="0"/>
    <xf numFmtId="49" fontId="0" fillId="0" borderId="0" xfId="0" applyNumberFormat="1"/>
    <xf numFmtId="165" fontId="0" fillId="0" borderId="0" xfId="0" applyNumberFormat="1"/>
  </cellXfs>
  <cellStyles count="7">
    <cellStyle name="20% - Accent1" xfId="5" builtinId="30"/>
    <cellStyle name="20% - Accent3" xfId="6" builtinId="38"/>
    <cellStyle name="Comma 2" xfId="1"/>
    <cellStyle name="Comma 3" xfId="2"/>
    <cellStyle name="Good" xfId="4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rstin Moe Smebye" refreshedDate="42320.655378240743" createdVersion="6" refreshedVersion="6" minRefreshableVersion="3" recordCount="54">
  <cacheSource type="worksheet">
    <worksheetSource ref="B12:BZ63" sheet="PosMon-EUR-MtM"/>
  </cacheSource>
  <cacheFields count="76">
    <cacheField name="PriceBasis" numFmtId="0">
      <sharedItems/>
    </cacheField>
    <cacheField name="Prod" numFmtId="0">
      <sharedItems containsBlank="1" count="2">
        <s v="ASIC/Q YR-11 30.00 - Peak"/>
        <m/>
      </sharedItems>
    </cacheField>
    <cacheField name="Instrument" numFmtId="0">
      <sharedItems/>
    </cacheField>
    <cacheField name="FromDate" numFmtId="0">
      <sharedItems containsSemiMixedTypes="0" containsNonDate="0" containsDate="1" containsString="0" minDate="2010-01-01T00:00:00" maxDate="2012-06-02T00:00:00"/>
    </cacheField>
    <cacheField name="ToDate" numFmtId="0">
      <sharedItems containsSemiMixedTypes="0" containsNonDate="0" containsDate="1" containsString="0" minDate="2010-01-31T00:00:00" maxDate="2013-01-01T00:00:00"/>
    </cacheField>
    <cacheField name="Expiry" numFmtId="165">
      <sharedItems containsSemiMixedTypes="0" containsNonDate="0" containsDate="1" containsString="0" minDate="2010-01-31T00:00:00" maxDate="2013-01-01T00:00:00"/>
    </cacheField>
    <cacheField name="Strike" numFmtId="0">
      <sharedItems containsSemiMixedTypes="0" containsString="0" containsNumber="1" containsInteger="1" minValue="45" maxValue="45"/>
    </cacheField>
    <cacheField name="PosStatus" numFmtId="0">
      <sharedItems/>
    </cacheField>
    <cacheField name="QTY" numFmtId="0">
      <sharedItems containsSemiMixedTypes="0" containsString="0" containsNumber="1" containsInteger="1" minValue="10" maxValue="10"/>
    </cacheField>
    <cacheField name="Hours" numFmtId="0">
      <sharedItems containsSemiMixedTypes="0" containsString="0" containsNumber="1" containsInteger="1" minValue="252" maxValue="8784"/>
    </cacheField>
    <cacheField name="Bkprice" numFmtId="0">
      <sharedItems containsSemiMixedTypes="0" containsString="0" containsNumber="1" minValue="4.21" maxValue="15"/>
    </cacheField>
    <cacheField name="Bkvalue" numFmtId="0">
      <sharedItems containsSemiMixedTypes="0" containsString="0" containsNumber="1" minValue="-369806.4" maxValue="331350"/>
    </cacheField>
    <cacheField name="Mktprice" numFmtId="0">
      <sharedItems containsSemiMixedTypes="0" containsString="0" containsNumber="1" minValue="0" maxValue="15.440862134253701"/>
    </cacheField>
    <cacheField name="delta" numFmtId="0">
      <sharedItems containsSemiMixedTypes="0" containsString="0" containsNumber="1" minValue="-0.70019092715070896" maxValue="0.70634977847316804"/>
    </cacheField>
    <cacheField name="Gamma" numFmtId="0">
      <sharedItems containsSemiMixedTypes="0" containsString="0" containsNumber="1" minValue="0" maxValue="7.3065383284761101E-2"/>
    </cacheField>
    <cacheField name="Vega" numFmtId="0">
      <sharedItems containsSemiMixedTypes="0" containsString="0" containsNumber="1" minValue="0" maxValue="18.791671563545201"/>
    </cacheField>
    <cacheField name="Theta" numFmtId="0">
      <sharedItems containsSemiMixedTypes="0" containsString="0" containsNumber="1" minValue="-5.4390037247626102E-2" maxValue="9.6674123218815498E-5"/>
    </cacheField>
    <cacheField name="Rho" numFmtId="0">
      <sharedItems containsSemiMixedTypes="0" containsString="0" containsNumber="1" minValue="-12.357655358833201" maxValue="0"/>
    </cacheField>
    <cacheField name="Volat" numFmtId="0">
      <sharedItems containsSemiMixedTypes="0" containsString="0" containsNumber="1" minValue="0" maxValue="0.77364060798591505"/>
    </cacheField>
    <cacheField name="GrossValue" numFmtId="0">
      <sharedItems containsString="0" containsBlank="1" containsNumber="1" minValue="0" maxValue="491862.17947265902"/>
    </cacheField>
    <cacheField name="MtmValue" numFmtId="0">
      <sharedItems containsSemiMixedTypes="0" containsString="0" containsNumber="1" minValue="0" maxValue="491862.17947265902"/>
    </cacheField>
    <cacheField name="Trade_PL" numFmtId="0">
      <sharedItems containsSemiMixedTypes="0" containsString="0" containsNumber="1" minValue="0" maxValue="39528"/>
    </cacheField>
    <cacheField name="Real_PL" numFmtId="0">
      <sharedItems containsSemiMixedTypes="0" containsString="0" containsNumber="1" minValue="-330278.40000000002" maxValue="480964.30000001303"/>
    </cacheField>
    <cacheField name="Unreal_PL" numFmtId="0">
      <sharedItems containsSemiMixedTypes="0" containsString="0" containsNumber="1" minValue="0" maxValue="491862.17947265902"/>
    </cacheField>
    <cacheField name="Net_PL" numFmtId="0">
      <sharedItems containsSemiMixedTypes="0" containsString="0" containsNumber="1" minValue="-329376" maxValue="480964.30000001303"/>
    </cacheField>
    <cacheField name="CFstoDate" numFmtId="0">
      <sharedItems containsSemiMixedTypes="0" containsString="0" containsNumber="1" minValue="-330278.40000000002" maxValue="480964.30000001303"/>
    </cacheField>
    <cacheField name="FwdCFs" numFmtId="0">
      <sharedItems containsSemiMixedTypes="0" containsString="0" containsNumber="1" minValue="0" maxValue="491862.17947265902"/>
    </cacheField>
    <cacheField name="NetCfs" numFmtId="0">
      <sharedItems containsSemiMixedTypes="0" containsString="0" containsNumber="1" minValue="-329376" maxValue="480964.30000001303"/>
    </cacheField>
    <cacheField name="ExpiryRate" numFmtId="0">
      <sharedItems containsString="0" containsBlank="1" containsNumber="1" minValue="0" maxValue="2.0398514407724302E-2"/>
    </cacheField>
    <cacheField name="UnderlyingPrice" numFmtId="0">
      <sharedItems containsSemiMixedTypes="0" containsString="0" containsNumber="1" minValue="0" maxValue="51.9794589528789"/>
    </cacheField>
    <cacheField name="FX" numFmtId="0">
      <sharedItems containsString="0" containsBlank="1" containsNumber="1" containsInteger="1" minValue="1" maxValue="1"/>
    </cacheField>
    <cacheField name="Total Q" numFmtId="0">
      <sharedItems containsString="0" containsBlank="1" containsNumber="1" containsInteger="1" minValue="7800" maxValue="87600"/>
    </cacheField>
    <cacheField name="Scaling" numFmtId="0">
      <sharedItems containsString="0" containsBlank="1" containsNumber="1" containsInteger="1" minValue="1" maxValue="1"/>
    </cacheField>
    <cacheField name="OrgBookPrice" numFmtId="0">
      <sharedItems containsString="0" containsBlank="1" containsNumber="1" minValue="4.21" maxValue="15"/>
    </cacheField>
    <cacheField name="Instrument2" numFmtId="0">
      <sharedItems containsBlank="1"/>
    </cacheField>
    <cacheField name="FloatingPrice" numFmtId="0">
      <sharedItems containsString="0" containsBlank="1" containsNumber="1" minValue="0" maxValue="48.212135245901599"/>
    </cacheField>
    <cacheField name="T1" numFmtId="0">
      <sharedItems containsString="0" containsBlank="1" containsNumber="1" containsInteger="1" minValue="0" maxValue="7320"/>
    </cacheField>
    <cacheField name="T2" numFmtId="0">
      <sharedItems containsString="0" containsBlank="1" containsNumber="1" containsInteger="1" minValue="252" maxValue="8784"/>
    </cacheField>
    <cacheField name="TT" numFmtId="0">
      <sharedItems containsString="0" containsBlank="1" containsNumber="1" containsInteger="1" minValue="252" maxValue="8784"/>
    </cacheField>
    <cacheField name="Factor" numFmtId="0">
      <sharedItems containsMixedTypes="1" containsNumber="1" minValue="0" maxValue="1"/>
    </cacheField>
    <cacheField name="AdjStrike" numFmtId="0">
      <sharedItems containsMixedTypes="1" containsNumber="1" minValue="28.671645833333542" maxValue="54.925319444444483"/>
    </cacheField>
    <cacheField name="PutCall" numFmtId="0">
      <sharedItems containsBlank="1"/>
    </cacheField>
    <cacheField name="PriceCalc" numFmtId="0">
      <sharedItems containsString="0" containsBlank="1" containsNumber="1" minValue="0" maxValue="7.3443996171804899"/>
    </cacheField>
    <cacheField name="CalcBookPrice" numFmtId="0">
      <sharedItems containsString="0" containsBlank="1" containsNumber="1" minValue="4.21" maxValue="15"/>
    </cacheField>
    <cacheField name="CalcDelta" numFmtId="0">
      <sharedItems containsString="0" containsBlank="1" containsNumber="1" minValue="-0.62931288104305705" maxValue="0.37791097957304509"/>
    </cacheField>
    <cacheField name="CalcGamma" numFmtId="0">
      <sharedItems containsString="0" containsBlank="1" containsNumber="1" minValue="0" maxValue="2.1792441807691677E-2"/>
    </cacheField>
    <cacheField name="CalcVega" numFmtId="0">
      <sharedItems containsString="0" containsBlank="1" containsNumber="1" minValue="0" maxValue="5.4558961373208223"/>
    </cacheField>
    <cacheField name="CalcTheta" numFmtId="0">
      <sharedItems containsString="0" containsBlank="1" containsNumber="1" minValue="-3.0027086576515424E-2" maxValue="9.6674123218819984E-5"/>
    </cacheField>
    <cacheField name="CalcRho" numFmtId="0">
      <sharedItems containsString="0" containsBlank="1" containsNumber="1" minValue="-1.2072985672077516" maxValue="0"/>
    </cacheField>
    <cacheField name="CalcBookValue" numFmtId="0">
      <sharedItems containsString="0" containsBlank="1" containsNumber="1" minValue="-368796" maxValue="-32838"/>
    </cacheField>
    <cacheField name="CalcGrossValue" numFmtId="0">
      <sharedItems containsString="0" containsBlank="1" containsNumber="1" minValue="0" maxValue="215794.95632890379"/>
    </cacheField>
    <cacheField name="CalcMtM" numFmtId="0">
      <sharedItems containsString="0" containsBlank="1" containsNumber="1" minValue="0" maxValue="215794.95632890379"/>
    </cacheField>
    <cacheField name="Calc TradePL" numFmtId="0">
      <sharedItems containsString="0" containsBlank="1" containsNumber="1" minValue="3510" maxValue="39420"/>
    </cacheField>
    <cacheField name="CalcRealizedPL" numFmtId="0">
      <sharedItems containsString="0" containsBlank="1" containsNumber="1" minValue="-329376" maxValue="-29328"/>
    </cacheField>
    <cacheField name="CalcUnrealizedPL" numFmtId="0">
      <sharedItems containsString="0" containsBlank="1" containsNumber="1" minValue="0" maxValue="215794.95632890379"/>
    </cacheField>
    <cacheField name="CalcNetPL" numFmtId="0">
      <sharedItems containsString="0" containsBlank="1" containsNumber="1" minValue="-329372.65847733145" maxValue="79179.387543517019"/>
    </cacheField>
    <cacheField name="CalcCFToDate" numFmtId="0">
      <sharedItems containsString="0" containsBlank="1" containsNumber="1" minValue="-329376" maxValue="-29328"/>
    </cacheField>
    <cacheField name="CalcFwdCF" numFmtId="0">
      <sharedItems containsString="0" containsBlank="1" containsNumber="1" minValue="0" maxValue="215794.95632890379"/>
    </cacheField>
    <cacheField name="CalcNetCF" numFmtId="0">
      <sharedItems containsString="0" containsBlank="1" containsNumber="1" minValue="-329372.65847733145" maxValue="79179.387543517019"/>
    </cacheField>
    <cacheField name="PriceError" numFmtId="0">
      <sharedItems containsBlank="1" containsMixedTypes="1" containsNumber="1" minValue="-5.5087194694714015E-8" maxValue="0"/>
    </cacheField>
    <cacheField name="ErrorBookPrice" numFmtId="0">
      <sharedItems containsString="0" containsBlank="1" containsNumber="1" containsInteger="1" minValue="0" maxValue="0"/>
    </cacheField>
    <cacheField name="ErrorBookValue" numFmtId="0">
      <sharedItems containsString="0" containsBlank="1" containsNumber="1" containsInteger="1" minValue="-2" maxValue="0"/>
    </cacheField>
    <cacheField name="ErrorGrossValue" numFmtId="0">
      <sharedItems containsString="0" containsBlank="1" containsNumber="1" minValue="0" maxValue="5.5087197026182366E-8"/>
    </cacheField>
    <cacheField name="ErrorMtM" numFmtId="0">
      <sharedItems containsString="0" containsBlank="1" containsNumber="1" minValue="-1" maxValue="5.5087197026182366E-8"/>
    </cacheField>
    <cacheField name="ErrorTradePL" numFmtId="0">
      <sharedItems containsString="0" containsBlank="1" containsNumber="1" containsInteger="1" minValue="-1" maxValue="0"/>
    </cacheField>
    <cacheField name="ErrorRealizedPL" numFmtId="0">
      <sharedItems containsString="0" containsBlank="1" containsNumber="1" minValue="-1.5521517057184104" maxValue="0"/>
    </cacheField>
    <cacheField name="ErrorUnrealizedPL" numFmtId="0">
      <sharedItems containsBlank="1" containsMixedTypes="1" containsNumber="1" minValue="-5.5087193917557897E-8" maxValue="0"/>
    </cacheField>
    <cacheField name="ErrorNetPL" numFmtId="0">
      <sharedItems containsString="0" containsBlank="1" containsNumber="1" minValue="-1.5521517057184104" maxValue="0"/>
    </cacheField>
    <cacheField name="ErrorCFToDate" numFmtId="0">
      <sharedItems containsString="0" containsBlank="1" containsNumber="1" minValue="-1.5521517057184104" maxValue="0"/>
    </cacheField>
    <cacheField name="ErrorFwdCF" numFmtId="0">
      <sharedItems containsBlank="1" containsMixedTypes="1" containsNumber="1" minValue="-5.5087193917557897E-8" maxValue="0"/>
    </cacheField>
    <cacheField name="ErrorNetCF" numFmtId="0">
      <sharedItems containsString="0" containsBlank="1" containsNumber="1" minValue="-1.5521517057184104" maxValue="0"/>
    </cacheField>
    <cacheField name="ErrorDelta" numFmtId="0">
      <sharedItems containsBlank="1" containsMixedTypes="1" containsNumber="1" containsInteger="1" minValue="0" maxValue="0"/>
    </cacheField>
    <cacheField name="ErrorGamma1" numFmtId="0">
      <sharedItems containsString="0" containsBlank="1" containsNumber="1" minValue="-0.93541925402426029" maxValue="0"/>
    </cacheField>
    <cacheField name="ErrorVega" numFmtId="0">
      <sharedItems containsString="0" containsBlank="1" containsNumber="1" minValue="-0.85789361768980554" maxValue="0"/>
    </cacheField>
    <cacheField name="ErrorRho" numFmtId="0">
      <sharedItems containsBlank="1" containsMixedTypes="1" containsNumber="1" minValue="-5.5087193695513292E-8" maxValue="0"/>
    </cacheField>
    <cacheField name="ErrorTheta" numFmtId="0">
      <sharedItems containsString="0" containsBlank="1" containsNumber="1" minValue="-0.90465912933751014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s v="NordPool System Price"/>
    <x v="0"/>
    <s v="Split1"/>
    <d v="2011-01-01T00:00:00"/>
    <d v="2011-03-31T00:00:00"/>
    <d v="2011-03-31T00:00:00"/>
    <n v="45"/>
    <s v="Expired"/>
    <n v="10"/>
    <n v="2159"/>
    <n v="15"/>
    <n v="323850"/>
    <n v="0"/>
    <n v="0"/>
    <n v="0"/>
    <n v="0"/>
    <n v="0"/>
    <n v="0"/>
    <n v="0"/>
    <m/>
    <n v="0"/>
    <n v="0"/>
    <n v="173449.9"/>
    <n v="0"/>
    <n v="173449.9"/>
    <n v="173449.9"/>
    <n v="0"/>
    <n v="173449.9"/>
    <n v="1.5032043678849451E-2"/>
    <n v="0"/>
    <n v="1"/>
    <n v="21590"/>
    <n v="1"/>
    <n v="15"/>
    <s v="ASIC/Q YR-11 30.00 - Peak"/>
    <n v="0"/>
    <n v="2159"/>
    <m/>
    <n v="2159"/>
    <n v="0"/>
    <e v="#DIV/0!"/>
    <s v="i"/>
    <n v="0"/>
    <n v="15"/>
    <n v="0"/>
    <n v="0"/>
    <n v="0"/>
    <n v="0"/>
    <n v="0"/>
    <n v="-323850"/>
    <n v="0"/>
    <n v="0"/>
    <n v="9715.5"/>
    <n v="-314134.5"/>
    <n v="0"/>
    <n v="-314134.5"/>
    <n v="-314134.5"/>
    <n v="0"/>
    <n v="-314134.5"/>
    <n v="0"/>
    <n v="0"/>
    <n v="-2"/>
    <n v="0"/>
    <n v="0"/>
    <n v="-1"/>
    <n v="-1.5521517057184104"/>
    <n v="0"/>
    <n v="-1.5521517057184104"/>
    <n v="-1.5521517057184104"/>
    <n v="0"/>
    <n v="-1.5521517057184104"/>
    <n v="0"/>
    <n v="0"/>
    <n v="0"/>
    <n v="0"/>
    <n v="0"/>
  </r>
  <r>
    <s v="NordPool System Price"/>
    <x v="0"/>
    <s v="Split2"/>
    <d v="2011-04-01T00:00:00"/>
    <d v="2011-06-30T00:00:00"/>
    <d v="2011-06-30T00:00:00"/>
    <n v="45"/>
    <s v="Expired"/>
    <n v="10"/>
    <n v="2184"/>
    <n v="15"/>
    <n v="327600"/>
    <n v="0"/>
    <n v="0"/>
    <n v="0"/>
    <n v="0"/>
    <n v="0"/>
    <n v="0"/>
    <n v="0"/>
    <m/>
    <n v="0"/>
    <n v="0"/>
    <n v="85171.899999999194"/>
    <n v="0"/>
    <n v="85171.899999999194"/>
    <n v="85171.899999999194"/>
    <n v="0"/>
    <n v="85171.899999999194"/>
    <n v="1.5032043678849451E-2"/>
    <n v="0"/>
    <n v="1"/>
    <n v="21840"/>
    <n v="1"/>
    <n v="15"/>
    <s v="ASIC/Q YR-11 30.00 - Peak"/>
    <n v="0"/>
    <n v="2184"/>
    <m/>
    <n v="2184"/>
    <n v="0"/>
    <e v="#DIV/0!"/>
    <s v="i"/>
    <n v="0"/>
    <n v="15"/>
    <n v="0"/>
    <n v="0"/>
    <n v="0"/>
    <n v="0"/>
    <n v="0"/>
    <n v="-327600"/>
    <n v="0"/>
    <n v="0"/>
    <n v="9828"/>
    <n v="-317772"/>
    <n v="0"/>
    <n v="-317772"/>
    <n v="-317772"/>
    <n v="0"/>
    <n v="-317772"/>
    <n v="0"/>
    <n v="0"/>
    <n v="-2"/>
    <n v="0"/>
    <n v="0"/>
    <n v="-1"/>
    <n v="-1.2680283347809096"/>
    <n v="0"/>
    <n v="-1.2680283347809096"/>
    <n v="-1.2680283347809096"/>
    <n v="0"/>
    <n v="-1.2680283347809096"/>
    <n v="0"/>
    <n v="0"/>
    <n v="0"/>
    <n v="0"/>
    <n v="0"/>
  </r>
  <r>
    <s v="NordPool System Price"/>
    <x v="0"/>
    <s v="Split3"/>
    <d v="2011-07-01T00:00:00"/>
    <d v="2011-09-30T00:00:00"/>
    <d v="2011-09-30T00:00:00"/>
    <n v="45"/>
    <s v="Expired"/>
    <n v="10"/>
    <n v="2208"/>
    <n v="15"/>
    <n v="331200"/>
    <n v="0"/>
    <n v="0"/>
    <n v="0"/>
    <n v="0"/>
    <n v="0"/>
    <n v="0"/>
    <n v="0"/>
    <m/>
    <n v="0"/>
    <n v="0"/>
    <n v="-32591.3999999997"/>
    <n v="0"/>
    <n v="-32591.3999999997"/>
    <n v="-32591.3999999997"/>
    <n v="0"/>
    <n v="-32591.3999999997"/>
    <n v="1.5032043678849451E-2"/>
    <n v="0"/>
    <n v="1"/>
    <n v="22080"/>
    <n v="1"/>
    <n v="15"/>
    <s v="ASIC/Q YR-11 30.00 - Peak"/>
    <n v="0"/>
    <n v="2208"/>
    <m/>
    <n v="2208"/>
    <n v="0"/>
    <e v="#DIV/0!"/>
    <s v="i"/>
    <n v="0"/>
    <n v="15"/>
    <n v="0"/>
    <n v="0"/>
    <n v="0"/>
    <n v="0"/>
    <n v="0"/>
    <n v="-331200"/>
    <n v="0"/>
    <n v="0"/>
    <n v="9936"/>
    <n v="-321264"/>
    <n v="0"/>
    <n v="-321264"/>
    <n v="-321264"/>
    <n v="0"/>
    <n v="-321264"/>
    <n v="0"/>
    <n v="0"/>
    <n v="-2"/>
    <n v="0"/>
    <n v="0"/>
    <n v="-1"/>
    <n v="-0.89855259226057171"/>
    <n v="0"/>
    <n v="-0.89855259226057171"/>
    <n v="-0.89855259226057171"/>
    <n v="0"/>
    <n v="-0.89855259226057171"/>
    <n v="0"/>
    <n v="0"/>
    <n v="0"/>
    <n v="0"/>
    <n v="0"/>
  </r>
  <r>
    <s v="NordPool System Price"/>
    <x v="0"/>
    <s v="Split4"/>
    <d v="2011-10-01T00:00:00"/>
    <d v="2011-12-31T00:00:00"/>
    <d v="2011-12-31T00:00:00"/>
    <n v="45"/>
    <s v="Active"/>
    <n v="10"/>
    <n v="2209"/>
    <n v="15"/>
    <n v="331350"/>
    <n v="15.440862134253701"/>
    <n v="0.65373679337627399"/>
    <n v="1.1858053021294101E-3"/>
    <n v="0.34946248933414398"/>
    <n v="-1.29643316749548E-3"/>
    <n v="-2.5382239124800701"/>
    <n v="0.66353721104510899"/>
    <m/>
    <n v="120438.724647179"/>
    <n v="0"/>
    <n v="-117000"/>
    <n v="120438.724647179"/>
    <n v="3438.72464717909"/>
    <n v="-117000"/>
    <n v="120438.724647179"/>
    <n v="3438.72464717909"/>
    <n v="1.5032043678849501E-2"/>
    <n v="35.040999999999997"/>
    <n v="1"/>
    <n v="22090"/>
    <n v="1"/>
    <n v="15"/>
    <s v="ASIC/Q YR-11 30.00 - Peak"/>
    <n v="42.557000000000002"/>
    <n v="767"/>
    <n v="1442"/>
    <n v="2209"/>
    <n v="0.6527840651878678"/>
    <n v="46.299432038834951"/>
    <s v="i"/>
    <n v="0"/>
    <n v="15"/>
    <n v="0"/>
    <n v="1.8361591898843486E-2"/>
    <n v="2.4591611133363869"/>
    <n v="-1.3597874222115093E-2"/>
    <n v="0"/>
    <n v="-331350"/>
    <n v="0"/>
    <n v="0"/>
    <n v="9940.5"/>
    <n v="-321409.5"/>
    <n v="0"/>
    <n v="-321409.5"/>
    <n v="-321409.5"/>
    <n v="0"/>
    <n v="-321409.5"/>
    <e v="#VALUE!"/>
    <n v="0"/>
    <n v="-2"/>
    <n v="0"/>
    <n v="-1"/>
    <n v="-1"/>
    <n v="-0.63597840138514883"/>
    <e v="#VALUE!"/>
    <n v="-1.0106988892586533"/>
    <n v="-0.63597840138514883"/>
    <e v="#VALUE!"/>
    <n v="-1.0106988892586533"/>
    <e v="#VALUE!"/>
    <n v="-0.93541925402426029"/>
    <n v="-0.85789361768980554"/>
    <e v="#VALUE!"/>
    <n v="-0.90465912933751014"/>
  </r>
  <r>
    <s v="NordPool System Price"/>
    <x v="1"/>
    <s v="ASIC/A YR-11 45.00 - Base"/>
    <d v="2011-01-01T00:00:00"/>
    <d v="2011-12-31T00:00:00"/>
    <d v="2011-12-31T00:00:00"/>
    <n v="45"/>
    <s v="Active"/>
    <n v="10"/>
    <n v="8760"/>
    <n v="4.21"/>
    <n v="-368796"/>
    <n v="2.4634127434802999"/>
    <n v="0.163949221941462"/>
    <n v="2.0913734099070799E-5"/>
    <n v="1.93997347192688E-3"/>
    <n v="9.6674123218815498E-5"/>
    <n v="-0.40494456057210299"/>
    <n v="0.29556788590386501"/>
    <n v="215794.95632887399"/>
    <n v="215794.95632887399"/>
    <n v="39420"/>
    <n v="-329376"/>
    <n v="215794.95632887399"/>
    <n v="-113581.043671126"/>
    <n v="-329376"/>
    <n v="215794.95632887399"/>
    <n v="-113581.043671126"/>
    <n v="1.5032043678849501E-2"/>
    <n v="43.6942499819882"/>
    <n v="1"/>
    <n v="87600"/>
    <n v="1"/>
    <n v="4.21"/>
    <s v="NordPool System Price-ASIC/A YR-11 45.00 - Base"/>
    <n v="48.212135245901599"/>
    <n v="7320"/>
    <n v="1440"/>
    <n v="8760"/>
    <n v="0.16438356164383561"/>
    <n v="28.671645833333542"/>
    <s v="C"/>
    <n v="2.463412743480637"/>
    <n v="4.21"/>
    <n v="0.16394922194144562"/>
    <n v="2.0913734099108421E-5"/>
    <n v="1.939973471930372E-3"/>
    <n v="9.6674123218819984E-5"/>
    <n v="-0.4049445605721595"/>
    <n v="-368796"/>
    <n v="215794.95632890379"/>
    <n v="215794.95632890379"/>
    <n v="39420"/>
    <n v="-329376"/>
    <n v="215794.95632890379"/>
    <n v="-113581.04367109621"/>
    <n v="-329376"/>
    <n v="215794.95632890379"/>
    <n v="-113581.04367109621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P/A YR-11 45.00 - Base"/>
    <d v="2011-01-01T00:00:00"/>
    <d v="2011-12-31T00:00:00"/>
    <d v="2011-12-31T00:00:00"/>
    <n v="45"/>
    <s v="Active"/>
    <n v="10"/>
    <n v="8760"/>
    <n v="4.21"/>
    <n v="-368796"/>
    <n v="3.8145235320752001E-5"/>
    <n v="-2.8645934748299401E-5"/>
    <n v="2.0913734099070799E-5"/>
    <n v="1.93997347192688E-3"/>
    <n v="-4.7767111871767101E-6"/>
    <n v="-6.2704496417674501E-6"/>
    <n v="0.29556788590386501"/>
    <n v="3.3415226140978702"/>
    <n v="3.3415226140978702"/>
    <n v="39420"/>
    <n v="-329376"/>
    <n v="3.3415226140978702"/>
    <n v="-329372.65847738599"/>
    <n v="-329376"/>
    <n v="3.3415226140978702"/>
    <n v="-329372.65847738599"/>
    <n v="1.5032043678849501E-2"/>
    <n v="43.6942499819882"/>
    <n v="1"/>
    <n v="87600"/>
    <n v="1"/>
    <n v="4.21"/>
    <s v="NordPool System Price-ASIP/A YR-11 45.00 - Base"/>
    <n v="48.212135245901599"/>
    <n v="7320"/>
    <n v="1440"/>
    <n v="8760"/>
    <n v="0.16438356164383561"/>
    <n v="28.671645833333542"/>
    <s v="P"/>
    <n v="3.8145235942067419E-5"/>
    <n v="4.21"/>
    <n v="-2.8645934764225979E-5"/>
    <n v="2.0913734099108421E-5"/>
    <n v="1.939973471930372E-3"/>
    <n v="-4.7767111871597356E-6"/>
    <n v="-6.2704497439014936E-6"/>
    <n v="-368796"/>
    <n v="3.3415226685251058"/>
    <n v="3.3415226685251058"/>
    <n v="39420"/>
    <n v="-329376"/>
    <n v="3.3415226685251058"/>
    <n v="-329372.65847733145"/>
    <n v="-329376"/>
    <n v="3.3415226685251058"/>
    <n v="-329372.65847733145"/>
    <n v="-1.6288152382415433E-8"/>
    <n v="0"/>
    <n v="0"/>
    <n v="1.6288154158772272E-8"/>
    <n v="1.6288154158772272E-8"/>
    <n v="0"/>
    <n v="0"/>
    <n v="-1.6288153936727667E-8"/>
    <n v="0"/>
    <n v="0"/>
    <n v="-1.6288153936727667E-8"/>
    <n v="0"/>
    <n v="0"/>
    <n v="0"/>
    <n v="0"/>
    <n v="-1.6288152826504643E-8"/>
    <n v="0"/>
  </r>
  <r>
    <s v="NordPool System Price"/>
    <x v="1"/>
    <s v="ASIC/A Q4-11 45.00 - Peak"/>
    <d v="2011-10-01T00:00:00"/>
    <d v="2011-12-31T00:00:00"/>
    <d v="2011-12-31T00:00:00"/>
    <n v="45"/>
    <s v="Active"/>
    <n v="10"/>
    <n v="780"/>
    <n v="4.21"/>
    <n v="-32838"/>
    <n v="3.87390629621384"/>
    <n v="0.37791097957285202"/>
    <n v="1.8513090145467301E-2"/>
    <n v="5.4558961373208197"/>
    <n v="-3.00087091669115E-2"/>
    <n v="-0.63680651444611103"/>
    <n v="0.66353721104510899"/>
    <n v="30216.469110467999"/>
    <n v="30216.469110467999"/>
    <n v="3510"/>
    <n v="-29328"/>
    <n v="30216.469110467999"/>
    <n v="888.46911046797698"/>
    <n v="-29328"/>
    <n v="30216.469110467999"/>
    <n v="888.46911046797698"/>
    <n v="1.5032043678849451E-2"/>
    <n v="51.9794589528789"/>
    <n v="1"/>
    <n v="7800"/>
    <n v="1"/>
    <n v="4.21"/>
    <s v="NordPool System Price-ASIC/A Q4-11 45.00 - Peak"/>
    <n v="32.68"/>
    <n v="264"/>
    <n v="516"/>
    <n v="780"/>
    <n v="0.66153846153846152"/>
    <n v="51.303255813953484"/>
    <s v="C"/>
    <n v="3.8739062962273936"/>
    <n v="4.21"/>
    <n v="0.37791097957304509"/>
    <n v="1.8513090145467256E-2"/>
    <n v="5.4558961373208223"/>
    <n v="-3.0008709166910955E-2"/>
    <n v="-0.63680651444833858"/>
    <n v="-32838"/>
    <n v="30216.469110573671"/>
    <n v="30216.469110573671"/>
    <n v="3510"/>
    <n v="-29328"/>
    <n v="30216.469110573671"/>
    <n v="888.46911057367106"/>
    <n v="-29328"/>
    <n v="30216.469110573671"/>
    <n v="888.46911057367106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P/A Q4-11 45.00 - Peak"/>
    <d v="2011-10-01T00:00:00"/>
    <d v="2011-12-31T00:00:00"/>
    <d v="2011-12-31T00:00:00"/>
    <n v="45"/>
    <s v="Active"/>
    <n v="10"/>
    <n v="780"/>
    <n v="4.21"/>
    <n v="-32838"/>
    <n v="3.4276759200296198"/>
    <n v="-0.28199482461102299"/>
    <n v="1.8513090145467301E-2"/>
    <n v="5.4558961373208197"/>
    <n v="-3.0027086576516E-2"/>
    <n v="-0.56345357589528"/>
    <n v="0.66353721104510899"/>
    <n v="26735.8721762311"/>
    <n v="26735.8721762311"/>
    <n v="3510"/>
    <n v="-29328"/>
    <n v="26735.8721762311"/>
    <n v="-2592.1278237689398"/>
    <n v="-29328"/>
    <n v="26735.8721762311"/>
    <n v="-2592.1278237689398"/>
    <n v="1.5032043678849451E-2"/>
    <n v="51.9794589528789"/>
    <n v="1"/>
    <n v="7800"/>
    <n v="1"/>
    <n v="4.21"/>
    <s v="NordPool System Price-ASIP/A Q4-11 45.00 - Peak"/>
    <n v="32.68"/>
    <n v="264"/>
    <n v="516"/>
    <n v="780"/>
    <n v="0.66153846153846152"/>
    <n v="51.303255813953484"/>
    <s v="P"/>
    <n v="3.4276759200431588"/>
    <n v="4.21"/>
    <n v="-0.2819948246108302"/>
    <n v="1.8513090145467256E-2"/>
    <n v="5.4558961373208223"/>
    <n v="-3.0027086576515424E-2"/>
    <n v="-0.56345357589750555"/>
    <n v="-32838"/>
    <n v="26735.872176336637"/>
    <n v="26735.872176336637"/>
    <n v="3510"/>
    <n v="-29328"/>
    <n v="26735.872176336637"/>
    <n v="-2592.1278236633625"/>
    <n v="-29328"/>
    <n v="26735.872176336637"/>
    <n v="-2592.1278236633625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C/A Q4-11 45.00 - Base"/>
    <d v="2011-10-01T00:00:00"/>
    <d v="2011-12-31T00:00:00"/>
    <d v="2011-12-31T00:00:00"/>
    <n v="45"/>
    <s v="Active"/>
    <n v="10"/>
    <n v="2209"/>
    <n v="4.21"/>
    <n v="-92998.9"/>
    <n v="0.68177272420410195"/>
    <n v="0.14540515555763001"/>
    <n v="2.17924418076916E-2"/>
    <n v="3.5903876587782202"/>
    <n v="-1.4413937961247901E-2"/>
    <n v="-0.112072228636291"/>
    <n v="0.48268935539166202"/>
    <n v="15060.3594776686"/>
    <n v="15060.3594776686"/>
    <n v="9940.5"/>
    <n v="-83058.399999999994"/>
    <n v="15060.3594776686"/>
    <n v="-67998.040522331401"/>
    <n v="-83058.399999999994"/>
    <n v="15060.3594776686"/>
    <n v="-67998.040522331401"/>
    <n v="1.5032043678849451E-2"/>
    <n v="45.567444154755101"/>
    <n v="1"/>
    <n v="22090"/>
    <n v="1"/>
    <n v="4.21"/>
    <s v="NordPool System Price-ASIC/A Q4-11 45.00 - Base"/>
    <n v="28.338244473342002"/>
    <n v="769"/>
    <n v="1440"/>
    <n v="2209"/>
    <n v="0.65187867813490263"/>
    <n v="53.897840277777775"/>
    <s v="C"/>
    <n v="0.68177272438753456"/>
    <n v="4.21"/>
    <n v="0.14540515555597758"/>
    <n v="2.1792441807691677E-2"/>
    <n v="3.5903876587782384"/>
    <n v="-1.4413937961240389E-2"/>
    <n v="-0.11207222866644402"/>
    <n v="-92998.9"/>
    <n v="15060.359481720638"/>
    <n v="15060.359481720638"/>
    <n v="9940.5"/>
    <n v="-83058.399999999994"/>
    <n v="15060.359481720638"/>
    <n v="-67998.040518279362"/>
    <n v="-83058.399999999994"/>
    <n v="15060.359481720638"/>
    <n v="-67998.040518279362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P/A Q4-11 45.00 - Base"/>
    <d v="2011-10-01T00:00:00"/>
    <d v="2011-12-31T00:00:00"/>
    <d v="2011-12-31T00:00:00"/>
    <n v="45"/>
    <s v="Active"/>
    <n v="10"/>
    <n v="2209"/>
    <n v="4.21"/>
    <n v="-92998.9"/>
    <n v="6.0987782518643101"/>
    <n v="-0.50486470528238703"/>
    <n v="2.17924418076916E-2"/>
    <n v="3.5903876587782202"/>
    <n v="-1.41908457319318E-2"/>
    <n v="-1.00253889071742"/>
    <n v="0.48268935539166202"/>
    <n v="134722.01158368299"/>
    <n v="134722.01158368299"/>
    <n v="9940.5"/>
    <n v="-83058.399999999994"/>
    <n v="134722.01158368299"/>
    <n v="51663.611583682497"/>
    <n v="-83058.399999999994"/>
    <n v="134722.01158368299"/>
    <n v="51663.611583682497"/>
    <n v="1.5032043678849501E-2"/>
    <n v="45.567444154755101"/>
    <n v="1"/>
    <n v="22090"/>
    <n v="1"/>
    <n v="4.21"/>
    <s v="NordPool System Price-ASIP/A Q4-11 45.00 - Base"/>
    <n v="28.338244473342002"/>
    <n v="769"/>
    <n v="1440"/>
    <n v="2209"/>
    <n v="0.65187867813490263"/>
    <n v="53.897840277777775"/>
    <s v="P"/>
    <n v="6.0987782520477065"/>
    <n v="4.21"/>
    <n v="-0.50486470528403982"/>
    <n v="2.1792441807691677E-2"/>
    <n v="3.5903876587782384"/>
    <n v="-1.4190845731924343E-2"/>
    <n v="-1.0025388907475681"/>
    <n v="-92998.9"/>
    <n v="134722.01158773384"/>
    <n v="134722.01158773384"/>
    <n v="9940.5"/>
    <n v="-83058.399999999994"/>
    <n v="134722.01158773384"/>
    <n v="51663.611587733845"/>
    <n v="-83058.399999999994"/>
    <n v="134722.01158773384"/>
    <n v="51663.611587733845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C/A Q4-11 45.00 - Base"/>
    <d v="2011-10-01T00:00:00"/>
    <d v="2011-12-31T00:00:00"/>
    <d v="2011-12-31T00:00:00"/>
    <n v="45"/>
    <s v="Active"/>
    <n v="10"/>
    <n v="2209"/>
    <n v="4.21"/>
    <n v="-92998.9"/>
    <n v="4.1173638476333103E-2"/>
    <n v="2.0956979678916601E-2"/>
    <n v="8.9660487021209906E-3"/>
    <n v="0.831697321373708"/>
    <n v="-2.0468294762473198E-3"/>
    <n v="-6.7682693385753097E-3"/>
    <n v="0.29556788590386501"/>
    <n v="909.52567394219898"/>
    <n v="909.52567394219898"/>
    <n v="9940.5"/>
    <n v="-83058.399999999994"/>
    <n v="909.52567394219898"/>
    <n v="-82148.874326057805"/>
    <n v="-83058.399999999994"/>
    <n v="909.52567394219898"/>
    <n v="-82148.874326057805"/>
    <n v="1.5032043678849501E-2"/>
    <n v="43.6942499819882"/>
    <n v="1"/>
    <n v="22090"/>
    <n v="1"/>
    <n v="4.21"/>
    <s v="NordPool System Price-ASIC/A Q4-11 45.00 - Base"/>
    <n v="26.414226267880299"/>
    <n v="769"/>
    <n v="1440"/>
    <n v="2209"/>
    <n v="0.65187867813490263"/>
    <n v="54.925319444444483"/>
    <s v="C"/>
    <n v="4.1173640744473466E-2"/>
    <n v="4.21"/>
    <n v="2.0956979796960342E-2"/>
    <n v="8.9660487021209871E-3"/>
    <n v="0.83169732137370822"/>
    <n v="-2.0468294761539145E-3"/>
    <n v="-6.7682697114202946E-3"/>
    <n v="-92998.9"/>
    <n v="909.52572404541888"/>
    <n v="909.52572404541888"/>
    <n v="9940.5"/>
    <n v="-83058.399999999994"/>
    <n v="909.52572404541888"/>
    <n v="-82148.874275954571"/>
    <n v="-83058.399999999994"/>
    <n v="909.52572404541888"/>
    <n v="-82148.874275954571"/>
    <n v="-5.5087194694714015E-8"/>
    <n v="0"/>
    <n v="0"/>
    <n v="5.5087197026182366E-8"/>
    <n v="5.5087197026182366E-8"/>
    <n v="0"/>
    <n v="0"/>
    <n v="-5.5087193917557897E-8"/>
    <n v="0"/>
    <n v="0"/>
    <n v="-5.5087193917557897E-8"/>
    <n v="0"/>
    <n v="0"/>
    <n v="0"/>
    <n v="0"/>
    <n v="-5.5087193695513292E-8"/>
    <n v="0"/>
  </r>
  <r>
    <s v="NordPool System Price"/>
    <x v="1"/>
    <s v="ASIP/A Q4-11 45.00 - Base"/>
    <d v="2011-10-01T00:00:00"/>
    <d v="2011-12-31T00:00:00"/>
    <d v="2011-12-31T00:00:00"/>
    <n v="45"/>
    <s v="Active"/>
    <n v="10"/>
    <n v="2209"/>
    <n v="4.21"/>
    <n v="-92998.9"/>
    <n v="7.3443996149123398"/>
    <n v="-0.62931288116110096"/>
    <n v="8.9660487021209906E-3"/>
    <n v="0.831697321373708"/>
    <n v="-1.7460557450848699E-3"/>
    <n v="-1.2072985668349001"/>
    <n v="0.29556788590386501"/>
    <n v="162237.78749341401"/>
    <n v="162237.78749341401"/>
    <n v="9940.5"/>
    <n v="-83058.399999999994"/>
    <n v="162237.78749341401"/>
    <n v="79179.387493413495"/>
    <n v="-83058.399999999994"/>
    <n v="162237.78749341401"/>
    <n v="79179.387493413495"/>
    <n v="1.5032043678849501E-2"/>
    <n v="43.6942499819882"/>
    <n v="1"/>
    <n v="22090"/>
    <n v="1"/>
    <n v="4.21"/>
    <s v="NordPool System Price-ASIP/A Q4-11 45.00 - Base"/>
    <n v="26.414226267880299"/>
    <n v="769"/>
    <n v="1440"/>
    <n v="2209"/>
    <n v="0.65187867813490263"/>
    <n v="54.925319444444483"/>
    <s v="P"/>
    <n v="7.3443996171804899"/>
    <n v="4.21"/>
    <n v="-0.62931288104305705"/>
    <n v="8.9660487021209871E-3"/>
    <n v="0.83169732137370822"/>
    <n v="-1.7460557449914637E-3"/>
    <n v="-1.2072985672077516"/>
    <n v="-92998.9"/>
    <n v="162237.78754351701"/>
    <n v="162237.78754351701"/>
    <n v="9940.5"/>
    <n v="-83058.399999999994"/>
    <n v="162237.78754351701"/>
    <n v="79179.387543517019"/>
    <n v="-83058.399999999994"/>
    <n v="162237.78754351701"/>
    <n v="79179.387543517019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NordPool System Price"/>
    <x v="1"/>
    <s v="ASIC/A M11-11 45.00 - Peak"/>
    <d v="2011-11-01T00:00:00"/>
    <d v="2011-11-30T00:00:00"/>
    <d v="2011-11-30T00:00:00"/>
    <n v="45"/>
    <s v="Active"/>
    <n v="10"/>
    <n v="264"/>
    <n v="4.21"/>
    <n v="-11114.4"/>
    <n v="6.7229465822059096"/>
    <n v="0.70634977847316804"/>
    <n v="3.01933733485019E-2"/>
    <n v="4.3858016802318502"/>
    <n v="-5.4202627513313298E-2"/>
    <n v="-0.53415192023005797"/>
    <n v="0.72011795932472"/>
    <n v="17748.578977023601"/>
    <n v="17748.578977023601"/>
    <n v="1188"/>
    <n v="-9926.4"/>
    <n v="17748.578977023601"/>
    <n v="7822.1789770236001"/>
    <n v="-9926.4"/>
    <n v="17748.578977023601"/>
    <n v="7822.1789770236001"/>
    <n v="1.3612382216139673E-2"/>
    <n v="50.386511189228301"/>
    <m/>
    <m/>
    <m/>
    <m/>
    <m/>
    <n v="42.5566666666667"/>
    <n v="12"/>
    <n v="252"/>
    <n v="264"/>
    <n v="0.95454545454545459"/>
    <n v="45.1163492063492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11-11 45.00 - Peak"/>
    <d v="2011-11-01T00:00:00"/>
    <d v="2011-11-30T00:00:00"/>
    <d v="2011-11-30T00:00:00"/>
    <n v="45"/>
    <s v="Active"/>
    <n v="10"/>
    <n v="264"/>
    <n v="4.21"/>
    <n v="-11114.4"/>
    <n v="1.6977752390842"/>
    <n v="-0.24716386293800199"/>
    <n v="3.01933733485019E-2"/>
    <n v="4.3858016802318502"/>
    <n v="-5.4390037247626102E-2"/>
    <n v="-0.134891731324498"/>
    <n v="0.72011795932472"/>
    <n v="4482.1266311822801"/>
    <n v="4482.1266311822801"/>
    <n v="1188"/>
    <n v="-9926.4"/>
    <n v="4482.1266311822801"/>
    <n v="-5444.2733688177204"/>
    <n v="-9926.4"/>
    <n v="4482.1266311822801"/>
    <n v="-5444.2733688177204"/>
    <n v="1.3612382216139673E-2"/>
    <n v="50.386511189228301"/>
    <m/>
    <m/>
    <m/>
    <m/>
    <m/>
    <n v="42.5566666666667"/>
    <n v="12"/>
    <n v="252"/>
    <n v="264"/>
    <n v="0.95454545454545459"/>
    <n v="45.1163492063492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11-11 45.00 - Base"/>
    <d v="2011-11-01T00:00:00"/>
    <d v="2011-11-30T00:00:00"/>
    <d v="2011-11-30T00:00:00"/>
    <n v="45"/>
    <s v="Active"/>
    <n v="10"/>
    <n v="720"/>
    <n v="4.21"/>
    <n v="-30312"/>
    <n v="2.4411183486299"/>
    <n v="0.47785987108570299"/>
    <n v="5.4335274539843499E-2"/>
    <n v="4.8323304204795798"/>
    <n v="-4.6990712111258701E-2"/>
    <n v="-0.193951868795252"/>
    <n v="0.56509827738996798"/>
    <n v="17576.052110135301"/>
    <n v="17576.052110135301"/>
    <n v="3240"/>
    <n v="-27072"/>
    <n v="17576.052110135301"/>
    <n v="-9495.9478898646994"/>
    <n v="-27072"/>
    <n v="17576.052110135301"/>
    <n v="-9495.9478898646994"/>
    <n v="1.3612382216139673E-2"/>
    <n v="44.506436182251797"/>
    <m/>
    <m/>
    <m/>
    <m/>
    <m/>
    <n v="40.156666666666702"/>
    <n v="24"/>
    <n v="696"/>
    <n v="720"/>
    <n v="0.96666666666666667"/>
    <n v="45.1670114942528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11-11 45.00 - Base"/>
    <d v="2011-11-01T00:00:00"/>
    <d v="2011-11-30T00:00:00"/>
    <d v="2011-11-30T00:00:00"/>
    <n v="45"/>
    <s v="Active"/>
    <n v="10"/>
    <n v="720"/>
    <n v="4.21"/>
    <n v="-30312"/>
    <n v="3.0789842381664401"/>
    <n v="-0.48776188005767201"/>
    <n v="5.4335274539843499E-2"/>
    <n v="4.8323304204795798"/>
    <n v="-4.6966923414571003E-2"/>
    <n v="-0.24463162440226499"/>
    <n v="0.56509827738996798"/>
    <n v="22168.686514798301"/>
    <n v="22168.686514798301"/>
    <n v="3240"/>
    <n v="-27072"/>
    <n v="22168.686514798301"/>
    <n v="-4903.3134852016601"/>
    <n v="-27072"/>
    <n v="22168.686514798301"/>
    <n v="-4903.3134852016601"/>
    <n v="1.3612382216139673E-2"/>
    <n v="44.506436182251797"/>
    <m/>
    <m/>
    <m/>
    <m/>
    <m/>
    <n v="40.156666666666702"/>
    <n v="24"/>
    <n v="696"/>
    <n v="720"/>
    <n v="0.96666666666666667"/>
    <n v="45.1670114942528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11-11 45.00 - Base"/>
    <d v="2011-11-01T00:00:00"/>
    <d v="2011-11-30T00:00:00"/>
    <d v="2011-11-30T00:00:00"/>
    <n v="45"/>
    <s v="Active"/>
    <n v="10"/>
    <n v="720"/>
    <n v="4.21"/>
    <n v="-30312"/>
    <n v="0.68342764939060496"/>
    <n v="0.26543082399266599"/>
    <n v="7.3065383284761101E-2"/>
    <n v="3.8348803577378701"/>
    <n v="-2.4461086441199199E-2"/>
    <n v="-5.4299731047472599E-2"/>
    <n v="0.37034305597315198"/>
    <n v="4920.6790756123501"/>
    <n v="4920.6790756123501"/>
    <n v="3240"/>
    <n v="-27072"/>
    <n v="4920.6790756123501"/>
    <n v="-22151.320924387601"/>
    <n v="-27072"/>
    <n v="4920.6790756123501"/>
    <n v="-22151.320924387601"/>
    <n v="1.3612382216139673E-2"/>
    <n v="42.2343103075588"/>
    <m/>
    <m/>
    <m/>
    <m/>
    <m/>
    <n v="39.171666666666702"/>
    <n v="24"/>
    <n v="696"/>
    <n v="720"/>
    <n v="0.96666666666666667"/>
    <n v="45.200977011494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11-11 45.00 - Base"/>
    <d v="2011-11-01T00:00:00"/>
    <d v="2011-11-30T00:00:00"/>
    <d v="2011-11-30T00:00:00"/>
    <n v="45"/>
    <s v="Active"/>
    <n v="10"/>
    <n v="720"/>
    <n v="4.21"/>
    <n v="-30312"/>
    <n v="3.5481055471035399"/>
    <n v="-0.70019092715070896"/>
    <n v="7.3065383284761101E-2"/>
    <n v="3.8348803577378701"/>
    <n v="-2.4354250576898401E-2"/>
    <n v="-0.28190427634521298"/>
    <n v="0.37034305597315198"/>
    <n v="25546.359939145499"/>
    <n v="25546.359939145499"/>
    <n v="3240"/>
    <n v="-27072"/>
    <n v="25546.359939145499"/>
    <n v="-1525.64006085448"/>
    <n v="-27072"/>
    <n v="25546.359939145499"/>
    <n v="-1525.64006085448"/>
    <n v="1.3612382216139673E-2"/>
    <n v="42.2343103075588"/>
    <m/>
    <m/>
    <m/>
    <m/>
    <m/>
    <n v="39.171666666666702"/>
    <n v="24"/>
    <n v="696"/>
    <n v="720"/>
    <n v="0.96666666666666667"/>
    <n v="45.200977011494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2 45.00 - Peak"/>
    <d v="2012-01-01T00:00:00"/>
    <d v="2012-12-31T00:00:00"/>
    <d v="2012-12-31T00:00:00"/>
    <n v="45"/>
    <s v="Active"/>
    <n v="10"/>
    <n v="3132"/>
    <n v="4.21"/>
    <n v="-131857.20000000001"/>
    <n v="10.5881319389064"/>
    <n v="0.63288842151452995"/>
    <n v="1.49502168395102E-2"/>
    <n v="18.791671563545201"/>
    <n v="-9.7179325062020493E-3"/>
    <n v="-12.357655358833201"/>
    <n v="0.46743229240393802"/>
    <n v="331620.29232654901"/>
    <n v="331620.29232654901"/>
    <n v="14094"/>
    <n v="-117763.2"/>
    <n v="331620.29232654901"/>
    <n v="213857.092326549"/>
    <n v="-117763.2"/>
    <n v="331620.29232654901"/>
    <n v="213857.092326549"/>
    <n v="2.0398514407724302E-2"/>
    <n v="47.999999999999901"/>
    <m/>
    <m/>
    <m/>
    <m/>
    <m/>
    <m/>
    <n v="0"/>
    <n v="3132"/>
    <n v="3132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2 45.00 - Peak"/>
    <d v="2012-01-01T00:00:00"/>
    <d v="2012-12-31T00:00:00"/>
    <d v="2012-12-31T00:00:00"/>
    <n v="45"/>
    <s v="Active"/>
    <n v="10"/>
    <n v="3132"/>
    <n v="4.21"/>
    <n v="-131857.20000000001"/>
    <n v="7.6587111882321404"/>
    <n v="-0.34358516204358203"/>
    <n v="1.49502168395102E-2"/>
    <n v="18.791671563545201"/>
    <n v="-9.8816471127470204E-3"/>
    <n v="-8.9386601813339404"/>
    <n v="0.46743229240393802"/>
    <n v="239870.83441543"/>
    <n v="239870.83441543"/>
    <n v="14094"/>
    <n v="-117763.2"/>
    <n v="239870.83441543"/>
    <n v="122107.63441543"/>
    <n v="-117763.2"/>
    <n v="239870.83441543"/>
    <n v="122107.63441543"/>
    <n v="2.0398514407724302E-2"/>
    <n v="47.999999999999901"/>
    <m/>
    <m/>
    <m/>
    <m/>
    <m/>
    <m/>
    <n v="0"/>
    <n v="3132"/>
    <n v="3132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2 45.00 - Base"/>
    <d v="2012-01-01T00:00:00"/>
    <d v="2012-12-31T00:00:00"/>
    <d v="2012-12-31T00:00:00"/>
    <n v="45"/>
    <s v="Active"/>
    <n v="10"/>
    <n v="8784"/>
    <n v="4.21"/>
    <n v="-369806.4"/>
    <n v="4.41608549645896"/>
    <n v="0.50781535723725901"/>
    <n v="3.0712554217048101E-2"/>
    <n v="18.404989096875401"/>
    <n v="-5.5379922107600104E-3"/>
    <n v="-5.1541162232644302"/>
    <n v="0.26778836790959898"/>
    <n v="387908.95000895503"/>
    <n v="387908.95000895503"/>
    <n v="39528"/>
    <n v="-330278.40000000002"/>
    <n v="387908.95000895503"/>
    <n v="57630.550008955397"/>
    <n v="-330278.40000000002"/>
    <n v="387908.95000895503"/>
    <n v="57630.550008955397"/>
    <n v="2.0398514407724302E-2"/>
    <n v="43.788048724954599"/>
    <m/>
    <m/>
    <m/>
    <m/>
    <m/>
    <m/>
    <n v="0"/>
    <n v="8784"/>
    <n v="87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2 45.00 - Base"/>
    <d v="2012-01-01T00:00:00"/>
    <d v="2012-12-31T00:00:00"/>
    <d v="2012-12-31T00:00:00"/>
    <n v="45"/>
    <s v="Active"/>
    <n v="10"/>
    <n v="8784"/>
    <n v="4.21"/>
    <n v="-369806.4"/>
    <n v="5.5995239011004001"/>
    <n v="-0.46865822632085302"/>
    <n v="3.0712554217048101E-2"/>
    <n v="18.404989096875401"/>
    <n v="-5.4718541687114302E-3"/>
    <n v="-6.53533474484595"/>
    <n v="0.26778836790959898"/>
    <n v="491862.17947265902"/>
    <n v="491862.17947265902"/>
    <n v="39528"/>
    <n v="-330278.40000000002"/>
    <n v="491862.17947265902"/>
    <n v="161583.77947265899"/>
    <n v="-330278.40000000002"/>
    <n v="491862.17947265902"/>
    <n v="161583.77947265899"/>
    <n v="2.0398514407724302E-2"/>
    <n v="43.788048724954599"/>
    <m/>
    <m/>
    <m/>
    <m/>
    <m/>
    <m/>
    <n v="0"/>
    <n v="8784"/>
    <n v="87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2 45.00 - Base"/>
    <d v="2012-01-01T00:00:00"/>
    <d v="2012-12-31T00:00:00"/>
    <d v="2012-12-31T00:00:00"/>
    <n v="45"/>
    <s v="Active"/>
    <n v="10"/>
    <n v="8784"/>
    <n v="4.21"/>
    <n v="-369806.4"/>
    <n v="1.86844179357083"/>
    <n v="0.40209350288749102"/>
    <n v="5.3821553111055798E-2"/>
    <n v="17.565327630330501"/>
    <n v="-3.0444515060233301E-3"/>
    <n v="-2.1807019289347198"/>
    <n v="0.15273491613854201"/>
    <n v="164123.927147262"/>
    <n v="164123.927147262"/>
    <n v="39528"/>
    <n v="-330278.40000000002"/>
    <n v="164123.927147262"/>
    <n v="-166154.47285273799"/>
    <n v="-330278.40000000002"/>
    <n v="164123.927147262"/>
    <n v="-166154.47285273799"/>
    <n v="2.0398514407724302E-2"/>
    <n v="42.7880487249544"/>
    <m/>
    <m/>
    <m/>
    <m/>
    <m/>
    <m/>
    <n v="0"/>
    <n v="8784"/>
    <n v="87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2 45.00 - Base"/>
    <d v="2012-01-01T00:00:00"/>
    <d v="2012-12-31T00:00:00"/>
    <d v="2012-12-31T00:00:00"/>
    <n v="45"/>
    <s v="Active"/>
    <n v="10"/>
    <n v="8784"/>
    <n v="4.21"/>
    <n v="-369806.4"/>
    <n v="4.0283537817705897"/>
    <n v="-0.57438008067062096"/>
    <n v="5.3821553111055798E-2"/>
    <n v="17.565327630330501"/>
    <n v="-2.9237419284597402E-3"/>
    <n v="-4.7015855096829302"/>
    <n v="0.15273491613854201"/>
    <n v="353850.596190729"/>
    <n v="353850.596190729"/>
    <n v="39528"/>
    <n v="-330278.40000000002"/>
    <n v="353850.596190729"/>
    <n v="23572.196190728599"/>
    <n v="-330278.40000000002"/>
    <n v="353850.596190729"/>
    <n v="23572.196190728599"/>
    <n v="2.0398514407724302E-2"/>
    <n v="42.7880487249544"/>
    <m/>
    <m/>
    <m/>
    <m/>
    <m/>
    <m/>
    <n v="0"/>
    <n v="8784"/>
    <n v="87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2-12 45.00 - Peak"/>
    <d v="2012-04-01T00:00:00"/>
    <d v="2012-06-30T00:00:00"/>
    <d v="2012-06-30T00:00:00"/>
    <n v="45"/>
    <s v="Active"/>
    <n v="10"/>
    <n v="780"/>
    <n v="4.21"/>
    <n v="-32838"/>
    <n v="10.8657321776621"/>
    <n v="0.623648842677203"/>
    <n v="1.39345032408411E-2"/>
    <n v="14.0183325560578"/>
    <n v="-1.9972651666830901E-2"/>
    <n v="-7.2041292794362102"/>
    <n v="0.709347254127771"/>
    <n v="84752.710985764003"/>
    <n v="84752.710985764003"/>
    <n v="3510"/>
    <n v="-29328"/>
    <n v="84752.710985764003"/>
    <n v="55424.710985764003"/>
    <n v="-29328"/>
    <n v="84752.710985764003"/>
    <n v="55424.710985764003"/>
    <n v="1.9232185361691901E-2"/>
    <n v="46.250000000000398"/>
    <m/>
    <m/>
    <m/>
    <m/>
    <m/>
    <m/>
    <n v="0"/>
    <n v="780"/>
    <n v="78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2-12 45.00 - Peak"/>
    <d v="2012-04-01T00:00:00"/>
    <d v="2012-06-30T00:00:00"/>
    <d v="2012-06-30T00:00:00"/>
    <n v="45"/>
    <s v="Active"/>
    <n v="10"/>
    <n v="780"/>
    <n v="4.21"/>
    <n v="-32838"/>
    <n v="9.6315699904279803"/>
    <n v="-0.36368090710974799"/>
    <n v="1.39345032408411E-2"/>
    <n v="14.0183325560578"/>
    <n v="-2.0037680806423399E-2"/>
    <n v="-6.3858628429686899"/>
    <n v="0.709347254127771"/>
    <n v="75126.245925338299"/>
    <n v="75126.245925338299"/>
    <n v="3510"/>
    <n v="-29328"/>
    <n v="75126.245925338299"/>
    <n v="45798.245925338299"/>
    <n v="-29328"/>
    <n v="75126.245925338299"/>
    <n v="45798.245925338299"/>
    <n v="1.9232185361691901E-2"/>
    <n v="46.250000000000398"/>
    <m/>
    <m/>
    <m/>
    <m/>
    <m/>
    <m/>
    <n v="0"/>
    <n v="780"/>
    <n v="78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2-12 45.00 - Base"/>
    <d v="2012-04-01T00:00:00"/>
    <d v="2012-06-30T00:00:00"/>
    <d v="2012-06-30T00:00:00"/>
    <n v="45"/>
    <s v="Active"/>
    <n v="10"/>
    <n v="2184"/>
    <n v="4.21"/>
    <n v="-91946.4"/>
    <n v="4.0868270660452799"/>
    <n v="0.45794980505889699"/>
    <n v="2.76981956875706E-2"/>
    <n v="13.127594252802099"/>
    <n v="-1.1262689966270001E-2"/>
    <n v="-2.70962232872043"/>
    <n v="0.42318232529628602"/>
    <n v="89256.303122428901"/>
    <n v="89256.303122428901"/>
    <n v="9828"/>
    <n v="-82118.399999999994"/>
    <n v="89256.303122428901"/>
    <n v="7137.9031224289201"/>
    <n v="-82118.399999999994"/>
    <n v="89256.303122428901"/>
    <n v="7137.9031224289201"/>
    <n v="1.9232185361691901E-2"/>
    <n v="41.1000000000003"/>
    <m/>
    <m/>
    <m/>
    <m/>
    <m/>
    <m/>
    <n v="0"/>
    <n v="2184"/>
    <n v="21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2-12 45.00 - Base"/>
    <d v="2012-04-01T00:00:00"/>
    <d v="2012-06-30T00:00:00"/>
    <d v="2012-06-30T00:00:00"/>
    <n v="45"/>
    <s v="Active"/>
    <n v="10"/>
    <n v="2184"/>
    <n v="4.21"/>
    <n v="-91946.4"/>
    <n v="7.9374130902141298"/>
    <n v="-0.52937994472805405"/>
    <n v="2.76981956875706E-2"/>
    <n v="13.127594252802099"/>
    <n v="-1.1059799050741399E-2"/>
    <n v="-5.2626136104981303"/>
    <n v="0.42318232529628602"/>
    <n v="173353.101890277"/>
    <n v="173353.101890277"/>
    <n v="9828"/>
    <n v="-82118.399999999994"/>
    <n v="173353.101890277"/>
    <n v="91234.701890276498"/>
    <n v="-82118.399999999994"/>
    <n v="173353.101890277"/>
    <n v="91234.701890276498"/>
    <n v="1.9232185361691901E-2"/>
    <n v="41.1000000000003"/>
    <m/>
    <m/>
    <m/>
    <m/>
    <m/>
    <m/>
    <n v="0"/>
    <n v="2184"/>
    <n v="21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2-12 45.00 - Base"/>
    <d v="2012-04-01T00:00:00"/>
    <d v="2012-06-30T00:00:00"/>
    <d v="2012-06-30T00:00:00"/>
    <n v="45"/>
    <s v="Active"/>
    <n v="10"/>
    <n v="2184"/>
    <n v="4.21"/>
    <n v="-91946.4"/>
    <n v="1.61351895407131"/>
    <n v="0.33861128084340603"/>
    <n v="4.5919006805681402E-2"/>
    <n v="12.0699612369419"/>
    <n v="-5.8425964711573903E-3"/>
    <n v="-1.06978516954865"/>
    <n v="0.23769465776039"/>
    <n v="35239.253956917302"/>
    <n v="35239.253956917302"/>
    <n v="9828"/>
    <n v="-82118.399999999994"/>
    <n v="35239.253956917302"/>
    <n v="-46879.146043082699"/>
    <n v="-82118.399999999994"/>
    <n v="35239.253956917302"/>
    <n v="-46879.146043082699"/>
    <n v="1.9232185361691901E-2"/>
    <n v="40.839999999999797"/>
    <m/>
    <m/>
    <m/>
    <m/>
    <m/>
    <m/>
    <n v="0"/>
    <n v="2184"/>
    <n v="21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2-12 45.00 - Base"/>
    <d v="2012-04-01T00:00:00"/>
    <d v="2012-06-30T00:00:00"/>
    <d v="2012-06-30T00:00:00"/>
    <n v="45"/>
    <s v="Active"/>
    <n v="10"/>
    <n v="2184"/>
    <n v="4.21"/>
    <n v="-91946.4"/>
    <n v="5.7208107131852497"/>
    <n v="-0.64871846894354401"/>
    <n v="4.5919006805681402E-2"/>
    <n v="12.0699612369419"/>
    <n v="-5.6261794945934697E-3"/>
    <n v="-3.7929758701118699"/>
    <n v="0.23769465776039"/>
    <n v="124942.50597596601"/>
    <n v="124942.50597596601"/>
    <n v="9828"/>
    <n v="-82118.399999999994"/>
    <n v="124942.50597596601"/>
    <n v="42824.105975965897"/>
    <n v="-82118.399999999994"/>
    <n v="124942.50597596601"/>
    <n v="42824.105975965897"/>
    <n v="1.9232185361691901E-2"/>
    <n v="40.839999999999797"/>
    <m/>
    <m/>
    <m/>
    <m/>
    <m/>
    <m/>
    <n v="0"/>
    <n v="2184"/>
    <n v="21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6-12 45.00 - Peak"/>
    <d v="2012-06-01T00:00:00"/>
    <d v="2012-06-30T00:00:00"/>
    <d v="2012-06-30T00:00:00"/>
    <n v="45"/>
    <s v="Active"/>
    <n v="10"/>
    <n v="252"/>
    <n v="4.21"/>
    <n v="-10609.2"/>
    <n v="10.9528842079017"/>
    <n v="0.61504245749534103"/>
    <n v="1.324473720137E-2"/>
    <n v="13.726521723838299"/>
    <n v="-2.1363780426184399E-2"/>
    <n v="-7.2619122693485201"/>
    <n v="0.77364060798591505"/>
    <n v="27601.268203912299"/>
    <n v="27601.268203912299"/>
    <n v="1134"/>
    <n v="-9475.2000000000007"/>
    <n v="27601.268203912299"/>
    <n v="18126.068203912298"/>
    <n v="-9475.2000000000007"/>
    <n v="27601.268203912299"/>
    <n v="18126.068203912298"/>
    <n v="1.9232185361691901E-2"/>
    <n v="44.949793254007801"/>
    <m/>
    <m/>
    <m/>
    <m/>
    <m/>
    <m/>
    <n v="0"/>
    <n v="252"/>
    <n v="252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6-12 45.00 - Peak"/>
    <d v="2012-06-01T00:00:00"/>
    <d v="2012-06-30T00:00:00"/>
    <d v="2012-06-30T00:00:00"/>
    <n v="45"/>
    <s v="Active"/>
    <n v="10"/>
    <n v="252"/>
    <n v="4.21"/>
    <n v="-10609.2"/>
    <n v="11.0024548218598"/>
    <n v="-0.37228729229161001"/>
    <n v="1.324473720137E-2"/>
    <n v="13.726521723838299"/>
    <n v="-2.1361168504989501E-2"/>
    <n v="-7.2947782654522602"/>
    <n v="0.77364060798591505"/>
    <n v="27726.186151086698"/>
    <n v="27726.186151086698"/>
    <n v="1134"/>
    <n v="-9475.2000000000007"/>
    <n v="27726.186151086698"/>
    <n v="18250.986151086701"/>
    <n v="-9475.2000000000007"/>
    <n v="27726.186151086698"/>
    <n v="18250.986151086701"/>
    <n v="1.9232185361691901E-2"/>
    <n v="44.949793254007801"/>
    <m/>
    <m/>
    <m/>
    <m/>
    <m/>
    <m/>
    <n v="0"/>
    <n v="252"/>
    <n v="252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6-12 45.00 - Base"/>
    <d v="2012-06-01T00:00:00"/>
    <d v="2012-06-30T00:00:00"/>
    <d v="2012-06-30T00:00:00"/>
    <n v="45"/>
    <s v="Active"/>
    <n v="10"/>
    <n v="720"/>
    <n v="4.21"/>
    <n v="-30312"/>
    <n v="4.3222740271992901"/>
    <n v="0.45573467098458997"/>
    <n v="2.5500479676983202E-2"/>
    <n v="12.8769694306527"/>
    <n v="-1.2226319719945899E-2"/>
    <n v="-2.8657268892663801"/>
    <n v="0.46810448361909401"/>
    <n v="31120.372995834899"/>
    <n v="31120.372995834899"/>
    <n v="3240"/>
    <n v="-27072"/>
    <n v="31120.372995834899"/>
    <n v="4048.3729958349199"/>
    <n v="-27072"/>
    <n v="31120.372995834899"/>
    <n v="4048.3729958349199"/>
    <n v="1.9232185361691901E-2"/>
    <n v="40.3366666666669"/>
    <m/>
    <m/>
    <m/>
    <m/>
    <m/>
    <m/>
    <n v="0"/>
    <n v="720"/>
    <n v="72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6-12 45.00 - Base"/>
    <d v="2012-06-01T00:00:00"/>
    <d v="2012-06-30T00:00:00"/>
    <d v="2012-06-30T00:00:00"/>
    <n v="45"/>
    <s v="Active"/>
    <n v="10"/>
    <n v="720"/>
    <n v="4.21"/>
    <n v="-30312"/>
    <n v="8.9265217603722107"/>
    <n v="-0.53159507880236101"/>
    <n v="2.5500479676983202E-2"/>
    <n v="12.8769694306527"/>
    <n v="-1.1983717676506101E-2"/>
    <n v="-5.9184062082467799"/>
    <n v="0.46810448361909401"/>
    <n v="64270.956674679903"/>
    <n v="64270.956674679903"/>
    <n v="3240"/>
    <n v="-27072"/>
    <n v="64270.956674679903"/>
    <n v="37198.956674679903"/>
    <n v="-27072"/>
    <n v="64270.956674679903"/>
    <n v="37198.956674679903"/>
    <n v="1.9232185361691901E-2"/>
    <n v="40.3366666666669"/>
    <m/>
    <m/>
    <m/>
    <m/>
    <m/>
    <m/>
    <n v="0"/>
    <n v="720"/>
    <n v="72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6-12 45.00 - Base"/>
    <d v="2012-06-01T00:00:00"/>
    <d v="2012-06-30T00:00:00"/>
    <d v="2012-06-30T00:00:00"/>
    <n v="45"/>
    <s v="Active"/>
    <n v="10"/>
    <n v="720"/>
    <n v="4.21"/>
    <n v="-30312"/>
    <n v="1.9175128498510099"/>
    <n v="0.35696458885966798"/>
    <n v="4.1831253579769398E-2"/>
    <n v="12.257066236946001"/>
    <n v="-6.6578096863136602E-3"/>
    <n v="-1.2713372867505299"/>
    <n v="0.26688940188862997"/>
    <n v="13806.0925189273"/>
    <n v="13806.0925189273"/>
    <n v="3240"/>
    <n v="-27072"/>
    <n v="13806.0925189273"/>
    <n v="-13265.9074810727"/>
    <n v="-27072"/>
    <n v="13806.0925189273"/>
    <n v="-13265.9074810727"/>
    <n v="1.9232185361691901E-2"/>
    <n v="40.692644260961799"/>
    <m/>
    <m/>
    <m/>
    <m/>
    <m/>
    <m/>
    <n v="0"/>
    <n v="720"/>
    <n v="72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6-12 45.00 - Base"/>
    <d v="2012-06-01T00:00:00"/>
    <d v="2012-06-30T00:00:00"/>
    <d v="2012-06-30T00:00:00"/>
    <n v="45"/>
    <s v="Active"/>
    <n v="10"/>
    <n v="720"/>
    <n v="4.21"/>
    <n v="-30312"/>
    <n v="6.1702933139189398"/>
    <n v="-0.63036516092728201"/>
    <n v="4.1831253579769398E-2"/>
    <n v="12.257066236946001"/>
    <n v="-6.4337267762108203E-3"/>
    <n v="-4.0909889916941999"/>
    <n v="0.26688940188862997"/>
    <n v="44426.111860216399"/>
    <n v="44426.111860216399"/>
    <n v="3240"/>
    <n v="-27072"/>
    <n v="44426.111860216399"/>
    <n v="17354.111860216399"/>
    <n v="-27072"/>
    <n v="44426.111860216399"/>
    <n v="17354.111860216399"/>
    <n v="1.9232185361691901E-2"/>
    <n v="40.692644260961799"/>
    <m/>
    <m/>
    <m/>
    <m/>
    <m/>
    <m/>
    <n v="0"/>
    <n v="720"/>
    <n v="720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1-10 45.00 - Peak"/>
    <d v="2010-01-01T00:00:00"/>
    <d v="2010-01-31T00:00:00"/>
    <d v="2010-01-31T00:00:00"/>
    <n v="45"/>
    <s v="Expired"/>
    <n v="10"/>
    <n v="252"/>
    <n v="4.21"/>
    <n v="-10609.2"/>
    <n v="0"/>
    <n v="0"/>
    <n v="0"/>
    <n v="0"/>
    <n v="0"/>
    <n v="0"/>
    <n v="0"/>
    <n v="0"/>
    <n v="0"/>
    <n v="1134"/>
    <n v="43468.6"/>
    <n v="0"/>
    <n v="43468.6"/>
    <n v="43468.6"/>
    <n v="0"/>
    <n v="43468.6"/>
    <n v="0"/>
    <n v="0"/>
    <m/>
    <m/>
    <m/>
    <m/>
    <m/>
    <m/>
    <n v="0"/>
    <n v="8784"/>
    <n v="8784"/>
    <n v="1"/>
    <n v="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1-10 45.00 - Peak"/>
    <d v="2010-01-01T00:00:00"/>
    <d v="2010-01-31T00:00:00"/>
    <d v="2010-01-31T00:00:00"/>
    <n v="45"/>
    <s v="Expired"/>
    <n v="10"/>
    <n v="252"/>
    <n v="4.21"/>
    <n v="-10609.2"/>
    <n v="0"/>
    <n v="0"/>
    <n v="0"/>
    <n v="0"/>
    <n v="0"/>
    <n v="0"/>
    <n v="0"/>
    <n v="0"/>
    <n v="0"/>
    <n v="1134"/>
    <n v="-9475.2000000000007"/>
    <n v="0"/>
    <n v="-9475.2000000000007"/>
    <n v="-9475.2000000000007"/>
    <n v="0"/>
    <n v="-9475.2000000000007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1-10 45.00 - Base"/>
    <d v="2010-01-01T00:00:00"/>
    <d v="2010-01-31T00:00:00"/>
    <d v="2010-01-31T00:00:00"/>
    <n v="45"/>
    <s v="Expired"/>
    <n v="10"/>
    <n v="744"/>
    <n v="4.21"/>
    <n v="-31322.400000000001"/>
    <n v="0"/>
    <n v="0"/>
    <n v="0"/>
    <n v="0"/>
    <n v="0"/>
    <n v="0"/>
    <n v="0"/>
    <n v="0"/>
    <n v="0"/>
    <n v="3348"/>
    <n v="34388.899999999703"/>
    <n v="0"/>
    <n v="34388.899999999703"/>
    <n v="34388.899999999703"/>
    <n v="0"/>
    <n v="34388.899999999703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1-10 45.00 - Base"/>
    <d v="2010-01-01T00:00:00"/>
    <d v="2010-01-31T00:00:00"/>
    <d v="2010-01-31T00:00:00"/>
    <n v="45"/>
    <s v="Expired"/>
    <n v="10"/>
    <n v="744"/>
    <n v="4.21"/>
    <n v="-31322.400000000001"/>
    <n v="0"/>
    <n v="0"/>
    <n v="0"/>
    <n v="0"/>
    <n v="0"/>
    <n v="0"/>
    <n v="0"/>
    <n v="0"/>
    <n v="0"/>
    <n v="3348"/>
    <n v="-27974.400000000001"/>
    <n v="0"/>
    <n v="-27974.400000000001"/>
    <n v="-27974.400000000001"/>
    <n v="0"/>
    <n v="-27974.400000000001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M01-10 45.00 - Base"/>
    <d v="2010-01-01T00:00:00"/>
    <d v="2010-01-31T00:00:00"/>
    <d v="2010-01-31T00:00:00"/>
    <n v="45"/>
    <s v="Expired"/>
    <n v="10"/>
    <n v="744"/>
    <n v="4.21"/>
    <n v="-31322.400000000001"/>
    <n v="0"/>
    <n v="0"/>
    <n v="0"/>
    <n v="0"/>
    <n v="0"/>
    <n v="0"/>
    <n v="0"/>
    <n v="0"/>
    <n v="0"/>
    <n v="3348"/>
    <n v="10575.4999999995"/>
    <n v="0"/>
    <n v="10575.4999999995"/>
    <n v="10575.4999999995"/>
    <n v="0"/>
    <n v="10575.4999999995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M01-10 45.00 - Base"/>
    <d v="2010-01-01T00:00:00"/>
    <d v="2010-01-31T00:00:00"/>
    <d v="2010-01-31T00:00:00"/>
    <n v="45"/>
    <s v="Expired"/>
    <n v="10"/>
    <n v="744"/>
    <n v="4.21"/>
    <n v="-31322.400000000001"/>
    <n v="0"/>
    <n v="0"/>
    <n v="0"/>
    <n v="0"/>
    <n v="0"/>
    <n v="0"/>
    <n v="0"/>
    <n v="0"/>
    <n v="0"/>
    <n v="3348"/>
    <n v="-27974.400000000001"/>
    <n v="0"/>
    <n v="-27974.400000000001"/>
    <n v="-27974.400000000001"/>
    <n v="0"/>
    <n v="-27974.400000000001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0 45.00 - Peak"/>
    <d v="2010-01-01T00:00:00"/>
    <d v="2010-12-31T00:00:00"/>
    <d v="2010-12-31T00:00:00"/>
    <n v="45"/>
    <s v="Expired"/>
    <n v="10"/>
    <n v="3132"/>
    <n v="4.21"/>
    <n v="-131857.20000000001"/>
    <n v="0"/>
    <n v="0"/>
    <n v="0"/>
    <n v="0"/>
    <n v="0"/>
    <n v="0"/>
    <n v="0"/>
    <n v="0"/>
    <n v="0"/>
    <n v="14094"/>
    <n v="317952.10000000102"/>
    <n v="0"/>
    <n v="317952.10000000102"/>
    <n v="317952.10000000102"/>
    <n v="0"/>
    <n v="317952.10000000102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0 45.00 - Peak"/>
    <d v="2010-01-01T00:00:00"/>
    <d v="2010-12-31T00:00:00"/>
    <d v="2010-12-31T00:00:00"/>
    <n v="45"/>
    <s v="Expired"/>
    <n v="10"/>
    <n v="3132"/>
    <n v="4.21"/>
    <n v="-131857.20000000001"/>
    <n v="0"/>
    <n v="0"/>
    <n v="0"/>
    <n v="0"/>
    <n v="0"/>
    <n v="0"/>
    <n v="0"/>
    <n v="0"/>
    <n v="0"/>
    <n v="14094"/>
    <n v="-117763.2"/>
    <n v="0"/>
    <n v="-117763.2"/>
    <n v="-117763.2"/>
    <n v="0"/>
    <n v="-117763.2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0 45.00 - Base"/>
    <d v="2010-01-01T00:00:00"/>
    <d v="2010-12-31T00:00:00"/>
    <d v="2010-12-31T00:00:00"/>
    <n v="45"/>
    <s v="Expired"/>
    <n v="10"/>
    <n v="8760"/>
    <n v="4.21"/>
    <n v="-368796"/>
    <n v="0"/>
    <n v="0"/>
    <n v="0"/>
    <n v="0"/>
    <n v="0"/>
    <n v="0"/>
    <n v="0"/>
    <n v="0"/>
    <n v="0"/>
    <n v="39420"/>
    <n v="376583.300000021"/>
    <n v="0"/>
    <n v="376583.300000021"/>
    <n v="376583.300000021"/>
    <n v="0"/>
    <n v="376583.300000021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0 45.00 - Base"/>
    <d v="2010-01-01T00:00:00"/>
    <d v="2010-12-31T00:00:00"/>
    <d v="2010-12-31T00:00:00"/>
    <n v="45"/>
    <s v="Expired"/>
    <n v="10"/>
    <n v="8760"/>
    <n v="4.21"/>
    <n v="-368796"/>
    <n v="0"/>
    <n v="0"/>
    <n v="0"/>
    <n v="0"/>
    <n v="0"/>
    <n v="0"/>
    <n v="0"/>
    <n v="0"/>
    <n v="0"/>
    <n v="39420"/>
    <n v="-329376"/>
    <n v="0"/>
    <n v="-329376"/>
    <n v="-329376"/>
    <n v="0"/>
    <n v="-329376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YR-10 45.00 - Base"/>
    <d v="2010-01-01T00:00:00"/>
    <d v="2010-12-31T00:00:00"/>
    <d v="2010-12-31T00:00:00"/>
    <n v="45"/>
    <s v="Expired"/>
    <n v="10"/>
    <n v="8760"/>
    <n v="4.21"/>
    <n v="-368796"/>
    <n v="0"/>
    <n v="0"/>
    <n v="0"/>
    <n v="0"/>
    <n v="0"/>
    <n v="0"/>
    <n v="0"/>
    <n v="0"/>
    <n v="0"/>
    <n v="39420"/>
    <n v="480964.30000001303"/>
    <n v="0"/>
    <n v="480964.30000001303"/>
    <n v="480964.30000001303"/>
    <n v="0"/>
    <n v="480964.30000001303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YR-10 45.00 - Base"/>
    <d v="2010-01-01T00:00:00"/>
    <d v="2010-12-31T00:00:00"/>
    <d v="2010-12-31T00:00:00"/>
    <n v="45"/>
    <s v="Expired"/>
    <n v="10"/>
    <n v="8760"/>
    <n v="4.21"/>
    <n v="-368796"/>
    <n v="0"/>
    <n v="0"/>
    <n v="0"/>
    <n v="0"/>
    <n v="0"/>
    <n v="0"/>
    <n v="0"/>
    <n v="0"/>
    <n v="0"/>
    <n v="39420"/>
    <n v="-329376"/>
    <n v="0"/>
    <n v="-329376"/>
    <n v="-329376"/>
    <n v="0"/>
    <n v="-329376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4-10 45.00 - Peak"/>
    <d v="2010-10-01T00:00:00"/>
    <d v="2010-12-31T00:00:00"/>
    <d v="2010-12-31T00:00:00"/>
    <n v="45"/>
    <s v="Expired"/>
    <n v="10"/>
    <n v="792"/>
    <n v="4.21"/>
    <n v="-33343.199999999997"/>
    <n v="0"/>
    <n v="0"/>
    <n v="0"/>
    <n v="0"/>
    <n v="0"/>
    <n v="0"/>
    <n v="0"/>
    <n v="0"/>
    <n v="0"/>
    <n v="3564"/>
    <n v="156117.79999999999"/>
    <n v="0"/>
    <n v="156117.79999999999"/>
    <n v="156117.79999999999"/>
    <n v="0"/>
    <n v="156117.79999999999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4-10 45.00 - Peak"/>
    <d v="2010-10-01T00:00:00"/>
    <d v="2010-12-31T00:00:00"/>
    <d v="2010-12-31T00:00:00"/>
    <n v="45"/>
    <s v="Expired"/>
    <n v="10"/>
    <n v="792"/>
    <n v="4.21"/>
    <n v="-33343.199999999997"/>
    <n v="0"/>
    <n v="0"/>
    <n v="0"/>
    <n v="0"/>
    <n v="0"/>
    <n v="0"/>
    <n v="0"/>
    <n v="0"/>
    <n v="0"/>
    <n v="3564"/>
    <n v="-29779.200000000001"/>
    <n v="0"/>
    <n v="-29779.200000000001"/>
    <n v="-29779.200000000001"/>
    <n v="0"/>
    <n v="-29779.200000000001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4-10 45.00 - Base"/>
    <d v="2010-10-01T00:00:00"/>
    <d v="2010-12-31T00:00:00"/>
    <d v="2010-12-31T00:00:00"/>
    <n v="45"/>
    <s v="Expired"/>
    <n v="10"/>
    <n v="2209"/>
    <n v="4.21"/>
    <n v="-92998.9"/>
    <n v="0"/>
    <n v="0"/>
    <n v="0"/>
    <n v="0"/>
    <n v="0"/>
    <n v="0"/>
    <n v="0"/>
    <n v="0"/>
    <n v="0"/>
    <n v="9940.5"/>
    <n v="294709.70000000199"/>
    <n v="0"/>
    <n v="294709.70000000199"/>
    <n v="294709.70000000199"/>
    <n v="0"/>
    <n v="294709.70000000199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4-10 45.00 - Base"/>
    <d v="2010-10-01T00:00:00"/>
    <d v="2010-12-31T00:00:00"/>
    <d v="2010-12-31T00:00:00"/>
    <n v="45"/>
    <s v="Expired"/>
    <n v="10"/>
    <n v="2209"/>
    <n v="4.21"/>
    <n v="-92998.9"/>
    <n v="0"/>
    <n v="0"/>
    <n v="0"/>
    <n v="0"/>
    <n v="0"/>
    <n v="0"/>
    <n v="0"/>
    <n v="0"/>
    <n v="0"/>
    <n v="9940.5"/>
    <n v="-83058.399999999994"/>
    <n v="0"/>
    <n v="-83058.399999999994"/>
    <n v="-83058.399999999994"/>
    <n v="0"/>
    <n v="-83058.399999999994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C/A Q4-10 45.00 - Base"/>
    <d v="2010-10-01T00:00:00"/>
    <d v="2010-12-31T00:00:00"/>
    <d v="2010-12-31T00:00:00"/>
    <n v="45"/>
    <s v="Expired"/>
    <n v="10"/>
    <n v="2209"/>
    <n v="4.21"/>
    <n v="-92998.9"/>
    <n v="0"/>
    <n v="0"/>
    <n v="0"/>
    <n v="0"/>
    <n v="0"/>
    <n v="0"/>
    <n v="0"/>
    <n v="0"/>
    <n v="0"/>
    <n v="9940.5"/>
    <n v="300326.900000002"/>
    <n v="0"/>
    <n v="300326.900000002"/>
    <n v="300326.900000002"/>
    <n v="0"/>
    <n v="300326.900000002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NordPool System Price"/>
    <x v="1"/>
    <s v="ASIP/A Q4-10 45.00 - Base"/>
    <d v="2010-10-01T00:00:00"/>
    <d v="2010-12-31T00:00:00"/>
    <d v="2010-12-31T00:00:00"/>
    <n v="45"/>
    <s v="Expired"/>
    <n v="10"/>
    <n v="2209"/>
    <n v="4.21"/>
    <n v="-92998.9"/>
    <n v="0"/>
    <n v="0"/>
    <n v="0"/>
    <n v="0"/>
    <n v="0"/>
    <n v="0"/>
    <n v="0"/>
    <n v="0"/>
    <n v="0"/>
    <n v="9940.5"/>
    <n v="-83058.399999999994"/>
    <n v="0"/>
    <n v="-83058.399999999994"/>
    <n v="-83058.399999999994"/>
    <n v="0"/>
    <n v="-83058.399999999994"/>
    <m/>
    <n v="0"/>
    <m/>
    <m/>
    <m/>
    <m/>
    <m/>
    <m/>
    <m/>
    <m/>
    <m/>
    <e v="#DIV/0!"/>
    <e v="#DIV/0!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" firstHeaderRow="1" firstDataRow="1" firstDataCol="1"/>
  <pivotFields count="76"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Bkvalue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6"/>
  <sheetViews>
    <sheetView workbookViewId="0">
      <selection activeCell="A25" sqref="A25"/>
    </sheetView>
  </sheetViews>
  <sheetFormatPr defaultRowHeight="15" x14ac:dyDescent="0.25"/>
  <cols>
    <col min="1" max="1" width="23.85546875" bestFit="1" customWidth="1"/>
    <col min="2" max="2" width="14.7109375" bestFit="1" customWidth="1"/>
  </cols>
  <sheetData>
    <row r="3" spans="1:2" x14ac:dyDescent="0.25">
      <c r="A3" s="28" t="s">
        <v>90</v>
      </c>
      <c r="B3" t="s">
        <v>93</v>
      </c>
    </row>
    <row r="4" spans="1:2" x14ac:dyDescent="0.25">
      <c r="A4" s="29" t="s">
        <v>83</v>
      </c>
      <c r="B4" s="21">
        <v>1314000</v>
      </c>
    </row>
    <row r="5" spans="1:2" x14ac:dyDescent="0.25">
      <c r="A5" s="29" t="s">
        <v>91</v>
      </c>
      <c r="B5" s="21">
        <v>-5961696.8000000017</v>
      </c>
    </row>
    <row r="6" spans="1:2" x14ac:dyDescent="0.25">
      <c r="A6" s="29" t="s">
        <v>92</v>
      </c>
      <c r="B6" s="21">
        <v>-4647696.8000000017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CC68"/>
  <sheetViews>
    <sheetView topLeftCell="B1" workbookViewId="0">
      <selection activeCell="B1" sqref="A1:XFD1048576"/>
    </sheetView>
  </sheetViews>
  <sheetFormatPr defaultColWidth="11.42578125" defaultRowHeight="15" x14ac:dyDescent="0.25"/>
  <cols>
    <col min="1" max="1" width="34.28515625" bestFit="1" customWidth="1"/>
    <col min="2" max="2" width="21.5703125" bestFit="1" customWidth="1"/>
    <col min="3" max="3" width="37.5703125" bestFit="1" customWidth="1"/>
    <col min="4" max="4" width="27.42578125" bestFit="1" customWidth="1"/>
    <col min="5" max="5" width="15.28515625" bestFit="1" customWidth="1"/>
    <col min="6" max="6" width="22.85546875" customWidth="1"/>
    <col min="7" max="7" width="10.7109375" bestFit="1" customWidth="1"/>
    <col min="21" max="21" width="13.5703125" customWidth="1"/>
    <col min="29" max="29" width="12" bestFit="1" customWidth="1"/>
    <col min="30" max="30" width="12.7109375" bestFit="1" customWidth="1"/>
    <col min="31" max="31" width="15.42578125" bestFit="1" customWidth="1"/>
    <col min="32" max="34" width="11.42578125" style="22"/>
    <col min="35" max="35" width="13.140625" style="22" bestFit="1" customWidth="1"/>
    <col min="36" max="36" width="45.5703125" style="24" bestFit="1" customWidth="1"/>
    <col min="37" max="37" width="12.5703125" style="25" bestFit="1" customWidth="1"/>
    <col min="38" max="41" width="11.42578125" style="25"/>
    <col min="42" max="42" width="12" style="25" bestFit="1" customWidth="1"/>
    <col min="45" max="45" width="13.5703125" style="22" bestFit="1" customWidth="1"/>
    <col min="47" max="48" width="12" bestFit="1" customWidth="1"/>
    <col min="49" max="49" width="12.7109375" bestFit="1" customWidth="1"/>
    <col min="51" max="51" width="16.42578125" bestFit="1" customWidth="1"/>
    <col min="54" max="54" width="14.7109375" style="30" bestFit="1" customWidth="1"/>
    <col min="56" max="56" width="14.28515625" bestFit="1" customWidth="1"/>
    <col min="57" max="57" width="16.42578125" bestFit="1" customWidth="1"/>
    <col min="62" max="62" width="11.42578125" style="7"/>
    <col min="63" max="63" width="14.28515625" style="22" bestFit="1" customWidth="1"/>
    <col min="64" max="64" width="15" bestFit="1" customWidth="1"/>
    <col min="65" max="65" width="12.7109375" bestFit="1" customWidth="1"/>
    <col min="67" max="67" width="12.28515625" bestFit="1" customWidth="1"/>
    <col min="68" max="68" width="15" bestFit="1" customWidth="1"/>
    <col min="69" max="69" width="14.85546875" bestFit="1" customWidth="1"/>
    <col min="70" max="70" width="17.140625" bestFit="1" customWidth="1"/>
  </cols>
  <sheetData>
    <row r="2" spans="1:81" ht="13.5" customHeight="1" x14ac:dyDescent="0.25">
      <c r="B2" s="7"/>
      <c r="C2" s="7"/>
      <c r="D2" s="7"/>
      <c r="E2" s="7"/>
      <c r="F2" s="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Q2" s="7"/>
      <c r="AR2" s="7"/>
      <c r="AT2" s="7"/>
      <c r="AU2" s="7"/>
      <c r="AV2" s="7"/>
      <c r="AW2" s="7"/>
      <c r="AX2" s="7"/>
      <c r="AY2" s="7"/>
      <c r="AZ2" s="7"/>
      <c r="BA2" s="7"/>
      <c r="BC2" s="7"/>
      <c r="BD2" s="7"/>
      <c r="BE2" s="7"/>
      <c r="BF2" s="7"/>
      <c r="BG2" s="7"/>
      <c r="BH2" s="7"/>
      <c r="BI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</row>
    <row r="3" spans="1:81" x14ac:dyDescent="0.25">
      <c r="B3" s="7"/>
      <c r="C3" s="7"/>
      <c r="D3" s="6" t="s">
        <v>66</v>
      </c>
      <c r="E3" s="7"/>
      <c r="F3" s="5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14"/>
      <c r="AE3" s="7"/>
      <c r="AQ3" s="7"/>
      <c r="AR3" s="7"/>
      <c r="AT3" s="7"/>
      <c r="AU3" s="7"/>
      <c r="AV3" s="7"/>
      <c r="AW3" s="7"/>
      <c r="AX3" s="7"/>
      <c r="AY3" s="7"/>
      <c r="AZ3" s="7"/>
      <c r="BA3" s="7"/>
      <c r="BC3" s="7"/>
      <c r="BD3" s="7"/>
      <c r="BE3" s="7"/>
      <c r="BF3" s="7"/>
      <c r="BG3" s="7"/>
      <c r="BH3" s="7"/>
      <c r="BI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</row>
    <row r="4" spans="1:81" x14ac:dyDescent="0.25">
      <c r="B4" s="7"/>
      <c r="C4" s="7"/>
      <c r="D4" s="9" t="s">
        <v>62</v>
      </c>
      <c r="E4" s="7"/>
      <c r="F4" s="5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Q4" s="7"/>
      <c r="AR4" s="7"/>
      <c r="AT4" s="7"/>
      <c r="AU4" s="7"/>
      <c r="AV4" s="7"/>
      <c r="AW4" s="7"/>
      <c r="AX4" s="7"/>
      <c r="AY4" s="7"/>
      <c r="AZ4" s="7"/>
      <c r="BA4" s="7"/>
      <c r="BC4" s="7"/>
      <c r="BD4" s="7"/>
      <c r="BE4" s="7"/>
      <c r="BF4" s="7"/>
      <c r="BG4" s="7"/>
      <c r="BH4" s="7"/>
      <c r="BI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</row>
    <row r="5" spans="1:81" x14ac:dyDescent="0.25">
      <c r="B5" s="7"/>
      <c r="C5" s="7"/>
      <c r="D5" s="2" t="s">
        <v>64</v>
      </c>
      <c r="E5" s="7"/>
      <c r="F5" s="5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Q5" s="7"/>
      <c r="AR5" s="7"/>
      <c r="AT5" s="7"/>
      <c r="AU5" s="7"/>
      <c r="AV5" s="7"/>
      <c r="AW5" s="7"/>
      <c r="AX5" s="7"/>
      <c r="AY5" s="7"/>
      <c r="AZ5" s="7"/>
      <c r="BA5" s="7"/>
      <c r="BC5" s="7"/>
      <c r="BD5" s="7"/>
      <c r="BE5" s="7"/>
      <c r="BF5" s="7"/>
      <c r="BG5" s="7"/>
      <c r="BH5" s="7"/>
      <c r="BI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</row>
    <row r="6" spans="1:81" x14ac:dyDescent="0.25">
      <c r="B6" s="7"/>
      <c r="C6" s="7"/>
      <c r="D6" s="4" t="s">
        <v>65</v>
      </c>
      <c r="E6" s="7"/>
      <c r="F6" s="5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Q6" s="7"/>
      <c r="AR6" s="7"/>
      <c r="AT6" s="7"/>
      <c r="AU6" s="7"/>
      <c r="AV6" s="7"/>
      <c r="AW6" s="7"/>
      <c r="AX6" s="7"/>
      <c r="AY6" s="7"/>
      <c r="AZ6" s="7"/>
      <c r="BA6" s="7"/>
      <c r="BC6" s="7"/>
      <c r="BD6" s="7"/>
      <c r="BE6" s="7"/>
      <c r="BF6" s="7"/>
      <c r="BG6" s="7"/>
      <c r="BH6" s="7"/>
      <c r="BI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</row>
    <row r="7" spans="1:81" s="7" customFormat="1" x14ac:dyDescent="0.25">
      <c r="D7" s="19"/>
      <c r="F7" s="5"/>
      <c r="AF7" s="22"/>
      <c r="AG7" s="22"/>
      <c r="AH7" s="22"/>
      <c r="AI7" s="22"/>
      <c r="AJ7" s="24"/>
      <c r="AK7" s="25"/>
      <c r="AL7" s="25"/>
      <c r="AM7" s="25"/>
      <c r="AN7" s="25"/>
      <c r="AO7" s="25"/>
      <c r="AP7" s="25"/>
      <c r="AS7" s="22"/>
      <c r="BB7" s="30"/>
      <c r="BK7" s="22"/>
    </row>
    <row r="8" spans="1:81" s="7" customFormat="1" ht="93" customHeight="1" x14ac:dyDescent="0.25">
      <c r="D8" s="7" t="s">
        <v>61</v>
      </c>
      <c r="E8" s="13" t="s">
        <v>76</v>
      </c>
      <c r="F8" s="5"/>
      <c r="AD8" s="21"/>
      <c r="AF8" s="22"/>
      <c r="AG8" s="22"/>
      <c r="AH8" s="22"/>
      <c r="AI8" s="22"/>
      <c r="AJ8" s="24"/>
      <c r="AK8" s="25"/>
      <c r="AL8" s="25"/>
      <c r="AM8" s="25"/>
      <c r="AN8" s="25"/>
      <c r="AO8" s="25"/>
      <c r="AP8" s="25"/>
      <c r="AS8" s="22"/>
      <c r="BB8" s="30"/>
      <c r="BK8" s="22"/>
    </row>
    <row r="9" spans="1:81" s="7" customFormat="1" x14ac:dyDescent="0.25">
      <c r="D9" s="7" t="s">
        <v>63</v>
      </c>
      <c r="E9" s="5">
        <v>40849</v>
      </c>
      <c r="F9" s="5"/>
      <c r="AB9" s="23"/>
      <c r="AE9" s="24"/>
      <c r="AF9" s="22"/>
      <c r="AG9" s="22"/>
      <c r="AH9" s="22"/>
      <c r="AI9" s="22"/>
      <c r="AJ9" s="24"/>
      <c r="AK9" s="25"/>
      <c r="AL9" s="25"/>
      <c r="AM9" s="25"/>
      <c r="AN9" s="25"/>
      <c r="AO9" s="25"/>
      <c r="AP9" s="25"/>
      <c r="AS9" s="22"/>
      <c r="BB9" s="30"/>
      <c r="BK9" s="22"/>
    </row>
    <row r="10" spans="1:81" s="7" customFormat="1" x14ac:dyDescent="0.25">
      <c r="D10" s="19"/>
      <c r="F10" s="5"/>
      <c r="AF10" s="22"/>
      <c r="AG10" s="22"/>
      <c r="AH10" s="22"/>
      <c r="AI10" s="22"/>
      <c r="AJ10" s="24"/>
      <c r="AK10" s="25"/>
      <c r="AL10" s="25"/>
      <c r="AM10" s="25"/>
      <c r="AN10" s="25"/>
      <c r="AO10" s="25"/>
      <c r="AP10" s="25"/>
      <c r="AS10" s="22"/>
      <c r="BB10" s="30"/>
      <c r="BK10" s="22"/>
    </row>
    <row r="11" spans="1:81" x14ac:dyDescent="0.2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Q11" s="7"/>
      <c r="AR11" s="7"/>
      <c r="AT11" s="7"/>
      <c r="AU11" s="7"/>
      <c r="AV11" s="7"/>
      <c r="AW11" s="7"/>
      <c r="AX11" s="7"/>
      <c r="AY11" s="7"/>
      <c r="AZ11" s="7"/>
      <c r="BA11" s="7"/>
      <c r="BC11" s="7"/>
      <c r="BD11" s="7"/>
      <c r="BE11" s="7"/>
      <c r="BF11" s="7"/>
      <c r="BG11" s="7"/>
      <c r="BH11" s="7"/>
      <c r="BI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</row>
    <row r="12" spans="1:81" s="47" customFormat="1" x14ac:dyDescent="0.25">
      <c r="A12" s="47" t="s">
        <v>102</v>
      </c>
      <c r="B12" s="48" t="s">
        <v>8</v>
      </c>
      <c r="C12" s="48" t="s">
        <v>17</v>
      </c>
      <c r="D12" s="48" t="s">
        <v>9</v>
      </c>
      <c r="E12" s="48" t="s">
        <v>10</v>
      </c>
      <c r="F12" s="48" t="s">
        <v>11</v>
      </c>
      <c r="G12" s="48" t="s">
        <v>1</v>
      </c>
      <c r="H12" s="48" t="s">
        <v>2</v>
      </c>
      <c r="I12" s="48" t="s">
        <v>12</v>
      </c>
      <c r="J12" s="48" t="s">
        <v>13</v>
      </c>
      <c r="K12" s="48" t="s">
        <v>0</v>
      </c>
      <c r="L12" s="48" t="s">
        <v>14</v>
      </c>
      <c r="M12" s="48" t="s">
        <v>15</v>
      </c>
      <c r="N12" s="48" t="s">
        <v>16</v>
      </c>
      <c r="O12" s="48" t="s">
        <v>18</v>
      </c>
      <c r="P12" s="48" t="s">
        <v>19</v>
      </c>
      <c r="Q12" s="48" t="s">
        <v>20</v>
      </c>
      <c r="R12" s="48" t="s">
        <v>5</v>
      </c>
      <c r="S12" s="48" t="s">
        <v>6</v>
      </c>
      <c r="T12" s="48" t="s">
        <v>4</v>
      </c>
      <c r="U12" s="48" t="s">
        <v>21</v>
      </c>
      <c r="V12" s="48" t="s">
        <v>22</v>
      </c>
      <c r="W12" s="48" t="s">
        <v>23</v>
      </c>
      <c r="X12" s="48" t="s">
        <v>24</v>
      </c>
      <c r="Y12" s="48" t="s">
        <v>25</v>
      </c>
      <c r="Z12" s="48" t="s">
        <v>26</v>
      </c>
      <c r="AA12" s="48" t="s">
        <v>27</v>
      </c>
      <c r="AB12" s="48" t="s">
        <v>28</v>
      </c>
      <c r="AC12" s="48" t="s">
        <v>29</v>
      </c>
      <c r="AD12" s="8" t="s">
        <v>84</v>
      </c>
      <c r="AE12" s="26" t="s">
        <v>85</v>
      </c>
      <c r="AF12" s="26" t="s">
        <v>68</v>
      </c>
      <c r="AG12" s="26" t="s">
        <v>69</v>
      </c>
      <c r="AH12" s="26" t="s">
        <v>70</v>
      </c>
      <c r="AI12" s="26" t="s">
        <v>71</v>
      </c>
      <c r="AJ12" s="26" t="s">
        <v>9</v>
      </c>
      <c r="AK12" s="26" t="s">
        <v>77</v>
      </c>
      <c r="AL12" s="26" t="s">
        <v>78</v>
      </c>
      <c r="AM12" s="26" t="s">
        <v>79</v>
      </c>
      <c r="AN12" s="26" t="s">
        <v>80</v>
      </c>
      <c r="AO12" s="26" t="s">
        <v>81</v>
      </c>
      <c r="AP12" s="26" t="s">
        <v>82</v>
      </c>
      <c r="AQ12" s="49" t="s">
        <v>31</v>
      </c>
      <c r="AR12" s="49" t="s">
        <v>30</v>
      </c>
      <c r="AS12" s="49" t="s">
        <v>74</v>
      </c>
      <c r="AT12" s="49" t="s">
        <v>32</v>
      </c>
      <c r="AU12" s="49" t="s">
        <v>33</v>
      </c>
      <c r="AV12" s="49" t="s">
        <v>34</v>
      </c>
      <c r="AW12" s="49" t="s">
        <v>35</v>
      </c>
      <c r="AX12" s="49" t="s">
        <v>36</v>
      </c>
      <c r="AY12" s="11" t="s">
        <v>37</v>
      </c>
      <c r="AZ12" s="11" t="s">
        <v>38</v>
      </c>
      <c r="BA12" s="11" t="s">
        <v>39</v>
      </c>
      <c r="BB12" s="11" t="s">
        <v>94</v>
      </c>
      <c r="BC12" s="11" t="s">
        <v>40</v>
      </c>
      <c r="BD12" s="11" t="s">
        <v>41</v>
      </c>
      <c r="BE12" s="11" t="s">
        <v>42</v>
      </c>
      <c r="BF12" s="11" t="s">
        <v>43</v>
      </c>
      <c r="BG12" s="11" t="s">
        <v>44</v>
      </c>
      <c r="BH12" s="11" t="s">
        <v>45</v>
      </c>
      <c r="BI12" s="11" t="s">
        <v>46</v>
      </c>
      <c r="BJ12" s="12" t="s">
        <v>67</v>
      </c>
      <c r="BK12" s="12" t="s">
        <v>56</v>
      </c>
      <c r="BL12" s="12" t="s">
        <v>47</v>
      </c>
      <c r="BM12" s="12" t="s">
        <v>48</v>
      </c>
      <c r="BN12" s="12" t="s">
        <v>49</v>
      </c>
      <c r="BO12" s="12" t="s">
        <v>57</v>
      </c>
      <c r="BP12" s="12" t="s">
        <v>50</v>
      </c>
      <c r="BQ12" s="12" t="s">
        <v>51</v>
      </c>
      <c r="BR12" s="12" t="s">
        <v>52</v>
      </c>
      <c r="BS12" s="12" t="s">
        <v>53</v>
      </c>
      <c r="BT12" s="12" t="s">
        <v>54</v>
      </c>
      <c r="BU12" s="12" t="s">
        <v>55</v>
      </c>
      <c r="BV12" s="12" t="s">
        <v>72</v>
      </c>
      <c r="BW12" s="12" t="s">
        <v>58</v>
      </c>
      <c r="BX12" s="12" t="s">
        <v>73</v>
      </c>
      <c r="BY12" s="12" t="s">
        <v>59</v>
      </c>
      <c r="BZ12" s="12" t="s">
        <v>60</v>
      </c>
    </row>
    <row r="13" spans="1:81" s="37" customFormat="1" x14ac:dyDescent="0.25">
      <c r="A13" s="46" t="s">
        <v>106</v>
      </c>
      <c r="B13" s="15" t="s">
        <v>75</v>
      </c>
      <c r="C13" s="18" t="s">
        <v>98</v>
      </c>
      <c r="D13" s="15" t="s">
        <v>86</v>
      </c>
      <c r="E13" s="31">
        <v>40868</v>
      </c>
      <c r="F13" s="31">
        <v>40868</v>
      </c>
      <c r="G13" s="27">
        <f t="shared" ref="G13:G19" si="0">F13</f>
        <v>40868</v>
      </c>
      <c r="H13" s="15">
        <v>30</v>
      </c>
      <c r="I13" s="15" t="s">
        <v>3</v>
      </c>
      <c r="J13" s="18">
        <v>10</v>
      </c>
      <c r="K13" s="18">
        <v>24</v>
      </c>
      <c r="L13" s="18">
        <v>15</v>
      </c>
      <c r="M13" s="15">
        <f t="shared" ref="M13:M19" si="1">-L13*K13*J13</f>
        <v>-3600</v>
      </c>
      <c r="N13" s="6">
        <v>17.592861864211201</v>
      </c>
      <c r="O13" s="6">
        <v>0.98504416121263205</v>
      </c>
      <c r="P13" s="6">
        <v>3.4408625700995499E-3</v>
      </c>
      <c r="Q13" s="6">
        <v>0.403346183677256</v>
      </c>
      <c r="R13" s="6">
        <v>-8.9233974198054504E-3</v>
      </c>
      <c r="S13" s="6">
        <v>-0.96399243091568199</v>
      </c>
      <c r="T13" s="6">
        <v>0.94624832968245898</v>
      </c>
      <c r="U13" s="16">
        <f t="shared" ref="U13:U19" si="2">N13*J13*K13</f>
        <v>4222.2868474106881</v>
      </c>
      <c r="V13" s="6">
        <v>4222.2868474106899</v>
      </c>
      <c r="W13" s="18">
        <v>0</v>
      </c>
      <c r="X13" s="6">
        <v>-3600</v>
      </c>
      <c r="Y13" s="6">
        <v>4222.2868474106899</v>
      </c>
      <c r="Z13" s="6">
        <v>622.28684741068605</v>
      </c>
      <c r="AA13" s="6">
        <v>-3600</v>
      </c>
      <c r="AB13" s="6">
        <v>4222.2868474106899</v>
      </c>
      <c r="AC13" s="6">
        <v>622.28684741068605</v>
      </c>
      <c r="AD13" s="9">
        <v>1.2826737536044699E-2</v>
      </c>
      <c r="AE13" s="9">
        <v>47.548211301812493</v>
      </c>
      <c r="AF13" s="9">
        <v>1</v>
      </c>
      <c r="AG13" s="9">
        <f t="shared" ref="AG13:AG19" si="3">J13*K13</f>
        <v>240</v>
      </c>
      <c r="AH13" s="9">
        <v>1</v>
      </c>
      <c r="AI13" s="9">
        <v>15</v>
      </c>
      <c r="AJ13" s="36" t="s">
        <v>98</v>
      </c>
      <c r="AK13" s="9"/>
      <c r="AL13" s="9">
        <v>0</v>
      </c>
      <c r="AM13" s="9">
        <v>24</v>
      </c>
      <c r="AN13" s="9">
        <f t="shared" ref="AN13:AN19" si="4">AL13+AM13</f>
        <v>24</v>
      </c>
      <c r="AO13" s="37">
        <f t="shared" ref="AO13:AO19" si="5">IF($E$9&gt;=E13,AM13/(AN13),1)</f>
        <v>1</v>
      </c>
      <c r="AP13" s="37">
        <f t="shared" ref="AP13:AP19" si="6">IF($E$9&gt;=E13,(AN13/AM13)*H13-(AL13/AM13)*AK13,H13)</f>
        <v>30</v>
      </c>
      <c r="AQ13" s="1" t="str">
        <f>MID(C13,4,1)</f>
        <v>C</v>
      </c>
      <c r="AR13" s="1">
        <f t="shared" ref="AR13:AR19" si="7">B76Future($E$9,AQ13,AE13,AP13,G13,T13,AD13)*AF13*AO13</f>
        <v>17.592861865381437</v>
      </c>
      <c r="AS13" s="1">
        <f t="shared" ref="AS13:AS19" si="8">AI13*AF13</f>
        <v>15</v>
      </c>
      <c r="AT13" s="1">
        <f t="shared" ref="AT13:AT19" si="9">B76Delta($E$9,AQ13,AE13,AP13,G13,T13,AD13)*AO13</f>
        <v>0.9850441611859978</v>
      </c>
      <c r="AU13" s="1">
        <f t="shared" ref="AU13:AU19" si="10">B76Gamma($E$9,AQ13,AE13,AP13,G13,T13,AD13)*AO13</f>
        <v>3.440862570099395E-3</v>
      </c>
      <c r="AV13" s="1">
        <f t="shared" ref="AV13:AV19" si="11">B76Vega($E$9,AQ13,AE13,AP13,G13,T13,AD13)*AO13</f>
        <v>0.4033461836772409</v>
      </c>
      <c r="AW13" s="1">
        <f t="shared" ref="AW13:AW19" si="12">B76Theta($E$9,AQ13,AE13,AP13,G13,T13,AD13)*AO13</f>
        <v>-8.9233974197640079E-3</v>
      </c>
      <c r="AX13" s="1">
        <f t="shared" ref="AX13:AX19" si="13">B76Rho($E$9,AQ13,AE13,AP13,G13,T13,AD13)*AO13</f>
        <v>-0.96399243097980469</v>
      </c>
      <c r="AY13" s="20">
        <f>-AS13*AG13*AH13</f>
        <v>-3600</v>
      </c>
      <c r="AZ13" s="1">
        <f t="shared" ref="AZ13:AZ19" si="14">AR13*AG13*AH13</f>
        <v>4222.2868476915446</v>
      </c>
      <c r="BA13" s="1">
        <f t="shared" ref="BA13:BA19" si="15">AZ13</f>
        <v>4222.2868476915446</v>
      </c>
      <c r="BB13" s="1">
        <f>IF($E$9&gt;=F13,MAX((AK13-H13)*AG13,0),0)</f>
        <v>0</v>
      </c>
      <c r="BC13" s="1">
        <v>0</v>
      </c>
      <c r="BD13" s="20">
        <f>AY13+BC13+BB13</f>
        <v>-3600</v>
      </c>
      <c r="BE13" s="1">
        <f t="shared" ref="BE13:BE19" si="16">BA13</f>
        <v>4222.2868476915446</v>
      </c>
      <c r="BF13" s="1">
        <f t="shared" ref="BF13:BF19" si="17">BD13+BE13</f>
        <v>622.28684769154461</v>
      </c>
      <c r="BG13" s="20">
        <f>BC13+AY13+BB13</f>
        <v>-3600</v>
      </c>
      <c r="BH13" s="1">
        <f t="shared" ref="BH13:BH19" si="18">BA13</f>
        <v>4222.2868476915446</v>
      </c>
      <c r="BI13" s="1">
        <f t="shared" ref="BI13:BI19" si="19">BG13+BH13</f>
        <v>622.28684769154461</v>
      </c>
      <c r="BJ13" s="12">
        <f>QaAssert(N13,AR13)</f>
        <v>0</v>
      </c>
      <c r="BK13" s="12">
        <f t="shared" ref="BK13:BK19" si="20">QaAssert(L13,AS13)</f>
        <v>0</v>
      </c>
      <c r="BL13" s="3">
        <f t="shared" ref="BL13:BL19" si="21">QaAssert(AY13,M13)</f>
        <v>0</v>
      </c>
      <c r="BM13" s="3">
        <f t="shared" ref="BM13:BM19" si="22">QaAssert(AZ13,U13)</f>
        <v>0</v>
      </c>
      <c r="BN13" s="3">
        <f t="shared" ref="BN13:BN19" si="23">QaAssert(BA13, V13)</f>
        <v>0</v>
      </c>
      <c r="BO13" s="3">
        <f>QaAssert(W13,BC13)</f>
        <v>0</v>
      </c>
      <c r="BP13" s="3">
        <f t="shared" ref="BP13:BP19" si="24">QaAssert(X13,BD13)</f>
        <v>0</v>
      </c>
      <c r="BQ13" s="3">
        <f t="shared" ref="BQ13:BQ19" si="25">QaAssert(Y13,BE13)</f>
        <v>0</v>
      </c>
      <c r="BR13" s="3">
        <f t="shared" ref="BR13:BR19" si="26">QaAssert(Z13,BF13)</f>
        <v>0</v>
      </c>
      <c r="BS13" s="3">
        <f t="shared" ref="BS13:BS19" si="27">QaAssert(AA13,BG13)</f>
        <v>0</v>
      </c>
      <c r="BT13" s="3">
        <f t="shared" ref="BT13:BT19" si="28">QaAssert(AB13,BH13)</f>
        <v>0</v>
      </c>
      <c r="BU13" s="3">
        <f t="shared" ref="BU13:BU19" si="29">QaAssert(AC13,BI13)</f>
        <v>0</v>
      </c>
      <c r="BV13" s="3">
        <f t="shared" ref="BV13:BV19" si="30">QaAssert(O13,AT13)</f>
        <v>0</v>
      </c>
      <c r="BW13" s="3">
        <f t="shared" ref="BW13:BW19" si="31">QaAssert(P13,AU13)</f>
        <v>0</v>
      </c>
      <c r="BX13" s="3">
        <f t="shared" ref="BX13:BX19" si="32">QaAssert(Q13,AV13)</f>
        <v>0</v>
      </c>
      <c r="BY13" s="3">
        <f t="shared" ref="BY13:BY19" si="33">QaAssert(S13,AX13)</f>
        <v>0</v>
      </c>
      <c r="BZ13" s="3">
        <f t="shared" ref="BZ13:BZ19" si="34">QaAssert(R13,AW13)</f>
        <v>0</v>
      </c>
    </row>
    <row r="14" spans="1:81" s="37" customFormat="1" x14ac:dyDescent="0.25">
      <c r="B14" s="15" t="s">
        <v>75</v>
      </c>
      <c r="C14" s="18" t="s">
        <v>98</v>
      </c>
      <c r="D14" s="15" t="s">
        <v>87</v>
      </c>
      <c r="E14" s="31">
        <v>40869</v>
      </c>
      <c r="F14" s="31">
        <v>40869</v>
      </c>
      <c r="G14" s="27">
        <f t="shared" si="0"/>
        <v>40869</v>
      </c>
      <c r="H14" s="15">
        <v>30</v>
      </c>
      <c r="I14" s="15" t="s">
        <v>3</v>
      </c>
      <c r="J14" s="18">
        <v>10</v>
      </c>
      <c r="K14" s="18">
        <v>24</v>
      </c>
      <c r="L14" s="18">
        <v>15</v>
      </c>
      <c r="M14" s="15">
        <f t="shared" si="1"/>
        <v>-3600</v>
      </c>
      <c r="N14" s="6">
        <v>17.679093295609299</v>
      </c>
      <c r="O14" s="6">
        <v>0.98396956123715296</v>
      </c>
      <c r="P14" s="6">
        <v>3.5828560824027701E-3</v>
      </c>
      <c r="Q14" s="6">
        <v>0.43971099095479099</v>
      </c>
      <c r="R14" s="6">
        <v>-9.2182716592726192E-3</v>
      </c>
      <c r="S14" s="6">
        <v>-1.0171533128980701</v>
      </c>
      <c r="T14" s="6">
        <v>0.94029564433709301</v>
      </c>
      <c r="U14" s="16">
        <f t="shared" si="2"/>
        <v>4242.982390946232</v>
      </c>
      <c r="V14" s="6">
        <v>4242.9823909462302</v>
      </c>
      <c r="W14" s="18">
        <v>0</v>
      </c>
      <c r="X14" s="6">
        <v>-3600</v>
      </c>
      <c r="Y14" s="6">
        <v>4242.9823909462302</v>
      </c>
      <c r="Z14" s="6">
        <v>642.98239094622602</v>
      </c>
      <c r="AA14" s="6">
        <v>-3600</v>
      </c>
      <c r="AB14" s="6">
        <v>4242.9823909462302</v>
      </c>
      <c r="AC14" s="6">
        <v>642.98239094622602</v>
      </c>
      <c r="AD14" s="9">
        <v>1.2923774390302E-2</v>
      </c>
      <c r="AE14" s="9">
        <v>47.62922901418586</v>
      </c>
      <c r="AF14" s="9">
        <v>1</v>
      </c>
      <c r="AG14" s="9">
        <f t="shared" si="3"/>
        <v>240</v>
      </c>
      <c r="AH14" s="9">
        <v>1</v>
      </c>
      <c r="AI14" s="9">
        <v>15</v>
      </c>
      <c r="AJ14" s="36" t="s">
        <v>98</v>
      </c>
      <c r="AK14" s="9"/>
      <c r="AL14" s="9">
        <v>0</v>
      </c>
      <c r="AM14" s="9">
        <v>24</v>
      </c>
      <c r="AN14" s="9">
        <f t="shared" si="4"/>
        <v>24</v>
      </c>
      <c r="AO14" s="37">
        <f t="shared" si="5"/>
        <v>1</v>
      </c>
      <c r="AP14" s="37">
        <f t="shared" si="6"/>
        <v>30</v>
      </c>
      <c r="AQ14" s="1" t="str">
        <f t="shared" ref="AQ14:AQ19" si="35">MID(C14,4,1)</f>
        <v>C</v>
      </c>
      <c r="AR14" s="1">
        <f t="shared" si="7"/>
        <v>17.67909329743204</v>
      </c>
      <c r="AS14" s="1">
        <f t="shared" si="8"/>
        <v>15</v>
      </c>
      <c r="AT14" s="1">
        <f t="shared" si="9"/>
        <v>0.98396956120077561</v>
      </c>
      <c r="AU14" s="1">
        <f t="shared" si="10"/>
        <v>3.5828560824027311E-3</v>
      </c>
      <c r="AV14" s="1">
        <f t="shared" si="11"/>
        <v>0.43971099095478711</v>
      </c>
      <c r="AW14" s="1">
        <f t="shared" si="12"/>
        <v>-9.2182716592080181E-3</v>
      </c>
      <c r="AX14" s="1">
        <f t="shared" si="13"/>
        <v>-1.0171533130029393</v>
      </c>
      <c r="AY14" s="20">
        <f t="shared" ref="AY14:AY19" si="36">-AS14*AG14*AH14</f>
        <v>-3600</v>
      </c>
      <c r="AZ14" s="1">
        <f t="shared" si="14"/>
        <v>4242.9823913836899</v>
      </c>
      <c r="BA14" s="1">
        <f t="shared" si="15"/>
        <v>4242.9823913836899</v>
      </c>
      <c r="BB14" s="1">
        <f t="shared" ref="BB14:BB19" si="37">IF($E$9&gt;=F14,MAX((AK14-H14)*AG14,0),0)</f>
        <v>0</v>
      </c>
      <c r="BC14" s="1">
        <v>0</v>
      </c>
      <c r="BD14" s="20">
        <f t="shared" ref="BD14:BD19" si="38">AY14+BC14+BB14</f>
        <v>-3600</v>
      </c>
      <c r="BE14" s="1">
        <f t="shared" si="16"/>
        <v>4242.9823913836899</v>
      </c>
      <c r="BF14" s="1">
        <f t="shared" si="17"/>
        <v>642.9823913836899</v>
      </c>
      <c r="BG14" s="20">
        <f t="shared" ref="BG14:BG19" si="39">BC14+AY14+BB14</f>
        <v>-3600</v>
      </c>
      <c r="BH14" s="1">
        <f t="shared" si="18"/>
        <v>4242.9823913836899</v>
      </c>
      <c r="BI14" s="1">
        <f t="shared" si="19"/>
        <v>642.9823913836899</v>
      </c>
      <c r="BJ14" s="12">
        <f t="shared" ref="BJ14:BJ19" si="40">QaAssert(N14,AR14)</f>
        <v>0</v>
      </c>
      <c r="BK14" s="12">
        <f t="shared" si="20"/>
        <v>0</v>
      </c>
      <c r="BL14" s="3">
        <f t="shared" si="21"/>
        <v>0</v>
      </c>
      <c r="BM14" s="3">
        <f t="shared" si="22"/>
        <v>0</v>
      </c>
      <c r="BN14" s="3">
        <f t="shared" si="23"/>
        <v>0</v>
      </c>
      <c r="BO14" s="3">
        <f t="shared" ref="BO14:BO19" si="41">QaAssert(W14,BC14)</f>
        <v>0</v>
      </c>
      <c r="BP14" s="3">
        <f t="shared" si="24"/>
        <v>0</v>
      </c>
      <c r="BQ14" s="3">
        <f t="shared" si="25"/>
        <v>0</v>
      </c>
      <c r="BR14" s="3">
        <f t="shared" si="26"/>
        <v>0</v>
      </c>
      <c r="BS14" s="3">
        <f t="shared" si="27"/>
        <v>0</v>
      </c>
      <c r="BT14" s="3">
        <f t="shared" si="28"/>
        <v>0</v>
      </c>
      <c r="BU14" s="3">
        <f t="shared" si="29"/>
        <v>0</v>
      </c>
      <c r="BV14" s="3">
        <f t="shared" si="30"/>
        <v>0</v>
      </c>
      <c r="BW14" s="3">
        <f t="shared" si="31"/>
        <v>0</v>
      </c>
      <c r="BX14" s="3">
        <f t="shared" si="32"/>
        <v>0</v>
      </c>
      <c r="BY14" s="3">
        <f t="shared" si="33"/>
        <v>0</v>
      </c>
      <c r="BZ14" s="3">
        <f t="shared" si="34"/>
        <v>0</v>
      </c>
    </row>
    <row r="15" spans="1:81" s="37" customFormat="1" x14ac:dyDescent="0.25">
      <c r="B15" s="15" t="s">
        <v>75</v>
      </c>
      <c r="C15" s="18" t="s">
        <v>98</v>
      </c>
      <c r="D15" s="15" t="s">
        <v>88</v>
      </c>
      <c r="E15" s="31">
        <v>40870</v>
      </c>
      <c r="F15" s="31">
        <v>40870</v>
      </c>
      <c r="G15" s="27">
        <f t="shared" si="0"/>
        <v>40870</v>
      </c>
      <c r="H15" s="15">
        <v>30</v>
      </c>
      <c r="I15" s="15" t="s">
        <v>3</v>
      </c>
      <c r="J15" s="18">
        <v>10</v>
      </c>
      <c r="K15" s="18">
        <v>24</v>
      </c>
      <c r="L15" s="18">
        <v>15</v>
      </c>
      <c r="M15" s="15">
        <f t="shared" si="1"/>
        <v>-3600</v>
      </c>
      <c r="N15" s="6">
        <v>18.0388432221167</v>
      </c>
      <c r="O15" s="6">
        <v>0.98393447796516398</v>
      </c>
      <c r="P15" s="6">
        <v>3.4949139543762799E-3</v>
      </c>
      <c r="Q15" s="6">
        <v>0.45329604560220599</v>
      </c>
      <c r="R15" s="6">
        <v>-8.9831914092549803E-3</v>
      </c>
      <c r="S15" s="6">
        <v>-1.0872727421549799</v>
      </c>
      <c r="T15" s="6">
        <v>0.93442344515623099</v>
      </c>
      <c r="U15" s="16">
        <f t="shared" si="2"/>
        <v>4329.3223733080076</v>
      </c>
      <c r="V15" s="6">
        <v>4329.3223733080104</v>
      </c>
      <c r="W15" s="18">
        <v>0</v>
      </c>
      <c r="X15" s="6">
        <v>-3600</v>
      </c>
      <c r="Y15" s="6">
        <v>4329.3223733080104</v>
      </c>
      <c r="Z15" s="6">
        <v>729.32237330801297</v>
      </c>
      <c r="AA15" s="6">
        <v>-3600</v>
      </c>
      <c r="AB15" s="6">
        <v>4329.3223733080104</v>
      </c>
      <c r="AC15" s="6">
        <v>729.32237330801297</v>
      </c>
      <c r="AD15" s="9">
        <v>1.3018826602779501E-2</v>
      </c>
      <c r="AE15" s="9">
        <v>47.988364604376933</v>
      </c>
      <c r="AF15" s="9">
        <v>1</v>
      </c>
      <c r="AG15" s="9">
        <f t="shared" si="3"/>
        <v>240</v>
      </c>
      <c r="AH15" s="9">
        <v>1</v>
      </c>
      <c r="AI15" s="9">
        <v>15</v>
      </c>
      <c r="AJ15" s="36" t="s">
        <v>98</v>
      </c>
      <c r="AK15" s="9"/>
      <c r="AL15" s="9">
        <v>0</v>
      </c>
      <c r="AM15" s="9">
        <v>24</v>
      </c>
      <c r="AN15" s="9">
        <f t="shared" si="4"/>
        <v>24</v>
      </c>
      <c r="AO15" s="37">
        <f t="shared" si="5"/>
        <v>1</v>
      </c>
      <c r="AP15" s="37">
        <f t="shared" si="6"/>
        <v>30</v>
      </c>
      <c r="AQ15" s="1" t="str">
        <f t="shared" si="35"/>
        <v>C</v>
      </c>
      <c r="AR15" s="1">
        <f t="shared" si="7"/>
        <v>18.038843224090321</v>
      </c>
      <c r="AS15" s="1">
        <f t="shared" si="8"/>
        <v>15</v>
      </c>
      <c r="AT15" s="1">
        <f t="shared" si="9"/>
        <v>0.98393447792884514</v>
      </c>
      <c r="AU15" s="1">
        <f t="shared" si="10"/>
        <v>3.4949139543762721E-3</v>
      </c>
      <c r="AV15" s="1">
        <f t="shared" si="11"/>
        <v>0.45329604560220521</v>
      </c>
      <c r="AW15" s="1">
        <f t="shared" si="12"/>
        <v>-8.9831914091846078E-3</v>
      </c>
      <c r="AX15" s="1">
        <f t="shared" si="13"/>
        <v>-1.0872727422739372</v>
      </c>
      <c r="AY15" s="20">
        <f t="shared" si="36"/>
        <v>-3600</v>
      </c>
      <c r="AZ15" s="1">
        <f t="shared" si="14"/>
        <v>4329.322373781677</v>
      </c>
      <c r="BA15" s="1">
        <f t="shared" si="15"/>
        <v>4329.322373781677</v>
      </c>
      <c r="BB15" s="1">
        <f t="shared" si="37"/>
        <v>0</v>
      </c>
      <c r="BC15" s="1">
        <v>0</v>
      </c>
      <c r="BD15" s="20">
        <f t="shared" si="38"/>
        <v>-3600</v>
      </c>
      <c r="BE15" s="1">
        <f t="shared" si="16"/>
        <v>4329.322373781677</v>
      </c>
      <c r="BF15" s="1">
        <f t="shared" si="17"/>
        <v>729.32237378167702</v>
      </c>
      <c r="BG15" s="20">
        <f t="shared" si="39"/>
        <v>-3600</v>
      </c>
      <c r="BH15" s="1">
        <f t="shared" si="18"/>
        <v>4329.322373781677</v>
      </c>
      <c r="BI15" s="1">
        <f t="shared" si="19"/>
        <v>729.32237378167702</v>
      </c>
      <c r="BJ15" s="12">
        <f t="shared" si="40"/>
        <v>0</v>
      </c>
      <c r="BK15" s="12">
        <f t="shared" si="20"/>
        <v>0</v>
      </c>
      <c r="BL15" s="3">
        <f t="shared" si="21"/>
        <v>0</v>
      </c>
      <c r="BM15" s="3">
        <f t="shared" si="22"/>
        <v>0</v>
      </c>
      <c r="BN15" s="3">
        <f t="shared" si="23"/>
        <v>0</v>
      </c>
      <c r="BO15" s="3">
        <f t="shared" si="41"/>
        <v>0</v>
      </c>
      <c r="BP15" s="3">
        <f t="shared" si="24"/>
        <v>0</v>
      </c>
      <c r="BQ15" s="3">
        <f t="shared" si="25"/>
        <v>0</v>
      </c>
      <c r="BR15" s="3">
        <f t="shared" si="26"/>
        <v>0</v>
      </c>
      <c r="BS15" s="3">
        <f t="shared" si="27"/>
        <v>0</v>
      </c>
      <c r="BT15" s="3">
        <f t="shared" si="28"/>
        <v>0</v>
      </c>
      <c r="BU15" s="3">
        <f t="shared" si="29"/>
        <v>0</v>
      </c>
      <c r="BV15" s="3">
        <f t="shared" si="30"/>
        <v>0</v>
      </c>
      <c r="BW15" s="3">
        <f t="shared" si="31"/>
        <v>0</v>
      </c>
      <c r="BX15" s="3">
        <f t="shared" si="32"/>
        <v>0</v>
      </c>
      <c r="BY15" s="3">
        <f t="shared" si="33"/>
        <v>0</v>
      </c>
      <c r="BZ15" s="3">
        <f t="shared" si="34"/>
        <v>0</v>
      </c>
    </row>
    <row r="16" spans="1:81" s="37" customFormat="1" x14ac:dyDescent="0.25">
      <c r="B16" s="15" t="s">
        <v>75</v>
      </c>
      <c r="C16" s="18" t="s">
        <v>98</v>
      </c>
      <c r="D16" s="15" t="s">
        <v>89</v>
      </c>
      <c r="E16" s="31">
        <v>40871</v>
      </c>
      <c r="F16" s="31">
        <v>40871</v>
      </c>
      <c r="G16" s="27">
        <f t="shared" si="0"/>
        <v>40871</v>
      </c>
      <c r="H16" s="15">
        <v>30</v>
      </c>
      <c r="I16" s="15" t="s">
        <v>3</v>
      </c>
      <c r="J16" s="18">
        <v>10</v>
      </c>
      <c r="K16" s="18">
        <v>24</v>
      </c>
      <c r="L16" s="18">
        <v>15</v>
      </c>
      <c r="M16" s="15">
        <f t="shared" si="1"/>
        <v>-3600</v>
      </c>
      <c r="N16" s="6">
        <v>17.156308411984899</v>
      </c>
      <c r="O16" s="6">
        <v>0.97900660634958103</v>
      </c>
      <c r="P16" s="6">
        <v>4.4422862203968901E-3</v>
      </c>
      <c r="Q16" s="6">
        <v>0.57623572277735902</v>
      </c>
      <c r="R16" s="6">
        <v>-1.10165894059586E-2</v>
      </c>
      <c r="S16" s="6">
        <v>-1.0810824478784999</v>
      </c>
      <c r="T16" s="6">
        <v>0.92863524091392702</v>
      </c>
      <c r="U16" s="16">
        <f t="shared" si="2"/>
        <v>4117.5140188763753</v>
      </c>
      <c r="V16" s="6">
        <v>4117.5140188763799</v>
      </c>
      <c r="W16" s="18">
        <v>0</v>
      </c>
      <c r="X16" s="6">
        <v>-3600</v>
      </c>
      <c r="Y16" s="6">
        <v>4117.5140188763799</v>
      </c>
      <c r="Z16" s="6">
        <v>517.51401887637905</v>
      </c>
      <c r="AA16" s="6">
        <v>-3600</v>
      </c>
      <c r="AB16" s="6">
        <v>4117.5140188763799</v>
      </c>
      <c r="AC16" s="6">
        <v>517.51401887637905</v>
      </c>
      <c r="AD16" s="9">
        <v>1.31117134618641E-2</v>
      </c>
      <c r="AE16" s="9">
        <v>47.082200709224942</v>
      </c>
      <c r="AF16" s="9">
        <v>1</v>
      </c>
      <c r="AG16" s="9">
        <f t="shared" si="3"/>
        <v>240</v>
      </c>
      <c r="AH16" s="9">
        <v>1</v>
      </c>
      <c r="AI16" s="9">
        <v>15</v>
      </c>
      <c r="AJ16" s="36" t="s">
        <v>98</v>
      </c>
      <c r="AK16" s="9"/>
      <c r="AL16" s="9">
        <v>0</v>
      </c>
      <c r="AM16" s="9">
        <v>24</v>
      </c>
      <c r="AN16" s="9">
        <f t="shared" si="4"/>
        <v>24</v>
      </c>
      <c r="AO16" s="37">
        <f t="shared" si="5"/>
        <v>1</v>
      </c>
      <c r="AP16" s="37">
        <f t="shared" si="6"/>
        <v>30</v>
      </c>
      <c r="AQ16" s="1" t="str">
        <f t="shared" si="35"/>
        <v>C</v>
      </c>
      <c r="AR16" s="1">
        <f t="shared" si="7"/>
        <v>17.156308413519923</v>
      </c>
      <c r="AS16" s="1">
        <f t="shared" si="8"/>
        <v>15</v>
      </c>
      <c r="AT16" s="1">
        <f t="shared" si="9"/>
        <v>0.97900660628737968</v>
      </c>
      <c r="AU16" s="1">
        <f t="shared" si="10"/>
        <v>4.442286220396675E-3</v>
      </c>
      <c r="AV16" s="1">
        <f t="shared" si="11"/>
        <v>0.57623572277733637</v>
      </c>
      <c r="AW16" s="1">
        <f t="shared" si="12"/>
        <v>-1.1016589405903018E-2</v>
      </c>
      <c r="AX16" s="1">
        <f t="shared" si="13"/>
        <v>-1.0810824479752281</v>
      </c>
      <c r="AY16" s="20">
        <f t="shared" si="36"/>
        <v>-3600</v>
      </c>
      <c r="AZ16" s="1">
        <f t="shared" si="14"/>
        <v>4117.5140192447816</v>
      </c>
      <c r="BA16" s="1">
        <f t="shared" si="15"/>
        <v>4117.5140192447816</v>
      </c>
      <c r="BB16" s="1">
        <f t="shared" si="37"/>
        <v>0</v>
      </c>
      <c r="BC16" s="1">
        <v>0</v>
      </c>
      <c r="BD16" s="20">
        <f t="shared" si="38"/>
        <v>-3600</v>
      </c>
      <c r="BE16" s="1">
        <f t="shared" si="16"/>
        <v>4117.5140192447816</v>
      </c>
      <c r="BF16" s="1">
        <f t="shared" si="17"/>
        <v>517.51401924478159</v>
      </c>
      <c r="BG16" s="20">
        <f t="shared" si="39"/>
        <v>-3600</v>
      </c>
      <c r="BH16" s="1">
        <f t="shared" si="18"/>
        <v>4117.5140192447816</v>
      </c>
      <c r="BI16" s="1">
        <f t="shared" si="19"/>
        <v>517.51401924478159</v>
      </c>
      <c r="BJ16" s="12">
        <f t="shared" si="40"/>
        <v>0</v>
      </c>
      <c r="BK16" s="12">
        <f t="shared" si="20"/>
        <v>0</v>
      </c>
      <c r="BL16" s="3">
        <f t="shared" si="21"/>
        <v>0</v>
      </c>
      <c r="BM16" s="3">
        <f t="shared" si="22"/>
        <v>0</v>
      </c>
      <c r="BN16" s="3">
        <f t="shared" si="23"/>
        <v>0</v>
      </c>
      <c r="BO16" s="3">
        <f t="shared" si="41"/>
        <v>0</v>
      </c>
      <c r="BP16" s="3">
        <f t="shared" si="24"/>
        <v>0</v>
      </c>
      <c r="BQ16" s="3">
        <f t="shared" si="25"/>
        <v>0</v>
      </c>
      <c r="BR16" s="3">
        <f t="shared" si="26"/>
        <v>0</v>
      </c>
      <c r="BS16" s="3">
        <f t="shared" si="27"/>
        <v>0</v>
      </c>
      <c r="BT16" s="3">
        <f t="shared" si="28"/>
        <v>0</v>
      </c>
      <c r="BU16" s="3">
        <f t="shared" si="29"/>
        <v>0</v>
      </c>
      <c r="BV16" s="3">
        <f t="shared" si="30"/>
        <v>0</v>
      </c>
      <c r="BW16" s="3">
        <f t="shared" si="31"/>
        <v>0</v>
      </c>
      <c r="BX16" s="3">
        <f t="shared" si="32"/>
        <v>0</v>
      </c>
      <c r="BY16" s="3">
        <f t="shared" si="33"/>
        <v>0</v>
      </c>
      <c r="BZ16" s="3">
        <f t="shared" si="34"/>
        <v>0</v>
      </c>
    </row>
    <row r="17" spans="1:81" s="37" customFormat="1" x14ac:dyDescent="0.25">
      <c r="B17" s="15" t="s">
        <v>75</v>
      </c>
      <c r="C17" s="18" t="s">
        <v>98</v>
      </c>
      <c r="D17" s="15" t="s">
        <v>97</v>
      </c>
      <c r="E17" s="31">
        <v>40872</v>
      </c>
      <c r="F17" s="31">
        <v>40872</v>
      </c>
      <c r="G17" s="27">
        <f t="shared" si="0"/>
        <v>40872</v>
      </c>
      <c r="H17" s="15">
        <v>30</v>
      </c>
      <c r="I17" s="15" t="s">
        <v>3</v>
      </c>
      <c r="J17" s="18">
        <v>10</v>
      </c>
      <c r="K17" s="18">
        <v>24</v>
      </c>
      <c r="L17" s="18">
        <v>15</v>
      </c>
      <c r="M17" s="15">
        <f t="shared" si="1"/>
        <v>-3600</v>
      </c>
      <c r="N17" s="6">
        <v>16.149398458930499</v>
      </c>
      <c r="O17" s="6">
        <v>0.97224586693196802</v>
      </c>
      <c r="P17" s="6">
        <v>5.6995024154150404E-3</v>
      </c>
      <c r="Q17" s="6">
        <v>0.73320763370195696</v>
      </c>
      <c r="R17" s="6">
        <v>-1.3513821156689801E-2</v>
      </c>
      <c r="S17" s="6">
        <v>-1.0618782548337899</v>
      </c>
      <c r="T17" s="6">
        <v>0.92293334090424795</v>
      </c>
      <c r="U17" s="16">
        <f t="shared" si="2"/>
        <v>3875.85563014332</v>
      </c>
      <c r="V17" s="6">
        <v>3875.85563014333</v>
      </c>
      <c r="W17" s="18">
        <v>0</v>
      </c>
      <c r="X17" s="6">
        <v>-3600</v>
      </c>
      <c r="Y17" s="6">
        <v>3875.85563014333</v>
      </c>
      <c r="Z17" s="6">
        <v>275.85563014333002</v>
      </c>
      <c r="AA17" s="6">
        <v>-3600</v>
      </c>
      <c r="AB17" s="6">
        <v>3875.85563014333</v>
      </c>
      <c r="AC17" s="6">
        <v>275.85563014333002</v>
      </c>
      <c r="AD17" s="9">
        <v>1.3202245784909399E-2</v>
      </c>
      <c r="AE17" s="9">
        <v>46.041626957170202</v>
      </c>
      <c r="AF17" s="9">
        <v>1</v>
      </c>
      <c r="AG17" s="9">
        <f t="shared" si="3"/>
        <v>240</v>
      </c>
      <c r="AH17" s="9">
        <v>1</v>
      </c>
      <c r="AI17" s="9">
        <v>15</v>
      </c>
      <c r="AJ17" s="36" t="s">
        <v>98</v>
      </c>
      <c r="AK17" s="9"/>
      <c r="AL17" s="9">
        <v>0</v>
      </c>
      <c r="AM17" s="9">
        <v>24</v>
      </c>
      <c r="AN17" s="9">
        <f t="shared" si="4"/>
        <v>24</v>
      </c>
      <c r="AO17" s="37">
        <f t="shared" si="5"/>
        <v>1</v>
      </c>
      <c r="AP17" s="37">
        <f t="shared" si="6"/>
        <v>30</v>
      </c>
      <c r="AQ17" s="1" t="str">
        <f t="shared" si="35"/>
        <v>C</v>
      </c>
      <c r="AR17" s="1">
        <f t="shared" si="7"/>
        <v>16.149398450774012</v>
      </c>
      <c r="AS17" s="1">
        <f t="shared" si="8"/>
        <v>15</v>
      </c>
      <c r="AT17" s="1">
        <f t="shared" si="9"/>
        <v>0.97224586680093439</v>
      </c>
      <c r="AU17" s="1">
        <f t="shared" si="10"/>
        <v>5.6995024154153145E-3</v>
      </c>
      <c r="AV17" s="1">
        <f t="shared" si="11"/>
        <v>0.73320763370198494</v>
      </c>
      <c r="AW17" s="1">
        <f t="shared" si="12"/>
        <v>-1.351382115698541E-2</v>
      </c>
      <c r="AX17" s="1">
        <f t="shared" si="13"/>
        <v>-1.0618782542974692</v>
      </c>
      <c r="AY17" s="20">
        <f t="shared" si="36"/>
        <v>-3600</v>
      </c>
      <c r="AZ17" s="1">
        <f t="shared" si="14"/>
        <v>3875.8556281857627</v>
      </c>
      <c r="BA17" s="1">
        <f t="shared" si="15"/>
        <v>3875.8556281857627</v>
      </c>
      <c r="BB17" s="1">
        <f t="shared" si="37"/>
        <v>0</v>
      </c>
      <c r="BC17" s="1">
        <v>0</v>
      </c>
      <c r="BD17" s="20">
        <f t="shared" si="38"/>
        <v>-3600</v>
      </c>
      <c r="BE17" s="1">
        <f t="shared" si="16"/>
        <v>3875.8556281857627</v>
      </c>
      <c r="BF17" s="1">
        <f t="shared" si="17"/>
        <v>275.85562818576273</v>
      </c>
      <c r="BG17" s="20">
        <f t="shared" si="39"/>
        <v>-3600</v>
      </c>
      <c r="BH17" s="1">
        <f t="shared" si="18"/>
        <v>3875.8556281857627</v>
      </c>
      <c r="BI17" s="1">
        <f t="shared" si="19"/>
        <v>275.85562818576273</v>
      </c>
      <c r="BJ17" s="12">
        <f t="shared" si="40"/>
        <v>0</v>
      </c>
      <c r="BK17" s="12">
        <f t="shared" si="20"/>
        <v>0</v>
      </c>
      <c r="BL17" s="3">
        <f t="shared" si="21"/>
        <v>0</v>
      </c>
      <c r="BM17" s="3">
        <f t="shared" si="22"/>
        <v>0</v>
      </c>
      <c r="BN17" s="3">
        <f t="shared" si="23"/>
        <v>0</v>
      </c>
      <c r="BO17" s="3">
        <f t="shared" si="41"/>
        <v>0</v>
      </c>
      <c r="BP17" s="3">
        <f t="shared" si="24"/>
        <v>0</v>
      </c>
      <c r="BQ17" s="3">
        <f t="shared" si="25"/>
        <v>0</v>
      </c>
      <c r="BR17" s="3">
        <f t="shared" si="26"/>
        <v>0</v>
      </c>
      <c r="BS17" s="3">
        <f t="shared" si="27"/>
        <v>0</v>
      </c>
      <c r="BT17" s="3">
        <f t="shared" si="28"/>
        <v>0</v>
      </c>
      <c r="BU17" s="3">
        <f t="shared" si="29"/>
        <v>0</v>
      </c>
      <c r="BV17" s="3">
        <f t="shared" si="30"/>
        <v>0</v>
      </c>
      <c r="BW17" s="3">
        <f t="shared" si="31"/>
        <v>0</v>
      </c>
      <c r="BX17" s="3">
        <f t="shared" si="32"/>
        <v>0</v>
      </c>
      <c r="BY17" s="3">
        <f t="shared" si="33"/>
        <v>0</v>
      </c>
      <c r="BZ17" s="3">
        <f t="shared" si="34"/>
        <v>0</v>
      </c>
    </row>
    <row r="18" spans="1:81" s="37" customFormat="1" x14ac:dyDescent="0.25">
      <c r="B18" s="15" t="s">
        <v>75</v>
      </c>
      <c r="C18" s="18" t="s">
        <v>98</v>
      </c>
      <c r="D18" s="15" t="s">
        <v>99</v>
      </c>
      <c r="E18" s="31">
        <v>40873</v>
      </c>
      <c r="F18" s="31">
        <v>40873</v>
      </c>
      <c r="G18" s="27">
        <f t="shared" si="0"/>
        <v>40873</v>
      </c>
      <c r="H18" s="15">
        <v>30</v>
      </c>
      <c r="I18" s="15" t="s">
        <v>3</v>
      </c>
      <c r="J18" s="18">
        <v>10</v>
      </c>
      <c r="K18" s="18">
        <v>24</v>
      </c>
      <c r="L18" s="18">
        <v>15</v>
      </c>
      <c r="M18" s="15">
        <f t="shared" si="1"/>
        <v>-3600</v>
      </c>
      <c r="N18" s="6">
        <v>13.971128232236699</v>
      </c>
      <c r="O18" s="6">
        <v>0.95395106538878804</v>
      </c>
      <c r="P18" s="6">
        <v>9.0412904015448707E-3</v>
      </c>
      <c r="Q18" s="6">
        <v>1.08829618273937</v>
      </c>
      <c r="R18" s="6">
        <v>-1.9457587232826999E-2</v>
      </c>
      <c r="S18" s="6">
        <v>-0.95692659124908896</v>
      </c>
      <c r="T18" s="6">
        <v>0.91731912577766905</v>
      </c>
      <c r="U18" s="16">
        <f t="shared" si="2"/>
        <v>3353.0707757368082</v>
      </c>
      <c r="V18" s="6">
        <v>3353.07077573681</v>
      </c>
      <c r="W18" s="18">
        <v>0</v>
      </c>
      <c r="X18" s="6">
        <v>-3600</v>
      </c>
      <c r="Y18" s="6">
        <v>3353.07077573681</v>
      </c>
      <c r="Z18" s="6">
        <v>-246.92922426319001</v>
      </c>
      <c r="AA18" s="6">
        <v>-3600</v>
      </c>
      <c r="AB18" s="6">
        <v>3353.07077573681</v>
      </c>
      <c r="AC18" s="6">
        <v>-246.92922426319001</v>
      </c>
      <c r="AD18" s="9">
        <v>1.32902259843672E-2</v>
      </c>
      <c r="AE18" s="9">
        <v>43.769798490252079</v>
      </c>
      <c r="AF18" s="9">
        <v>1</v>
      </c>
      <c r="AG18" s="9">
        <f t="shared" si="3"/>
        <v>240</v>
      </c>
      <c r="AH18" s="9">
        <v>1</v>
      </c>
      <c r="AI18" s="9">
        <v>15</v>
      </c>
      <c r="AJ18" s="36" t="s">
        <v>98</v>
      </c>
      <c r="AK18" s="9"/>
      <c r="AL18" s="9">
        <v>0</v>
      </c>
      <c r="AM18" s="9">
        <v>24</v>
      </c>
      <c r="AN18" s="9">
        <f t="shared" si="4"/>
        <v>24</v>
      </c>
      <c r="AO18" s="37">
        <f t="shared" si="5"/>
        <v>1</v>
      </c>
      <c r="AP18" s="37">
        <f t="shared" si="6"/>
        <v>30</v>
      </c>
      <c r="AQ18" s="1" t="str">
        <f t="shared" si="35"/>
        <v>C</v>
      </c>
      <c r="AR18" s="1">
        <f t="shared" si="7"/>
        <v>13.971128234917678</v>
      </c>
      <c r="AS18" s="1">
        <f t="shared" si="8"/>
        <v>15</v>
      </c>
      <c r="AT18" s="1">
        <f t="shared" si="9"/>
        <v>0.95395106546165986</v>
      </c>
      <c r="AU18" s="1">
        <f t="shared" si="10"/>
        <v>9.0412904015450043E-3</v>
      </c>
      <c r="AV18" s="1">
        <f t="shared" si="11"/>
        <v>1.0882961827393793</v>
      </c>
      <c r="AW18" s="1">
        <f t="shared" si="12"/>
        <v>-1.9457587232729598E-2</v>
      </c>
      <c r="AX18" s="1">
        <f t="shared" si="13"/>
        <v>-0.95692659143271763</v>
      </c>
      <c r="AY18" s="20">
        <f t="shared" si="36"/>
        <v>-3600</v>
      </c>
      <c r="AZ18" s="1">
        <f t="shared" si="14"/>
        <v>3353.0707763802429</v>
      </c>
      <c r="BA18" s="1">
        <f t="shared" si="15"/>
        <v>3353.0707763802429</v>
      </c>
      <c r="BB18" s="1">
        <f t="shared" si="37"/>
        <v>0</v>
      </c>
      <c r="BC18" s="1">
        <v>0</v>
      </c>
      <c r="BD18" s="20">
        <f t="shared" si="38"/>
        <v>-3600</v>
      </c>
      <c r="BE18" s="1">
        <f t="shared" si="16"/>
        <v>3353.0707763802429</v>
      </c>
      <c r="BF18" s="1">
        <f t="shared" si="17"/>
        <v>-246.92922361975707</v>
      </c>
      <c r="BG18" s="20">
        <f t="shared" si="39"/>
        <v>-3600</v>
      </c>
      <c r="BH18" s="1">
        <f t="shared" si="18"/>
        <v>3353.0707763802429</v>
      </c>
      <c r="BI18" s="1">
        <f t="shared" si="19"/>
        <v>-246.92922361975707</v>
      </c>
      <c r="BJ18" s="12">
        <f t="shared" si="40"/>
        <v>0</v>
      </c>
      <c r="BK18" s="12">
        <f t="shared" si="20"/>
        <v>0</v>
      </c>
      <c r="BL18" s="3">
        <f t="shared" si="21"/>
        <v>0</v>
      </c>
      <c r="BM18" s="3">
        <f t="shared" si="22"/>
        <v>0</v>
      </c>
      <c r="BN18" s="3">
        <f t="shared" si="23"/>
        <v>0</v>
      </c>
      <c r="BO18" s="3">
        <f t="shared" si="41"/>
        <v>0</v>
      </c>
      <c r="BP18" s="3">
        <f t="shared" si="24"/>
        <v>0</v>
      </c>
      <c r="BQ18" s="3">
        <f t="shared" si="25"/>
        <v>0</v>
      </c>
      <c r="BR18" s="3">
        <f t="shared" si="26"/>
        <v>0</v>
      </c>
      <c r="BS18" s="3">
        <f t="shared" si="27"/>
        <v>0</v>
      </c>
      <c r="BT18" s="3">
        <f t="shared" si="28"/>
        <v>0</v>
      </c>
      <c r="BU18" s="3">
        <f t="shared" si="29"/>
        <v>0</v>
      </c>
      <c r="BV18" s="3">
        <f t="shared" si="30"/>
        <v>0</v>
      </c>
      <c r="BW18" s="3">
        <f t="shared" si="31"/>
        <v>0</v>
      </c>
      <c r="BX18" s="3">
        <f t="shared" si="32"/>
        <v>0</v>
      </c>
      <c r="BY18" s="3">
        <f t="shared" si="33"/>
        <v>0</v>
      </c>
      <c r="BZ18" s="3">
        <f t="shared" si="34"/>
        <v>0</v>
      </c>
    </row>
    <row r="19" spans="1:81" s="37" customFormat="1" x14ac:dyDescent="0.25">
      <c r="B19" s="15" t="s">
        <v>75</v>
      </c>
      <c r="C19" s="18" t="s">
        <v>98</v>
      </c>
      <c r="D19" s="15" t="s">
        <v>100</v>
      </c>
      <c r="E19" s="31">
        <v>40874</v>
      </c>
      <c r="F19" s="31">
        <v>40874</v>
      </c>
      <c r="G19" s="27">
        <f t="shared" si="0"/>
        <v>40874</v>
      </c>
      <c r="H19" s="15">
        <v>30</v>
      </c>
      <c r="I19" s="15" t="s">
        <v>3</v>
      </c>
      <c r="J19" s="18">
        <v>10</v>
      </c>
      <c r="K19" s="18">
        <v>24</v>
      </c>
      <c r="L19" s="18">
        <v>15</v>
      </c>
      <c r="M19" s="15">
        <f t="shared" si="1"/>
        <v>-3600</v>
      </c>
      <c r="N19" s="6">
        <v>13.245491025687</v>
      </c>
      <c r="O19" s="6">
        <v>0.94431377665699201</v>
      </c>
      <c r="P19" s="6">
        <v>1.0590263192160601E-2</v>
      </c>
      <c r="Q19" s="6">
        <v>1.27124716383748</v>
      </c>
      <c r="R19" s="6">
        <v>-2.1805283320828601E-2</v>
      </c>
      <c r="S19" s="6">
        <v>-0.943514429227018</v>
      </c>
      <c r="T19" s="6">
        <v>0.911793254885088</v>
      </c>
      <c r="U19" s="16">
        <f t="shared" si="2"/>
        <v>3178.9178461648798</v>
      </c>
      <c r="V19" s="6">
        <v>3178.9178461648798</v>
      </c>
      <c r="W19" s="18">
        <v>0</v>
      </c>
      <c r="X19" s="6">
        <v>-3600</v>
      </c>
      <c r="Y19" s="6">
        <v>3178.9178461648798</v>
      </c>
      <c r="Z19" s="6">
        <v>-421.08215383512402</v>
      </c>
      <c r="AA19" s="6">
        <v>-3600</v>
      </c>
      <c r="AB19" s="6">
        <v>3178.9178461648798</v>
      </c>
      <c r="AC19" s="6">
        <v>-421.08215383512402</v>
      </c>
      <c r="AD19" s="9">
        <v>1.3375448119222699E-2</v>
      </c>
      <c r="AE19" s="9">
        <v>42.990568922977531</v>
      </c>
      <c r="AF19" s="9">
        <v>1</v>
      </c>
      <c r="AG19" s="9">
        <f t="shared" si="3"/>
        <v>240</v>
      </c>
      <c r="AH19" s="9">
        <v>1</v>
      </c>
      <c r="AI19" s="9">
        <v>15</v>
      </c>
      <c r="AJ19" s="36" t="s">
        <v>98</v>
      </c>
      <c r="AK19" s="9"/>
      <c r="AL19" s="9">
        <v>0</v>
      </c>
      <c r="AM19" s="9">
        <v>24</v>
      </c>
      <c r="AN19" s="9">
        <f t="shared" si="4"/>
        <v>24</v>
      </c>
      <c r="AO19" s="37">
        <f t="shared" si="5"/>
        <v>1</v>
      </c>
      <c r="AP19" s="37">
        <f t="shared" si="6"/>
        <v>30</v>
      </c>
      <c r="AQ19" s="1" t="str">
        <f t="shared" si="35"/>
        <v>C</v>
      </c>
      <c r="AR19" s="1">
        <f t="shared" si="7"/>
        <v>13.245491032312698</v>
      </c>
      <c r="AS19" s="1">
        <f t="shared" si="8"/>
        <v>15</v>
      </c>
      <c r="AT19" s="1">
        <f t="shared" si="9"/>
        <v>0.94431377684198115</v>
      </c>
      <c r="AU19" s="1">
        <f t="shared" si="10"/>
        <v>1.0590263192160847E-2</v>
      </c>
      <c r="AV19" s="1">
        <f t="shared" si="11"/>
        <v>1.271247163837506</v>
      </c>
      <c r="AW19" s="1">
        <f t="shared" si="12"/>
        <v>-2.1805283320586205E-2</v>
      </c>
      <c r="AX19" s="1">
        <f t="shared" si="13"/>
        <v>-0.94351442969898669</v>
      </c>
      <c r="AY19" s="20">
        <f t="shared" si="36"/>
        <v>-3600</v>
      </c>
      <c r="AZ19" s="1">
        <f t="shared" si="14"/>
        <v>3178.9178477550477</v>
      </c>
      <c r="BA19" s="1">
        <f t="shared" si="15"/>
        <v>3178.9178477550477</v>
      </c>
      <c r="BB19" s="1">
        <f t="shared" si="37"/>
        <v>0</v>
      </c>
      <c r="BC19" s="1">
        <v>0</v>
      </c>
      <c r="BD19" s="20">
        <f t="shared" si="38"/>
        <v>-3600</v>
      </c>
      <c r="BE19" s="1">
        <f t="shared" si="16"/>
        <v>3178.9178477550477</v>
      </c>
      <c r="BF19" s="1">
        <f t="shared" si="17"/>
        <v>-421.08215224495234</v>
      </c>
      <c r="BG19" s="20">
        <f t="shared" si="39"/>
        <v>-3600</v>
      </c>
      <c r="BH19" s="1">
        <f t="shared" si="18"/>
        <v>3178.9178477550477</v>
      </c>
      <c r="BI19" s="1">
        <f t="shared" si="19"/>
        <v>-421.08215224495234</v>
      </c>
      <c r="BJ19" s="12">
        <f t="shared" si="40"/>
        <v>0</v>
      </c>
      <c r="BK19" s="12">
        <f t="shared" si="20"/>
        <v>0</v>
      </c>
      <c r="BL19" s="3">
        <f t="shared" si="21"/>
        <v>0</v>
      </c>
      <c r="BM19" s="3">
        <f t="shared" si="22"/>
        <v>0</v>
      </c>
      <c r="BN19" s="3">
        <f t="shared" si="23"/>
        <v>0</v>
      </c>
      <c r="BO19" s="3">
        <f t="shared" si="41"/>
        <v>0</v>
      </c>
      <c r="BP19" s="3">
        <f t="shared" si="24"/>
        <v>0</v>
      </c>
      <c r="BQ19" s="3">
        <f t="shared" si="25"/>
        <v>0</v>
      </c>
      <c r="BR19" s="3">
        <f t="shared" si="26"/>
        <v>0</v>
      </c>
      <c r="BS19" s="3">
        <f t="shared" si="27"/>
        <v>0</v>
      </c>
      <c r="BT19" s="3">
        <f t="shared" si="28"/>
        <v>0</v>
      </c>
      <c r="BU19" s="3">
        <f t="shared" si="29"/>
        <v>0</v>
      </c>
      <c r="BV19" s="3">
        <f t="shared" si="30"/>
        <v>0</v>
      </c>
      <c r="BW19" s="3">
        <f t="shared" si="31"/>
        <v>0</v>
      </c>
      <c r="BX19" s="3">
        <f t="shared" si="32"/>
        <v>0</v>
      </c>
      <c r="BY19" s="3">
        <f t="shared" si="33"/>
        <v>0</v>
      </c>
      <c r="BZ19" s="3">
        <f t="shared" si="34"/>
        <v>0</v>
      </c>
    </row>
    <row r="20" spans="1:81" s="19" customFormat="1" x14ac:dyDescent="0.25">
      <c r="B20" s="38"/>
      <c r="C20" s="39"/>
      <c r="D20" s="38"/>
      <c r="E20" s="32"/>
      <c r="F20" s="32"/>
      <c r="G20" s="40"/>
      <c r="H20" s="38"/>
      <c r="I20" s="38"/>
      <c r="J20" s="39"/>
      <c r="K20" s="39"/>
      <c r="L20" s="39"/>
      <c r="M20" s="38"/>
      <c r="U20" s="41"/>
      <c r="W20" s="39"/>
      <c r="AJ20" s="39"/>
      <c r="AQ20" s="42"/>
      <c r="AR20" s="42"/>
      <c r="AS20" s="42"/>
      <c r="AT20" s="42"/>
      <c r="AU20" s="42"/>
      <c r="AV20" s="42"/>
      <c r="AW20" s="42"/>
      <c r="AX20" s="42"/>
      <c r="AY20" s="43"/>
      <c r="AZ20" s="42"/>
      <c r="BA20" s="42"/>
      <c r="BB20" s="42"/>
      <c r="BC20" s="42"/>
      <c r="BD20" s="43"/>
      <c r="BE20" s="42"/>
      <c r="BF20" s="42"/>
      <c r="BG20" s="43"/>
      <c r="BH20" s="42"/>
      <c r="BI20" s="42"/>
      <c r="BJ20" s="44"/>
      <c r="BK20" s="44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</row>
    <row r="21" spans="1:81" x14ac:dyDescent="0.25">
      <c r="A21" s="46" t="s">
        <v>104</v>
      </c>
      <c r="B21" s="15" t="s">
        <v>75</v>
      </c>
      <c r="C21" s="15" t="s">
        <v>95</v>
      </c>
      <c r="D21" s="15" t="s">
        <v>86</v>
      </c>
      <c r="E21" s="31">
        <v>40544</v>
      </c>
      <c r="F21" s="31">
        <v>40633</v>
      </c>
      <c r="G21" s="27">
        <f>F21</f>
        <v>40633</v>
      </c>
      <c r="H21" s="15">
        <v>30</v>
      </c>
      <c r="I21" s="15" t="s">
        <v>7</v>
      </c>
      <c r="J21" s="15">
        <v>10</v>
      </c>
      <c r="K21" s="15">
        <v>2159</v>
      </c>
      <c r="L21" s="15">
        <v>15</v>
      </c>
      <c r="M21" s="15">
        <f>-L21*K21*J21</f>
        <v>-323850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16">
        <f>N21*J21*K21</f>
        <v>0</v>
      </c>
      <c r="V21" s="6">
        <v>0</v>
      </c>
      <c r="W21" s="15">
        <v>0</v>
      </c>
      <c r="X21" s="6">
        <v>456755.6</v>
      </c>
      <c r="Y21" s="6">
        <v>0</v>
      </c>
      <c r="Z21" s="6">
        <v>456755.6</v>
      </c>
      <c r="AA21" s="6">
        <v>456755.6</v>
      </c>
      <c r="AB21" s="6">
        <v>0</v>
      </c>
      <c r="AC21" s="6">
        <v>456755.6</v>
      </c>
      <c r="AD21" s="10">
        <v>0</v>
      </c>
      <c r="AE21" s="10">
        <v>0</v>
      </c>
      <c r="AF21" s="9">
        <v>1</v>
      </c>
      <c r="AG21" s="9">
        <f>J21*K21</f>
        <v>21590</v>
      </c>
      <c r="AH21" s="9">
        <v>1</v>
      </c>
      <c r="AI21" s="9">
        <f>L21</f>
        <v>15</v>
      </c>
      <c r="AJ21" s="9" t="s">
        <v>95</v>
      </c>
      <c r="AK21" s="9">
        <v>66.155886984715096</v>
      </c>
      <c r="AL21" s="9">
        <v>2159</v>
      </c>
      <c r="AM21" s="9">
        <v>0</v>
      </c>
      <c r="AN21" s="9">
        <f>AL21+AM21</f>
        <v>2159</v>
      </c>
      <c r="AO21" s="25">
        <f>IF($E$9&gt;=E21,AM21/(AN21),1)</f>
        <v>0</v>
      </c>
      <c r="AP21" s="25" t="e">
        <f>IF($E$9&gt;=E21,(AN21/AM21)*H21-(AL21/AM21)*AK21,H21)</f>
        <v>#DIV/0!</v>
      </c>
      <c r="AQ21" s="1" t="str">
        <f>MID(C21,4,1)</f>
        <v>C</v>
      </c>
      <c r="AR21" s="1">
        <f>B76Future($E$9,AQ21,AE21,AP21,G21,T21,AD21)*AF21*AO21</f>
        <v>0</v>
      </c>
      <c r="AS21" s="1">
        <f>AI21*AF21</f>
        <v>15</v>
      </c>
      <c r="AT21" s="1">
        <f>B76Delta($E$9,AQ21,AE21,AP21,G21,T21,AD21)*AO21</f>
        <v>0</v>
      </c>
      <c r="AU21" s="1">
        <f>B76Gamma($E$9,AQ21,AE21,AP21,G21,T21,AD21)*AO21</f>
        <v>0</v>
      </c>
      <c r="AV21" s="1">
        <f>B76Vega($E$9,AQ21,AE21,AP21,G21,T21,AD21)*AO21</f>
        <v>0</v>
      </c>
      <c r="AW21" s="1">
        <f>B76Theta($E$9,AQ21,AE21,AP21,G21,T21,AD21)*AO21</f>
        <v>0</v>
      </c>
      <c r="AX21" s="1">
        <f>B76Rho($E$9,AQ21,AE21,AP21,G21,T21,AD21)*AO21</f>
        <v>0</v>
      </c>
      <c r="AY21" s="20">
        <f>-AS21*AG21*AH21</f>
        <v>-323850</v>
      </c>
      <c r="AZ21" s="1">
        <f>AR21*AG21*AH21</f>
        <v>0</v>
      </c>
      <c r="BA21" s="1">
        <f>AZ21</f>
        <v>0</v>
      </c>
      <c r="BB21" s="1">
        <f>IF($E$9&gt;=F21,MAX((AK21-H21)*AG21,0),0)</f>
        <v>780605.59999999893</v>
      </c>
      <c r="BC21" s="1">
        <v>0</v>
      </c>
      <c r="BD21" s="20">
        <f>AY21+BC21+BB21</f>
        <v>456755.59999999893</v>
      </c>
      <c r="BE21" s="1">
        <f>BA21</f>
        <v>0</v>
      </c>
      <c r="BF21" s="1">
        <f>BD21+BE21</f>
        <v>456755.59999999893</v>
      </c>
      <c r="BG21" s="20">
        <f>BC21+AY21+BB21</f>
        <v>456755.59999999893</v>
      </c>
      <c r="BH21" s="1">
        <f>BA21</f>
        <v>0</v>
      </c>
      <c r="BI21" s="1">
        <f>BG21+BH21</f>
        <v>456755.59999999893</v>
      </c>
      <c r="BJ21" s="12">
        <f>QaAssert(N21,AR21)</f>
        <v>0</v>
      </c>
      <c r="BK21" s="12">
        <f>QaAssert(L21,AS21)</f>
        <v>0</v>
      </c>
      <c r="BL21" s="3">
        <f>QaAssert(AY21,M21)</f>
        <v>0</v>
      </c>
      <c r="BM21" s="3">
        <f>QaAssert(AZ21,U21)</f>
        <v>0</v>
      </c>
      <c r="BN21" s="3">
        <f>QaAssert(BA21, V21)</f>
        <v>0</v>
      </c>
      <c r="BO21" s="3">
        <f t="shared" ref="BO21:BU24" si="42">QaAssert(W21,BC21)</f>
        <v>0</v>
      </c>
      <c r="BP21" s="3">
        <f t="shared" si="42"/>
        <v>0</v>
      </c>
      <c r="BQ21" s="3">
        <f t="shared" si="42"/>
        <v>0</v>
      </c>
      <c r="BR21" s="3">
        <f t="shared" si="42"/>
        <v>0</v>
      </c>
      <c r="BS21" s="3">
        <f t="shared" si="42"/>
        <v>0</v>
      </c>
      <c r="BT21" s="3">
        <f t="shared" si="42"/>
        <v>0</v>
      </c>
      <c r="BU21" s="3">
        <f t="shared" si="42"/>
        <v>0</v>
      </c>
      <c r="BV21" s="3">
        <f t="shared" ref="BV21:BX24" si="43">QaAssert(O21,AT21)</f>
        <v>0</v>
      </c>
      <c r="BW21" s="3">
        <f t="shared" si="43"/>
        <v>0</v>
      </c>
      <c r="BX21" s="3">
        <f t="shared" si="43"/>
        <v>0</v>
      </c>
      <c r="BY21" s="3">
        <f>QaAssert(S21,AX21)</f>
        <v>0</v>
      </c>
      <c r="BZ21" s="3">
        <f>QaAssert(R21,AW21)</f>
        <v>0</v>
      </c>
      <c r="CA21" s="7"/>
      <c r="CB21" s="7"/>
      <c r="CC21" s="7"/>
    </row>
    <row r="22" spans="1:81" x14ac:dyDescent="0.25">
      <c r="B22" s="15" t="s">
        <v>75</v>
      </c>
      <c r="C22" s="17" t="s">
        <v>95</v>
      </c>
      <c r="D22" s="15" t="s">
        <v>87</v>
      </c>
      <c r="E22" s="31">
        <v>40634</v>
      </c>
      <c r="F22" s="31">
        <v>40724</v>
      </c>
      <c r="G22" s="27">
        <f>F22</f>
        <v>40724</v>
      </c>
      <c r="H22" s="15">
        <v>30</v>
      </c>
      <c r="I22" s="15" t="s">
        <v>7</v>
      </c>
      <c r="J22" s="15">
        <v>10</v>
      </c>
      <c r="K22" s="15">
        <v>2184</v>
      </c>
      <c r="L22" s="15">
        <v>15</v>
      </c>
      <c r="M22" s="15">
        <f>-L22*K22*J22</f>
        <v>-327600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16">
        <f>N22*J22*K22</f>
        <v>0</v>
      </c>
      <c r="V22" s="6">
        <v>0</v>
      </c>
      <c r="W22" s="15">
        <v>0</v>
      </c>
      <c r="X22" s="6">
        <v>158799.299999999</v>
      </c>
      <c r="Y22" s="6">
        <v>0</v>
      </c>
      <c r="Z22" s="6">
        <v>158799.299999999</v>
      </c>
      <c r="AA22" s="6">
        <v>158799.299999999</v>
      </c>
      <c r="AB22" s="6">
        <v>0</v>
      </c>
      <c r="AC22" s="6">
        <v>158799.299999999</v>
      </c>
      <c r="AD22" s="9">
        <v>0</v>
      </c>
      <c r="AE22" s="9">
        <v>0</v>
      </c>
      <c r="AF22" s="9">
        <v>1</v>
      </c>
      <c r="AG22" s="9">
        <f>J22*K22</f>
        <v>21840</v>
      </c>
      <c r="AH22" s="9">
        <v>1</v>
      </c>
      <c r="AI22" s="9">
        <f>L22</f>
        <v>15</v>
      </c>
      <c r="AJ22" s="9" t="s">
        <v>95</v>
      </c>
      <c r="AK22" s="9">
        <v>52.271030219780201</v>
      </c>
      <c r="AL22" s="9">
        <v>2184</v>
      </c>
      <c r="AM22" s="9">
        <v>0</v>
      </c>
      <c r="AN22" s="9">
        <f>AL22+AM22</f>
        <v>2184</v>
      </c>
      <c r="AO22" s="25">
        <f>IF($E$9&gt;=E22,AM22/(AN22),1)</f>
        <v>0</v>
      </c>
      <c r="AP22" s="25" t="e">
        <f>IF($E$9&gt;=E22,(AN22/AM22)*H22-(AL22/AM22)*AK22,H22)</f>
        <v>#DIV/0!</v>
      </c>
      <c r="AQ22" s="1" t="str">
        <f>MID(C22,4,1)</f>
        <v>C</v>
      </c>
      <c r="AR22" s="1">
        <f>B76Future($E$9,AQ22,AE22,AP22,G22,T22,AD22)*AF22*AO22</f>
        <v>0</v>
      </c>
      <c r="AS22" s="1">
        <f>AI22*AF22</f>
        <v>15</v>
      </c>
      <c r="AT22" s="1">
        <f>B76Delta($E$9,AQ22,AE22,AP22,G22,T22,AD22)*AO22</f>
        <v>0</v>
      </c>
      <c r="AU22" s="1">
        <f>B76Gamma($E$9,AQ22,AE22,AP22,G22,T22,AD22)*AO22</f>
        <v>0</v>
      </c>
      <c r="AV22" s="1">
        <f>B76Vega($E$9,AQ22,AE22,AP22,G22,T22,AD22)*AO22</f>
        <v>0</v>
      </c>
      <c r="AW22" s="1">
        <f>B76Theta($E$9,AQ22,AE22,AP22,G22,T22,AD22)*AO22</f>
        <v>0</v>
      </c>
      <c r="AX22" s="1">
        <f>B76Rho($E$9,AQ22,AE22,AP22,G22,T22,AD22)*AO22</f>
        <v>0</v>
      </c>
      <c r="AY22" s="20">
        <f>-AS22*AG22*AH22</f>
        <v>-327600</v>
      </c>
      <c r="AZ22" s="1">
        <f>AR22*AG22*AH22</f>
        <v>0</v>
      </c>
      <c r="BA22" s="1">
        <f>AZ22</f>
        <v>0</v>
      </c>
      <c r="BB22" s="1">
        <f>IF($E$9&gt;=F22,MAX((AK22-H22)*AG22,0),0)</f>
        <v>486399.29999999958</v>
      </c>
      <c r="BC22" s="1">
        <v>0</v>
      </c>
      <c r="BD22" s="20">
        <f>AY22+BC22+BB22</f>
        <v>158799.29999999958</v>
      </c>
      <c r="BE22" s="1">
        <f>BA22</f>
        <v>0</v>
      </c>
      <c r="BF22" s="1">
        <f>BD22+BE22</f>
        <v>158799.29999999958</v>
      </c>
      <c r="BG22" s="20">
        <f>BC22+AY22+BB22</f>
        <v>158799.29999999958</v>
      </c>
      <c r="BH22" s="1">
        <f>BA22</f>
        <v>0</v>
      </c>
      <c r="BI22" s="1">
        <f>BG22+BH22</f>
        <v>158799.29999999958</v>
      </c>
      <c r="BJ22" s="12">
        <f>QaAssert(N22,AR22)</f>
        <v>0</v>
      </c>
      <c r="BK22" s="12">
        <f>QaAssert(L22,AS22)</f>
        <v>0</v>
      </c>
      <c r="BL22" s="3">
        <f>QaAssert(AY22,M22)</f>
        <v>0</v>
      </c>
      <c r="BM22" s="3">
        <f>QaAssert(AZ22,U22)</f>
        <v>0</v>
      </c>
      <c r="BN22" s="3">
        <f>QaAssert(BA22, V22)</f>
        <v>0</v>
      </c>
      <c r="BO22" s="3">
        <f t="shared" si="42"/>
        <v>0</v>
      </c>
      <c r="BP22" s="3">
        <f t="shared" si="42"/>
        <v>0</v>
      </c>
      <c r="BQ22" s="3">
        <f t="shared" si="42"/>
        <v>0</v>
      </c>
      <c r="BR22" s="3">
        <f t="shared" si="42"/>
        <v>0</v>
      </c>
      <c r="BS22" s="3">
        <f t="shared" si="42"/>
        <v>0</v>
      </c>
      <c r="BT22" s="3">
        <f t="shared" si="42"/>
        <v>0</v>
      </c>
      <c r="BU22" s="3">
        <f t="shared" si="42"/>
        <v>0</v>
      </c>
      <c r="BV22" s="3">
        <f t="shared" si="43"/>
        <v>0</v>
      </c>
      <c r="BW22" s="3">
        <f t="shared" si="43"/>
        <v>0</v>
      </c>
      <c r="BX22" s="3">
        <f t="shared" si="43"/>
        <v>0</v>
      </c>
      <c r="BY22" s="3">
        <f>QaAssert(S22,AX22)</f>
        <v>0</v>
      </c>
      <c r="BZ22" s="3">
        <f>QaAssert(R22,AW22)</f>
        <v>0</v>
      </c>
      <c r="CA22" s="7"/>
      <c r="CB22" s="7"/>
      <c r="CC22" s="7"/>
    </row>
    <row r="23" spans="1:81" x14ac:dyDescent="0.25">
      <c r="B23" s="15" t="s">
        <v>75</v>
      </c>
      <c r="C23" s="18" t="s">
        <v>95</v>
      </c>
      <c r="D23" s="15" t="s">
        <v>88</v>
      </c>
      <c r="E23" s="31">
        <v>40725</v>
      </c>
      <c r="F23" s="31">
        <v>40816</v>
      </c>
      <c r="G23" s="27">
        <f>F23</f>
        <v>40816</v>
      </c>
      <c r="H23" s="15">
        <v>30</v>
      </c>
      <c r="I23" s="15" t="s">
        <v>7</v>
      </c>
      <c r="J23" s="18">
        <v>10</v>
      </c>
      <c r="K23" s="18">
        <v>2208</v>
      </c>
      <c r="L23" s="18">
        <v>15</v>
      </c>
      <c r="M23" s="15">
        <f>-L23*K23*J23</f>
        <v>-331200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16">
        <f>N23*J23*K23</f>
        <v>0</v>
      </c>
      <c r="V23" s="6">
        <v>0</v>
      </c>
      <c r="W23" s="18">
        <v>0</v>
      </c>
      <c r="X23" s="6">
        <v>-198071.6</v>
      </c>
      <c r="Y23" s="6">
        <v>0</v>
      </c>
      <c r="Z23" s="6">
        <v>-198071.6</v>
      </c>
      <c r="AA23" s="6">
        <v>-198071.6</v>
      </c>
      <c r="AB23" s="6">
        <v>0</v>
      </c>
      <c r="AC23" s="6">
        <v>-198071.6</v>
      </c>
      <c r="AD23" s="9">
        <v>0</v>
      </c>
      <c r="AE23" s="9">
        <v>0</v>
      </c>
      <c r="AF23" s="9">
        <v>1</v>
      </c>
      <c r="AG23" s="9">
        <f>J23*K23</f>
        <v>22080</v>
      </c>
      <c r="AH23" s="9">
        <v>1</v>
      </c>
      <c r="AI23" s="9">
        <f>L23</f>
        <v>15</v>
      </c>
      <c r="AJ23" s="9" t="s">
        <v>95</v>
      </c>
      <c r="AK23" s="9">
        <v>36.029365942029003</v>
      </c>
      <c r="AL23" s="9">
        <v>2208</v>
      </c>
      <c r="AM23" s="9">
        <v>0</v>
      </c>
      <c r="AN23" s="9">
        <f>AL23+AM23</f>
        <v>2208</v>
      </c>
      <c r="AO23" s="25">
        <f>IF($E$9&gt;=E23,AM23/(AN23),1)</f>
        <v>0</v>
      </c>
      <c r="AP23" s="25" t="e">
        <f>IF($E$9&gt;=E23,(AN23/AM23)*H23-(AL23/AM23)*AK23,H23)</f>
        <v>#DIV/0!</v>
      </c>
      <c r="AQ23" s="1" t="str">
        <f>MID(C23,4,1)</f>
        <v>C</v>
      </c>
      <c r="AR23" s="1">
        <f>B76Future($E$9,AQ23,AE23,AP23,G23,T23,AD23)*AF23*AO23</f>
        <v>0</v>
      </c>
      <c r="AS23" s="1">
        <f>AI23*AF23</f>
        <v>15</v>
      </c>
      <c r="AT23" s="1">
        <f>B76Delta($E$9,AQ23,AE23,AP23,G23,T23,AD23)*AO23</f>
        <v>0</v>
      </c>
      <c r="AU23" s="1">
        <f>B76Gamma($E$9,AQ23,AE23,AP23,G23,T23,AD23)*AO23</f>
        <v>0</v>
      </c>
      <c r="AV23" s="1">
        <f>B76Vega($E$9,AQ23,AE23,AP23,G23,T23,AD23)*AO23</f>
        <v>0</v>
      </c>
      <c r="AW23" s="1">
        <f>B76Theta($E$9,AQ23,AE23,AP23,G23,T23,AD23)*AO23</f>
        <v>0</v>
      </c>
      <c r="AX23" s="1">
        <f>B76Rho($E$9,AQ23,AE23,AP23,G23,T23,AD23)*AO23</f>
        <v>0</v>
      </c>
      <c r="AY23" s="20">
        <f>-AS23*AG23*AH23</f>
        <v>-331200</v>
      </c>
      <c r="AZ23" s="1">
        <f>AR23*AG23*AH23</f>
        <v>0</v>
      </c>
      <c r="BA23" s="1">
        <f>AZ23</f>
        <v>0</v>
      </c>
      <c r="BB23" s="1">
        <f>IF($E$9&gt;=F23,MAX((AK23-H23)*AG23,0),0)</f>
        <v>133128.40000000037</v>
      </c>
      <c r="BC23" s="1">
        <v>0</v>
      </c>
      <c r="BD23" s="20">
        <f>AY23+BC23+BB23</f>
        <v>-198071.59999999963</v>
      </c>
      <c r="BE23" s="1">
        <f>BA23</f>
        <v>0</v>
      </c>
      <c r="BF23" s="1">
        <f>BD23+BE23</f>
        <v>-198071.59999999963</v>
      </c>
      <c r="BG23" s="20">
        <f>BC23+AY23+BB23</f>
        <v>-198071.59999999963</v>
      </c>
      <c r="BH23" s="1">
        <f>BA23</f>
        <v>0</v>
      </c>
      <c r="BI23" s="1">
        <f>BG23+BH23</f>
        <v>-198071.59999999963</v>
      </c>
      <c r="BJ23" s="12">
        <f>QaAssert(N23,AR23)</f>
        <v>0</v>
      </c>
      <c r="BK23" s="12">
        <f>QaAssert(L23,AS23)</f>
        <v>0</v>
      </c>
      <c r="BL23" s="3">
        <f>QaAssert(AY23,M23)</f>
        <v>0</v>
      </c>
      <c r="BM23" s="3">
        <f>QaAssert(AZ23,U23)</f>
        <v>0</v>
      </c>
      <c r="BN23" s="3">
        <f>QaAssert(BA23, V23)</f>
        <v>0</v>
      </c>
      <c r="BO23" s="3">
        <f t="shared" si="42"/>
        <v>0</v>
      </c>
      <c r="BP23" s="3">
        <f t="shared" si="42"/>
        <v>0</v>
      </c>
      <c r="BQ23" s="3">
        <f t="shared" si="42"/>
        <v>0</v>
      </c>
      <c r="BR23" s="3">
        <f t="shared" si="42"/>
        <v>0</v>
      </c>
      <c r="BS23" s="3">
        <f t="shared" si="42"/>
        <v>0</v>
      </c>
      <c r="BT23" s="3">
        <f t="shared" si="42"/>
        <v>0</v>
      </c>
      <c r="BU23" s="3">
        <f t="shared" si="42"/>
        <v>0</v>
      </c>
      <c r="BV23" s="3">
        <f t="shared" si="43"/>
        <v>0</v>
      </c>
      <c r="BW23" s="3">
        <f t="shared" si="43"/>
        <v>0</v>
      </c>
      <c r="BX23" s="3">
        <f t="shared" si="43"/>
        <v>0</v>
      </c>
      <c r="BY23" s="3">
        <f>QaAssert(S23,AX23)</f>
        <v>0</v>
      </c>
      <c r="BZ23" s="3">
        <f>QaAssert(R23,AW23)</f>
        <v>0</v>
      </c>
    </row>
    <row r="24" spans="1:81" s="7" customFormat="1" x14ac:dyDescent="0.25">
      <c r="B24" s="15" t="s">
        <v>75</v>
      </c>
      <c r="C24" s="18" t="s">
        <v>95</v>
      </c>
      <c r="D24" s="15" t="s">
        <v>89</v>
      </c>
      <c r="E24" s="31">
        <v>40817</v>
      </c>
      <c r="F24" s="31">
        <v>40908</v>
      </c>
      <c r="G24" s="27">
        <f>F24</f>
        <v>40908</v>
      </c>
      <c r="H24" s="15">
        <v>30</v>
      </c>
      <c r="I24" s="15" t="s">
        <v>3</v>
      </c>
      <c r="J24" s="18">
        <v>10</v>
      </c>
      <c r="K24" s="18">
        <v>2209</v>
      </c>
      <c r="L24" s="18">
        <v>15</v>
      </c>
      <c r="M24" s="15">
        <f>-L24*K24*J24</f>
        <v>-331350</v>
      </c>
      <c r="N24" s="6">
        <v>9.5877982152974202</v>
      </c>
      <c r="O24" s="6">
        <v>0.638210394712311</v>
      </c>
      <c r="P24" s="6">
        <v>3.3111366851428601E-3</v>
      </c>
      <c r="Q24" s="6">
        <v>0.54552236026477796</v>
      </c>
      <c r="R24" s="6">
        <v>-1.79945447738443E-3</v>
      </c>
      <c r="S24" s="6">
        <v>-1.5760764189530001</v>
      </c>
      <c r="T24" s="6">
        <v>0.48268935539166202</v>
      </c>
      <c r="U24" s="16">
        <f>N24*J24*K24</f>
        <v>211794.46257592001</v>
      </c>
      <c r="V24" s="6">
        <v>211794.46257592001</v>
      </c>
      <c r="W24" s="18">
        <v>0</v>
      </c>
      <c r="X24" s="6">
        <v>-331350</v>
      </c>
      <c r="Y24" s="6">
        <v>211794.46257592001</v>
      </c>
      <c r="Z24" s="6">
        <v>-119555.53742408</v>
      </c>
      <c r="AA24" s="6">
        <v>-331350</v>
      </c>
      <c r="AB24" s="6">
        <v>211794.46257592001</v>
      </c>
      <c r="AC24" s="6">
        <v>-119555.53742408</v>
      </c>
      <c r="AD24" s="9">
        <v>1.5032043678849451E-2</v>
      </c>
      <c r="AE24" s="9">
        <v>45.567444154755101</v>
      </c>
      <c r="AF24" s="9">
        <v>1</v>
      </c>
      <c r="AG24" s="9">
        <f>J24*K24</f>
        <v>22090</v>
      </c>
      <c r="AH24" s="9">
        <v>1</v>
      </c>
      <c r="AI24" s="9">
        <f>L24</f>
        <v>15</v>
      </c>
      <c r="AJ24" s="9" t="s">
        <v>95</v>
      </c>
      <c r="AK24" s="9">
        <v>28.338244473342002</v>
      </c>
      <c r="AL24" s="9">
        <f>32*24+1</f>
        <v>769</v>
      </c>
      <c r="AM24" s="9">
        <f>60*24</f>
        <v>1440</v>
      </c>
      <c r="AN24" s="9">
        <f>AL24+AM24</f>
        <v>2209</v>
      </c>
      <c r="AO24" s="25">
        <f>IF($E$9&gt;=E24,AM24/(AN24),1)</f>
        <v>0.65187867813490263</v>
      </c>
      <c r="AP24" s="25">
        <f>IF($E$9&gt;=E24,(AN24/AM24)*H24-(AL24/AM24)*AK24,H24)</f>
        <v>30.887423611111114</v>
      </c>
      <c r="AQ24" s="1" t="str">
        <f>MID(C24,4,1)</f>
        <v>C</v>
      </c>
      <c r="AR24" s="1">
        <f>B76Future($E$9,AQ24,AE24,AP24,G24,T24,AD24)*AF24*AO24</f>
        <v>9.5877982162993636</v>
      </c>
      <c r="AS24" s="1">
        <f>AI24*AF24</f>
        <v>15</v>
      </c>
      <c r="AT24" s="1">
        <f>B76Delta($E$9,AQ24,AE24,AP24,G24,T24,AD24)*AO24</f>
        <v>0.63821039468526641</v>
      </c>
      <c r="AU24" s="1">
        <f>B76Gamma($E$9,AQ24,AE24,AP24,G24,T24,AD24)*AO24</f>
        <v>3.3111366851428085E-3</v>
      </c>
      <c r="AV24" s="1">
        <f>B76Vega($E$9,AQ24,AE24,AP24,G24,T24,AD24)*AO24</f>
        <v>0.54552236026477052</v>
      </c>
      <c r="AW24" s="1">
        <f>B76Theta($E$9,AQ24,AE24,AP24,G24,T24,AD24)*AO24</f>
        <v>-1.7994544773431347E-3</v>
      </c>
      <c r="AX24" s="1">
        <f>B76Rho($E$9,AQ24,AE24,AP24,G24,T24,AD24)*AO24</f>
        <v>-1.5760764191177035</v>
      </c>
      <c r="AY24" s="20">
        <f>-AS24*AG24*AH24</f>
        <v>-331350</v>
      </c>
      <c r="AZ24" s="1">
        <f>AR24*AG24*AH24</f>
        <v>211794.46259805295</v>
      </c>
      <c r="BA24" s="1">
        <f>AZ24</f>
        <v>211794.46259805295</v>
      </c>
      <c r="BB24" s="1">
        <f>IF($E$9&gt;=F24,MAX((AK24-H24)*AG24,0),0)</f>
        <v>0</v>
      </c>
      <c r="BC24" s="1">
        <v>0</v>
      </c>
      <c r="BD24" s="20">
        <f>AY24+BC24+BB24</f>
        <v>-331350</v>
      </c>
      <c r="BE24" s="1">
        <f>BA24</f>
        <v>211794.46259805295</v>
      </c>
      <c r="BF24" s="1">
        <f>BD24+BE24</f>
        <v>-119555.53740194705</v>
      </c>
      <c r="BG24" s="20">
        <f>BC24+AY24+BB24</f>
        <v>-331350</v>
      </c>
      <c r="BH24" s="1">
        <f>BA24</f>
        <v>211794.46259805295</v>
      </c>
      <c r="BI24" s="1">
        <f>BG24+BH24</f>
        <v>-119555.53740194705</v>
      </c>
      <c r="BJ24" s="12">
        <f>QaAssert(N24,AR24)</f>
        <v>0</v>
      </c>
      <c r="BK24" s="12">
        <f>QaAssert(L24,AS24)</f>
        <v>0</v>
      </c>
      <c r="BL24" s="3">
        <f>QaAssert(AY24,M24)</f>
        <v>0</v>
      </c>
      <c r="BM24" s="3">
        <f>QaAssert(AZ24,U24)</f>
        <v>0</v>
      </c>
      <c r="BN24" s="3">
        <f>QaAssert(BA24, V24)</f>
        <v>0</v>
      </c>
      <c r="BO24" s="3">
        <f t="shared" si="42"/>
        <v>0</v>
      </c>
      <c r="BP24" s="3">
        <f t="shared" si="42"/>
        <v>0</v>
      </c>
      <c r="BQ24" s="3">
        <f t="shared" si="42"/>
        <v>0</v>
      </c>
      <c r="BR24" s="3">
        <f t="shared" si="42"/>
        <v>0</v>
      </c>
      <c r="BS24" s="3">
        <f t="shared" si="42"/>
        <v>0</v>
      </c>
      <c r="BT24" s="3">
        <f t="shared" si="42"/>
        <v>0</v>
      </c>
      <c r="BU24" s="3">
        <f t="shared" si="42"/>
        <v>0</v>
      </c>
      <c r="BV24" s="3">
        <f t="shared" si="43"/>
        <v>0</v>
      </c>
      <c r="BW24" s="3">
        <f t="shared" si="43"/>
        <v>0</v>
      </c>
      <c r="BX24" s="3">
        <f t="shared" si="43"/>
        <v>0</v>
      </c>
      <c r="BY24" s="3">
        <f>QaAssert(S24,AX24)</f>
        <v>0</v>
      </c>
      <c r="BZ24" s="3">
        <f>QaAssert(R24,AW24)</f>
        <v>0</v>
      </c>
    </row>
    <row r="25" spans="1:81" s="19" customFormat="1" x14ac:dyDescent="0.25">
      <c r="B25" s="38"/>
      <c r="C25" s="39"/>
      <c r="D25" s="38"/>
      <c r="E25" s="32"/>
      <c r="F25" s="32"/>
      <c r="G25" s="40"/>
      <c r="H25" s="38"/>
      <c r="I25" s="38"/>
      <c r="J25" s="39"/>
      <c r="K25" s="39"/>
      <c r="L25" s="39"/>
      <c r="M25" s="38"/>
      <c r="U25" s="41"/>
      <c r="W25" s="39"/>
      <c r="AQ25" s="42"/>
      <c r="AR25" s="42"/>
      <c r="AS25" s="42"/>
      <c r="AT25" s="42"/>
      <c r="AU25" s="42"/>
      <c r="AV25" s="42"/>
      <c r="AW25" s="42"/>
      <c r="AX25" s="42"/>
      <c r="AY25" s="43"/>
      <c r="AZ25" s="42"/>
      <c r="BA25" s="42"/>
      <c r="BB25" s="42"/>
      <c r="BC25" s="42"/>
      <c r="BD25" s="43"/>
      <c r="BE25" s="42"/>
      <c r="BF25" s="42"/>
      <c r="BG25" s="43"/>
      <c r="BH25" s="42"/>
      <c r="BI25" s="42"/>
      <c r="BJ25" s="44"/>
      <c r="BK25" s="44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</row>
    <row r="26" spans="1:81" s="33" customFormat="1" x14ac:dyDescent="0.25">
      <c r="A26" s="46" t="s">
        <v>107</v>
      </c>
      <c r="B26" s="15" t="s">
        <v>75</v>
      </c>
      <c r="C26" s="18" t="s">
        <v>98</v>
      </c>
      <c r="D26" s="15" t="s">
        <v>86</v>
      </c>
      <c r="E26" s="31">
        <v>40868</v>
      </c>
      <c r="F26" s="31">
        <v>40868</v>
      </c>
      <c r="G26" s="27">
        <f t="shared" ref="G26:G32" si="44">F26</f>
        <v>40868</v>
      </c>
      <c r="H26" s="15">
        <v>30</v>
      </c>
      <c r="I26" s="15" t="s">
        <v>3</v>
      </c>
      <c r="J26" s="18">
        <v>10</v>
      </c>
      <c r="K26" s="18">
        <v>24</v>
      </c>
      <c r="L26" s="18">
        <v>15</v>
      </c>
      <c r="M26" s="15">
        <f t="shared" ref="M26:M32" si="45">-L26*K26*J26</f>
        <v>-3600</v>
      </c>
      <c r="N26" s="6">
        <v>17.592861864211201</v>
      </c>
      <c r="O26" s="6">
        <v>0.98504416121263205</v>
      </c>
      <c r="P26" s="6">
        <v>3.4408625700995499E-3</v>
      </c>
      <c r="Q26" s="6">
        <v>0.403346183677256</v>
      </c>
      <c r="R26" s="6">
        <v>-8.9233974198054504E-3</v>
      </c>
      <c r="S26" s="6">
        <v>-0.96399243091568199</v>
      </c>
      <c r="T26" s="6">
        <v>0.94624832968245898</v>
      </c>
      <c r="U26" s="16">
        <f t="shared" ref="U26:U32" si="46">N26*J26*K26</f>
        <v>4222.2868474106881</v>
      </c>
      <c r="V26" s="6">
        <v>4222.2868474106899</v>
      </c>
      <c r="W26" s="18">
        <v>0</v>
      </c>
      <c r="X26" s="6">
        <v>-3600</v>
      </c>
      <c r="Y26" s="6">
        <v>4222.2868474106899</v>
      </c>
      <c r="Z26" s="6">
        <v>622.28684741068605</v>
      </c>
      <c r="AA26" s="6">
        <v>-3600</v>
      </c>
      <c r="AB26" s="6">
        <v>4222.2868474106899</v>
      </c>
      <c r="AC26" s="6">
        <v>622.28684741068605</v>
      </c>
      <c r="AD26" s="9">
        <v>1.2826737536044699E-2</v>
      </c>
      <c r="AE26" s="9">
        <v>47.548211301812493</v>
      </c>
      <c r="AF26" s="9">
        <v>1</v>
      </c>
      <c r="AG26" s="9">
        <f t="shared" ref="AG26:AG32" si="47">J26*K26</f>
        <v>240</v>
      </c>
      <c r="AH26" s="9">
        <v>1</v>
      </c>
      <c r="AI26" s="9">
        <v>15</v>
      </c>
      <c r="AJ26" s="36" t="s">
        <v>98</v>
      </c>
      <c r="AK26" s="9"/>
      <c r="AL26" s="9">
        <v>0</v>
      </c>
      <c r="AM26" s="9">
        <v>24</v>
      </c>
      <c r="AN26" s="9">
        <f t="shared" ref="AN26:AN32" si="48">AL26+AM26</f>
        <v>24</v>
      </c>
      <c r="AO26" s="37">
        <f t="shared" ref="AO26:AO32" si="49">IF($E$9&gt;=E26,AM26/(AN26),1)</f>
        <v>1</v>
      </c>
      <c r="AP26" s="37">
        <f t="shared" ref="AP26:AP32" si="50">IF($E$9&gt;=E26,(AN26/AM26)*H26-(AL26/AM26)*AK26,H26)</f>
        <v>30</v>
      </c>
      <c r="AQ26" s="1" t="str">
        <f t="shared" ref="AQ26:AQ32" si="51">MID(C26,4,1)</f>
        <v>C</v>
      </c>
      <c r="AR26" s="1">
        <f t="shared" ref="AR26:AR32" si="52">B76Future($E$9,AQ26,AE26,AP26,G26,T26,AD26)*AF26*AO26</f>
        <v>17.592861865381437</v>
      </c>
      <c r="AS26" s="1">
        <f t="shared" ref="AS26:AS32" si="53">AI26*AF26</f>
        <v>15</v>
      </c>
      <c r="AT26" s="1">
        <f t="shared" ref="AT26:AT32" si="54">B76Delta($E$9,AQ26,AE26,AP26,G26,T26,AD26)*AO26</f>
        <v>0.9850441611859978</v>
      </c>
      <c r="AU26" s="1">
        <f t="shared" ref="AU26:AU32" si="55">B76Gamma($E$9,AQ26,AE26,AP26,G26,T26,AD26)*AO26</f>
        <v>3.440862570099395E-3</v>
      </c>
      <c r="AV26" s="1">
        <f t="shared" ref="AV26:AV32" si="56">B76Vega($E$9,AQ26,AE26,AP26,G26,T26,AD26)*AO26</f>
        <v>0.4033461836772409</v>
      </c>
      <c r="AW26" s="1">
        <f t="shared" ref="AW26:AW32" si="57">B76Theta($E$9,AQ26,AE26,AP26,G26,T26,AD26)*AO26</f>
        <v>-8.9233974197640079E-3</v>
      </c>
      <c r="AX26" s="1">
        <f t="shared" ref="AX26:AX32" si="58">B76Rho($E$9,AQ26,AE26,AP26,G26,T26,AD26)*AO26</f>
        <v>-0.96399243097980469</v>
      </c>
      <c r="AY26" s="20">
        <f t="shared" ref="AY26:AY32" si="59">-AS26*AG26*AH26</f>
        <v>-3600</v>
      </c>
      <c r="AZ26" s="1">
        <f t="shared" ref="AZ26:AZ32" si="60">AR26*AG26*AH26</f>
        <v>4222.2868476915446</v>
      </c>
      <c r="BA26" s="1">
        <f t="shared" ref="BA26:BA32" si="61">AZ26</f>
        <v>4222.2868476915446</v>
      </c>
      <c r="BB26" s="1">
        <f t="shared" ref="BB26:BB32" si="62">IF($E$9&gt;=F26,MAX((AK26-H26)*AG26,0),0)</f>
        <v>0</v>
      </c>
      <c r="BC26" s="1">
        <v>0</v>
      </c>
      <c r="BD26" s="20">
        <f t="shared" ref="BD26:BD32" si="63">AY26+BC26+BB26</f>
        <v>-3600</v>
      </c>
      <c r="BE26" s="1">
        <f t="shared" ref="BE26:BE32" si="64">BA26</f>
        <v>4222.2868476915446</v>
      </c>
      <c r="BF26" s="1">
        <f t="shared" ref="BF26:BF32" si="65">BD26+BE26</f>
        <v>622.28684769154461</v>
      </c>
      <c r="BG26" s="20">
        <f t="shared" ref="BG26:BG32" si="66">BC26+AY26+BB26</f>
        <v>-3600</v>
      </c>
      <c r="BH26" s="1">
        <f t="shared" ref="BH26:BH32" si="67">BA26</f>
        <v>4222.2868476915446</v>
      </c>
      <c r="BI26" s="1">
        <f t="shared" ref="BI26:BI32" si="68">BG26+BH26</f>
        <v>622.28684769154461</v>
      </c>
      <c r="BJ26" s="12">
        <f t="shared" ref="BJ26:BJ32" si="69">QaAssert(N26,AR26)</f>
        <v>0</v>
      </c>
      <c r="BK26" s="12">
        <f t="shared" ref="BK26:BK32" si="70">QaAssert(L26,AS26)</f>
        <v>0</v>
      </c>
      <c r="BL26" s="3">
        <f t="shared" ref="BL26:BL32" si="71">QaAssert(AY26,M26)</f>
        <v>0</v>
      </c>
      <c r="BM26" s="3">
        <f t="shared" ref="BM26:BM32" si="72">QaAssert(AZ26,U26)</f>
        <v>0</v>
      </c>
      <c r="BN26" s="3">
        <f t="shared" ref="BN26:BN32" si="73">QaAssert(BA26, V26)</f>
        <v>0</v>
      </c>
      <c r="BO26" s="3">
        <f t="shared" ref="BO26:BU32" si="74">QaAssert(W26,BC26)</f>
        <v>0</v>
      </c>
      <c r="BP26" s="3">
        <f t="shared" si="74"/>
        <v>0</v>
      </c>
      <c r="BQ26" s="3">
        <f t="shared" si="74"/>
        <v>0</v>
      </c>
      <c r="BR26" s="3">
        <f t="shared" si="74"/>
        <v>0</v>
      </c>
      <c r="BS26" s="3">
        <f t="shared" si="74"/>
        <v>0</v>
      </c>
      <c r="BT26" s="3">
        <f t="shared" si="74"/>
        <v>0</v>
      </c>
      <c r="BU26" s="3">
        <f t="shared" si="74"/>
        <v>0</v>
      </c>
      <c r="BV26" s="3">
        <f t="shared" ref="BV26:BX32" si="75">QaAssert(O26,AT26)</f>
        <v>0</v>
      </c>
      <c r="BW26" s="3">
        <f t="shared" si="75"/>
        <v>0</v>
      </c>
      <c r="BX26" s="3">
        <f t="shared" si="75"/>
        <v>0</v>
      </c>
      <c r="BY26" s="3">
        <f t="shared" ref="BY26:BY32" si="76">QaAssert(S26,AX26)</f>
        <v>0</v>
      </c>
      <c r="BZ26" s="3">
        <f t="shared" ref="BZ26:BZ32" si="77">QaAssert(R26,AW26)</f>
        <v>0</v>
      </c>
    </row>
    <row r="27" spans="1:81" s="33" customFormat="1" x14ac:dyDescent="0.25">
      <c r="B27" s="15" t="s">
        <v>75</v>
      </c>
      <c r="C27" s="18" t="s">
        <v>98</v>
      </c>
      <c r="D27" s="15" t="s">
        <v>87</v>
      </c>
      <c r="E27" s="31">
        <v>40869</v>
      </c>
      <c r="F27" s="31">
        <v>40869</v>
      </c>
      <c r="G27" s="27">
        <f t="shared" si="44"/>
        <v>40869</v>
      </c>
      <c r="H27" s="15">
        <v>30</v>
      </c>
      <c r="I27" s="15" t="s">
        <v>3</v>
      </c>
      <c r="J27" s="18">
        <v>11</v>
      </c>
      <c r="K27" s="18">
        <v>24</v>
      </c>
      <c r="L27" s="18">
        <v>15</v>
      </c>
      <c r="M27" s="15">
        <f t="shared" si="45"/>
        <v>-3960</v>
      </c>
      <c r="N27" s="6">
        <v>17.679093295609299</v>
      </c>
      <c r="O27" s="6">
        <v>0.98396956123715296</v>
      </c>
      <c r="P27" s="6">
        <v>3.5828560824027701E-3</v>
      </c>
      <c r="Q27" s="6">
        <v>0.43971099095479099</v>
      </c>
      <c r="R27" s="6">
        <v>-9.2182716592726192E-3</v>
      </c>
      <c r="S27" s="6">
        <v>-1.0171533128980701</v>
      </c>
      <c r="T27" s="6">
        <v>0.94029564433709301</v>
      </c>
      <c r="U27" s="16">
        <f t="shared" si="46"/>
        <v>4667.2806300408547</v>
      </c>
      <c r="V27" s="6">
        <v>4667.2806300408502</v>
      </c>
      <c r="W27" s="18">
        <v>0</v>
      </c>
      <c r="X27" s="6">
        <v>-3960</v>
      </c>
      <c r="Y27" s="6">
        <v>4667.2806300408502</v>
      </c>
      <c r="Z27" s="6">
        <v>707.280630040848</v>
      </c>
      <c r="AA27" s="6">
        <v>-3960</v>
      </c>
      <c r="AB27" s="6">
        <v>4667.2806300408502</v>
      </c>
      <c r="AC27" s="6">
        <v>707.280630040848</v>
      </c>
      <c r="AD27" s="9">
        <v>1.2923774390302E-2</v>
      </c>
      <c r="AE27" s="9">
        <v>47.62922901418586</v>
      </c>
      <c r="AF27" s="9">
        <v>1</v>
      </c>
      <c r="AG27" s="9">
        <f t="shared" si="47"/>
        <v>264</v>
      </c>
      <c r="AH27" s="9">
        <v>1</v>
      </c>
      <c r="AI27" s="9">
        <v>15</v>
      </c>
      <c r="AJ27" s="36" t="s">
        <v>98</v>
      </c>
      <c r="AK27" s="9"/>
      <c r="AL27" s="9">
        <v>0</v>
      </c>
      <c r="AM27" s="9">
        <v>24</v>
      </c>
      <c r="AN27" s="9">
        <f t="shared" si="48"/>
        <v>24</v>
      </c>
      <c r="AO27" s="37">
        <f t="shared" si="49"/>
        <v>1</v>
      </c>
      <c r="AP27" s="37">
        <f t="shared" si="50"/>
        <v>30</v>
      </c>
      <c r="AQ27" s="1" t="str">
        <f t="shared" si="51"/>
        <v>C</v>
      </c>
      <c r="AR27" s="1">
        <f t="shared" si="52"/>
        <v>17.67909329743204</v>
      </c>
      <c r="AS27" s="1">
        <f t="shared" si="53"/>
        <v>15</v>
      </c>
      <c r="AT27" s="1">
        <f t="shared" si="54"/>
        <v>0.98396956120077561</v>
      </c>
      <c r="AU27" s="1">
        <f t="shared" si="55"/>
        <v>3.5828560824027311E-3</v>
      </c>
      <c r="AV27" s="1">
        <f t="shared" si="56"/>
        <v>0.43971099095478711</v>
      </c>
      <c r="AW27" s="1">
        <f t="shared" si="57"/>
        <v>-9.2182716592080181E-3</v>
      </c>
      <c r="AX27" s="1">
        <f t="shared" si="58"/>
        <v>-1.0171533130029393</v>
      </c>
      <c r="AY27" s="20">
        <f t="shared" si="59"/>
        <v>-3960</v>
      </c>
      <c r="AZ27" s="1">
        <f t="shared" si="60"/>
        <v>4667.2806305220583</v>
      </c>
      <c r="BA27" s="1">
        <f t="shared" si="61"/>
        <v>4667.2806305220583</v>
      </c>
      <c r="BB27" s="1">
        <f t="shared" si="62"/>
        <v>0</v>
      </c>
      <c r="BC27" s="1">
        <v>0</v>
      </c>
      <c r="BD27" s="20">
        <f t="shared" si="63"/>
        <v>-3960</v>
      </c>
      <c r="BE27" s="1">
        <f t="shared" si="64"/>
        <v>4667.2806305220583</v>
      </c>
      <c r="BF27" s="1">
        <f t="shared" si="65"/>
        <v>707.28063052205835</v>
      </c>
      <c r="BG27" s="20">
        <f t="shared" si="66"/>
        <v>-3960</v>
      </c>
      <c r="BH27" s="1">
        <f t="shared" si="67"/>
        <v>4667.2806305220583</v>
      </c>
      <c r="BI27" s="1">
        <f t="shared" si="68"/>
        <v>707.28063052205835</v>
      </c>
      <c r="BJ27" s="12">
        <f t="shared" si="69"/>
        <v>0</v>
      </c>
      <c r="BK27" s="12">
        <f t="shared" si="70"/>
        <v>0</v>
      </c>
      <c r="BL27" s="3">
        <f t="shared" si="71"/>
        <v>0</v>
      </c>
      <c r="BM27" s="3">
        <f t="shared" si="72"/>
        <v>0</v>
      </c>
      <c r="BN27" s="3">
        <f t="shared" si="73"/>
        <v>0</v>
      </c>
      <c r="BO27" s="3">
        <f t="shared" si="74"/>
        <v>0</v>
      </c>
      <c r="BP27" s="3">
        <f t="shared" si="74"/>
        <v>0</v>
      </c>
      <c r="BQ27" s="3">
        <f t="shared" si="74"/>
        <v>0</v>
      </c>
      <c r="BR27" s="3">
        <f t="shared" si="74"/>
        <v>0</v>
      </c>
      <c r="BS27" s="3">
        <f t="shared" si="74"/>
        <v>0</v>
      </c>
      <c r="BT27" s="3">
        <f t="shared" si="74"/>
        <v>0</v>
      </c>
      <c r="BU27" s="3">
        <f t="shared" si="74"/>
        <v>0</v>
      </c>
      <c r="BV27" s="3">
        <f t="shared" si="75"/>
        <v>0</v>
      </c>
      <c r="BW27" s="3">
        <f t="shared" si="75"/>
        <v>0</v>
      </c>
      <c r="BX27" s="3">
        <f t="shared" si="75"/>
        <v>0</v>
      </c>
      <c r="BY27" s="3">
        <f t="shared" si="76"/>
        <v>0</v>
      </c>
      <c r="BZ27" s="3">
        <f t="shared" si="77"/>
        <v>0</v>
      </c>
    </row>
    <row r="28" spans="1:81" s="33" customFormat="1" x14ac:dyDescent="0.25">
      <c r="B28" s="15" t="s">
        <v>75</v>
      </c>
      <c r="C28" s="18" t="s">
        <v>98</v>
      </c>
      <c r="D28" s="15" t="s">
        <v>88</v>
      </c>
      <c r="E28" s="31">
        <v>40870</v>
      </c>
      <c r="F28" s="31">
        <v>40870</v>
      </c>
      <c r="G28" s="27">
        <f t="shared" si="44"/>
        <v>40870</v>
      </c>
      <c r="H28" s="15">
        <v>30</v>
      </c>
      <c r="I28" s="15" t="s">
        <v>3</v>
      </c>
      <c r="J28" s="18">
        <v>12</v>
      </c>
      <c r="K28" s="18">
        <v>24</v>
      </c>
      <c r="L28" s="18">
        <v>15</v>
      </c>
      <c r="M28" s="15">
        <f t="shared" si="45"/>
        <v>-4320</v>
      </c>
      <c r="N28" s="6">
        <v>18.0388432221167</v>
      </c>
      <c r="O28" s="6">
        <v>0.98393447796516398</v>
      </c>
      <c r="P28" s="6">
        <v>3.4949139543762799E-3</v>
      </c>
      <c r="Q28" s="6">
        <v>0.45329604560220599</v>
      </c>
      <c r="R28" s="6">
        <v>-8.9831914092549803E-3</v>
      </c>
      <c r="S28" s="6">
        <v>-1.0872727421549799</v>
      </c>
      <c r="T28" s="6">
        <v>0.93442344515623099</v>
      </c>
      <c r="U28" s="16">
        <f t="shared" si="46"/>
        <v>5195.1868479696095</v>
      </c>
      <c r="V28" s="6">
        <v>5195.1868479696204</v>
      </c>
      <c r="W28" s="18">
        <v>0</v>
      </c>
      <c r="X28" s="6">
        <v>-4320</v>
      </c>
      <c r="Y28" s="6">
        <v>5195.1868479696204</v>
      </c>
      <c r="Z28" s="6">
        <v>875.186847969616</v>
      </c>
      <c r="AA28" s="6">
        <v>-4320</v>
      </c>
      <c r="AB28" s="6">
        <v>5195.1868479696204</v>
      </c>
      <c r="AC28" s="6">
        <v>875.186847969616</v>
      </c>
      <c r="AD28" s="9">
        <v>1.3018826602779501E-2</v>
      </c>
      <c r="AE28" s="9">
        <v>47.988364604376933</v>
      </c>
      <c r="AF28" s="9">
        <v>1</v>
      </c>
      <c r="AG28" s="9">
        <f t="shared" si="47"/>
        <v>288</v>
      </c>
      <c r="AH28" s="9">
        <v>1</v>
      </c>
      <c r="AI28" s="9">
        <v>15</v>
      </c>
      <c r="AJ28" s="36" t="s">
        <v>98</v>
      </c>
      <c r="AK28" s="9"/>
      <c r="AL28" s="9">
        <v>0</v>
      </c>
      <c r="AM28" s="9">
        <v>24</v>
      </c>
      <c r="AN28" s="9">
        <f t="shared" si="48"/>
        <v>24</v>
      </c>
      <c r="AO28" s="37">
        <f t="shared" si="49"/>
        <v>1</v>
      </c>
      <c r="AP28" s="37">
        <f t="shared" si="50"/>
        <v>30</v>
      </c>
      <c r="AQ28" s="1" t="str">
        <f t="shared" si="51"/>
        <v>C</v>
      </c>
      <c r="AR28" s="1">
        <f t="shared" si="52"/>
        <v>18.038843224090321</v>
      </c>
      <c r="AS28" s="1">
        <f t="shared" si="53"/>
        <v>15</v>
      </c>
      <c r="AT28" s="1">
        <f t="shared" si="54"/>
        <v>0.98393447792884514</v>
      </c>
      <c r="AU28" s="1">
        <f t="shared" si="55"/>
        <v>3.4949139543762721E-3</v>
      </c>
      <c r="AV28" s="1">
        <f t="shared" si="56"/>
        <v>0.45329604560220521</v>
      </c>
      <c r="AW28" s="1">
        <f t="shared" si="57"/>
        <v>-8.9831914091846078E-3</v>
      </c>
      <c r="AX28" s="1">
        <f t="shared" si="58"/>
        <v>-1.0872727422739372</v>
      </c>
      <c r="AY28" s="20">
        <f t="shared" si="59"/>
        <v>-4320</v>
      </c>
      <c r="AZ28" s="1">
        <f t="shared" si="60"/>
        <v>5195.1868485380128</v>
      </c>
      <c r="BA28" s="1">
        <f t="shared" si="61"/>
        <v>5195.1868485380128</v>
      </c>
      <c r="BB28" s="1">
        <f t="shared" si="62"/>
        <v>0</v>
      </c>
      <c r="BC28" s="1">
        <v>0</v>
      </c>
      <c r="BD28" s="20">
        <f t="shared" si="63"/>
        <v>-4320</v>
      </c>
      <c r="BE28" s="1">
        <f t="shared" si="64"/>
        <v>5195.1868485380128</v>
      </c>
      <c r="BF28" s="1">
        <f t="shared" si="65"/>
        <v>875.18684853801278</v>
      </c>
      <c r="BG28" s="20">
        <f t="shared" si="66"/>
        <v>-4320</v>
      </c>
      <c r="BH28" s="1">
        <f t="shared" si="67"/>
        <v>5195.1868485380128</v>
      </c>
      <c r="BI28" s="1">
        <f t="shared" si="68"/>
        <v>875.18684853801278</v>
      </c>
      <c r="BJ28" s="12">
        <f t="shared" si="69"/>
        <v>0</v>
      </c>
      <c r="BK28" s="12">
        <f t="shared" si="70"/>
        <v>0</v>
      </c>
      <c r="BL28" s="3">
        <f t="shared" si="71"/>
        <v>0</v>
      </c>
      <c r="BM28" s="3">
        <f t="shared" si="72"/>
        <v>0</v>
      </c>
      <c r="BN28" s="3">
        <f t="shared" si="73"/>
        <v>0</v>
      </c>
      <c r="BO28" s="3">
        <f t="shared" si="74"/>
        <v>0</v>
      </c>
      <c r="BP28" s="3">
        <f t="shared" si="74"/>
        <v>0</v>
      </c>
      <c r="BQ28" s="3">
        <f t="shared" si="74"/>
        <v>0</v>
      </c>
      <c r="BR28" s="3">
        <f t="shared" si="74"/>
        <v>0</v>
      </c>
      <c r="BS28" s="3">
        <f t="shared" si="74"/>
        <v>0</v>
      </c>
      <c r="BT28" s="3">
        <f t="shared" si="74"/>
        <v>0</v>
      </c>
      <c r="BU28" s="3">
        <f t="shared" si="74"/>
        <v>0</v>
      </c>
      <c r="BV28" s="3">
        <f t="shared" si="75"/>
        <v>0</v>
      </c>
      <c r="BW28" s="3">
        <f t="shared" si="75"/>
        <v>0</v>
      </c>
      <c r="BX28" s="3">
        <f t="shared" si="75"/>
        <v>0</v>
      </c>
      <c r="BY28" s="3">
        <f t="shared" si="76"/>
        <v>0</v>
      </c>
      <c r="BZ28" s="3">
        <f t="shared" si="77"/>
        <v>0</v>
      </c>
    </row>
    <row r="29" spans="1:81" s="35" customFormat="1" x14ac:dyDescent="0.25">
      <c r="B29" s="15" t="s">
        <v>75</v>
      </c>
      <c r="C29" s="18" t="s">
        <v>98</v>
      </c>
      <c r="D29" s="15" t="s">
        <v>89</v>
      </c>
      <c r="E29" s="31">
        <v>40871</v>
      </c>
      <c r="F29" s="31">
        <v>40871</v>
      </c>
      <c r="G29" s="27">
        <f t="shared" si="44"/>
        <v>40871</v>
      </c>
      <c r="H29" s="15">
        <v>30</v>
      </c>
      <c r="I29" s="15" t="s">
        <v>3</v>
      </c>
      <c r="J29" s="18">
        <v>13</v>
      </c>
      <c r="K29" s="18">
        <v>24</v>
      </c>
      <c r="L29" s="18">
        <v>15</v>
      </c>
      <c r="M29" s="15">
        <f t="shared" si="45"/>
        <v>-4680</v>
      </c>
      <c r="N29" s="6">
        <v>17.156308411984899</v>
      </c>
      <c r="O29" s="6">
        <v>0.97900660634958103</v>
      </c>
      <c r="P29" s="6">
        <v>4.4422862203968901E-3</v>
      </c>
      <c r="Q29" s="6">
        <v>0.57623572277735902</v>
      </c>
      <c r="R29" s="6">
        <v>-1.10165894059586E-2</v>
      </c>
      <c r="S29" s="6">
        <v>-1.0810824478784999</v>
      </c>
      <c r="T29" s="6">
        <v>0.92863524091392702</v>
      </c>
      <c r="U29" s="16">
        <f t="shared" si="46"/>
        <v>5352.7682245392889</v>
      </c>
      <c r="V29" s="6">
        <v>5352.7682245392898</v>
      </c>
      <c r="W29" s="18">
        <v>0</v>
      </c>
      <c r="X29" s="6">
        <v>-4680</v>
      </c>
      <c r="Y29" s="6">
        <v>5352.7682245392898</v>
      </c>
      <c r="Z29" s="6">
        <v>672.76822453929299</v>
      </c>
      <c r="AA29" s="6">
        <v>-4680</v>
      </c>
      <c r="AB29" s="6">
        <v>5352.7682245392898</v>
      </c>
      <c r="AC29" s="6">
        <v>672.76822453929299</v>
      </c>
      <c r="AD29" s="9">
        <v>1.31117134618641E-2</v>
      </c>
      <c r="AE29" s="9">
        <v>47.082200709224942</v>
      </c>
      <c r="AF29" s="9">
        <v>1</v>
      </c>
      <c r="AG29" s="9">
        <f t="shared" si="47"/>
        <v>312</v>
      </c>
      <c r="AH29" s="9">
        <v>1</v>
      </c>
      <c r="AI29" s="9">
        <v>15</v>
      </c>
      <c r="AJ29" s="36" t="s">
        <v>98</v>
      </c>
      <c r="AK29" s="9"/>
      <c r="AL29" s="9">
        <v>0</v>
      </c>
      <c r="AM29" s="9">
        <v>24</v>
      </c>
      <c r="AN29" s="9">
        <f t="shared" si="48"/>
        <v>24</v>
      </c>
      <c r="AO29" s="37">
        <f t="shared" si="49"/>
        <v>1</v>
      </c>
      <c r="AP29" s="37">
        <f t="shared" si="50"/>
        <v>30</v>
      </c>
      <c r="AQ29" s="1" t="str">
        <f t="shared" si="51"/>
        <v>C</v>
      </c>
      <c r="AR29" s="1">
        <f t="shared" si="52"/>
        <v>17.156308413519923</v>
      </c>
      <c r="AS29" s="1">
        <f t="shared" si="53"/>
        <v>15</v>
      </c>
      <c r="AT29" s="1">
        <f t="shared" si="54"/>
        <v>0.97900660628737968</v>
      </c>
      <c r="AU29" s="1">
        <f t="shared" si="55"/>
        <v>4.442286220396675E-3</v>
      </c>
      <c r="AV29" s="1">
        <f t="shared" si="56"/>
        <v>0.57623572277733637</v>
      </c>
      <c r="AW29" s="1">
        <f t="shared" si="57"/>
        <v>-1.1016589405903018E-2</v>
      </c>
      <c r="AX29" s="1">
        <f t="shared" si="58"/>
        <v>-1.0810824479752281</v>
      </c>
      <c r="AY29" s="20">
        <f t="shared" si="59"/>
        <v>-4680</v>
      </c>
      <c r="AZ29" s="1">
        <f t="shared" si="60"/>
        <v>5352.7682250182161</v>
      </c>
      <c r="BA29" s="1">
        <f t="shared" si="61"/>
        <v>5352.7682250182161</v>
      </c>
      <c r="BB29" s="1">
        <f t="shared" si="62"/>
        <v>0</v>
      </c>
      <c r="BC29" s="1">
        <v>0</v>
      </c>
      <c r="BD29" s="20">
        <f t="shared" si="63"/>
        <v>-4680</v>
      </c>
      <c r="BE29" s="1">
        <f t="shared" si="64"/>
        <v>5352.7682250182161</v>
      </c>
      <c r="BF29" s="1">
        <f t="shared" si="65"/>
        <v>672.76822501821607</v>
      </c>
      <c r="BG29" s="20">
        <f t="shared" si="66"/>
        <v>-4680</v>
      </c>
      <c r="BH29" s="1">
        <f t="shared" si="67"/>
        <v>5352.7682250182161</v>
      </c>
      <c r="BI29" s="1">
        <f t="shared" si="68"/>
        <v>672.76822501821607</v>
      </c>
      <c r="BJ29" s="12">
        <f t="shared" si="69"/>
        <v>0</v>
      </c>
      <c r="BK29" s="12">
        <f t="shared" si="70"/>
        <v>0</v>
      </c>
      <c r="BL29" s="3">
        <f t="shared" si="71"/>
        <v>0</v>
      </c>
      <c r="BM29" s="3">
        <f t="shared" si="72"/>
        <v>0</v>
      </c>
      <c r="BN29" s="3">
        <f t="shared" si="73"/>
        <v>0</v>
      </c>
      <c r="BO29" s="3">
        <f t="shared" si="74"/>
        <v>0</v>
      </c>
      <c r="BP29" s="3">
        <f t="shared" si="74"/>
        <v>0</v>
      </c>
      <c r="BQ29" s="3">
        <f t="shared" si="74"/>
        <v>0</v>
      </c>
      <c r="BR29" s="3">
        <f t="shared" si="74"/>
        <v>0</v>
      </c>
      <c r="BS29" s="3">
        <f t="shared" si="74"/>
        <v>0</v>
      </c>
      <c r="BT29" s="3">
        <f t="shared" si="74"/>
        <v>0</v>
      </c>
      <c r="BU29" s="3">
        <f t="shared" si="74"/>
        <v>0</v>
      </c>
      <c r="BV29" s="3">
        <f t="shared" si="75"/>
        <v>0</v>
      </c>
      <c r="BW29" s="3">
        <f t="shared" si="75"/>
        <v>0</v>
      </c>
      <c r="BX29" s="3">
        <f t="shared" si="75"/>
        <v>0</v>
      </c>
      <c r="BY29" s="3">
        <f t="shared" si="76"/>
        <v>0</v>
      </c>
      <c r="BZ29" s="3">
        <f t="shared" si="77"/>
        <v>0</v>
      </c>
    </row>
    <row r="30" spans="1:81" s="35" customFormat="1" x14ac:dyDescent="0.25">
      <c r="B30" s="15" t="s">
        <v>75</v>
      </c>
      <c r="C30" s="18" t="s">
        <v>98</v>
      </c>
      <c r="D30" s="15" t="s">
        <v>97</v>
      </c>
      <c r="E30" s="31">
        <v>40872</v>
      </c>
      <c r="F30" s="31">
        <v>40872</v>
      </c>
      <c r="G30" s="27">
        <f t="shared" si="44"/>
        <v>40872</v>
      </c>
      <c r="H30" s="15">
        <v>30</v>
      </c>
      <c r="I30" s="15" t="s">
        <v>3</v>
      </c>
      <c r="J30" s="18">
        <v>14</v>
      </c>
      <c r="K30" s="18">
        <v>24</v>
      </c>
      <c r="L30" s="18">
        <v>15</v>
      </c>
      <c r="M30" s="15">
        <f t="shared" si="45"/>
        <v>-5040</v>
      </c>
      <c r="N30" s="6">
        <v>16.149398458930499</v>
      </c>
      <c r="O30" s="6">
        <v>0.97224586693196802</v>
      </c>
      <c r="P30" s="6">
        <v>5.6995024154150404E-3</v>
      </c>
      <c r="Q30" s="6">
        <v>0.73320763370195696</v>
      </c>
      <c r="R30" s="6">
        <v>-1.3513821156689801E-2</v>
      </c>
      <c r="S30" s="6">
        <v>-1.0618782548337899</v>
      </c>
      <c r="T30" s="6">
        <v>0.92293334090424795</v>
      </c>
      <c r="U30" s="16">
        <f t="shared" si="46"/>
        <v>5426.1978822006477</v>
      </c>
      <c r="V30" s="6">
        <v>5426.1978822006604</v>
      </c>
      <c r="W30" s="18">
        <v>0</v>
      </c>
      <c r="X30" s="6">
        <v>-5040</v>
      </c>
      <c r="Y30" s="6">
        <v>5426.1978822006604</v>
      </c>
      <c r="Z30" s="6">
        <v>386.19788220066198</v>
      </c>
      <c r="AA30" s="6">
        <v>-5040</v>
      </c>
      <c r="AB30" s="6">
        <v>5426.1978822006604</v>
      </c>
      <c r="AC30" s="6">
        <v>386.19788220066198</v>
      </c>
      <c r="AD30" s="9">
        <v>1.3202245784909399E-2</v>
      </c>
      <c r="AE30" s="9">
        <v>46.041626957170202</v>
      </c>
      <c r="AF30" s="9">
        <v>1</v>
      </c>
      <c r="AG30" s="9">
        <f t="shared" si="47"/>
        <v>336</v>
      </c>
      <c r="AH30" s="9">
        <v>1</v>
      </c>
      <c r="AI30" s="9">
        <v>15</v>
      </c>
      <c r="AJ30" s="36" t="s">
        <v>98</v>
      </c>
      <c r="AK30" s="9"/>
      <c r="AL30" s="9">
        <v>0</v>
      </c>
      <c r="AM30" s="9">
        <v>24</v>
      </c>
      <c r="AN30" s="9">
        <f t="shared" si="48"/>
        <v>24</v>
      </c>
      <c r="AO30" s="37">
        <f t="shared" si="49"/>
        <v>1</v>
      </c>
      <c r="AP30" s="37">
        <f t="shared" si="50"/>
        <v>30</v>
      </c>
      <c r="AQ30" s="1" t="str">
        <f t="shared" si="51"/>
        <v>C</v>
      </c>
      <c r="AR30" s="1">
        <f t="shared" si="52"/>
        <v>16.149398450774012</v>
      </c>
      <c r="AS30" s="1">
        <f t="shared" si="53"/>
        <v>15</v>
      </c>
      <c r="AT30" s="1">
        <f t="shared" si="54"/>
        <v>0.97224586680093439</v>
      </c>
      <c r="AU30" s="1">
        <f t="shared" si="55"/>
        <v>5.6995024154153145E-3</v>
      </c>
      <c r="AV30" s="1">
        <f t="shared" si="56"/>
        <v>0.73320763370198494</v>
      </c>
      <c r="AW30" s="1">
        <f t="shared" si="57"/>
        <v>-1.351382115698541E-2</v>
      </c>
      <c r="AX30" s="1">
        <f t="shared" si="58"/>
        <v>-1.0618782542974692</v>
      </c>
      <c r="AY30" s="20">
        <f t="shared" si="59"/>
        <v>-5040</v>
      </c>
      <c r="AZ30" s="1">
        <f t="shared" si="60"/>
        <v>5426.1978794600682</v>
      </c>
      <c r="BA30" s="1">
        <f t="shared" si="61"/>
        <v>5426.1978794600682</v>
      </c>
      <c r="BB30" s="1">
        <f t="shared" si="62"/>
        <v>0</v>
      </c>
      <c r="BC30" s="1">
        <v>0</v>
      </c>
      <c r="BD30" s="20">
        <f t="shared" si="63"/>
        <v>-5040</v>
      </c>
      <c r="BE30" s="1">
        <f t="shared" si="64"/>
        <v>5426.1978794600682</v>
      </c>
      <c r="BF30" s="1">
        <f t="shared" si="65"/>
        <v>386.19787946006818</v>
      </c>
      <c r="BG30" s="20">
        <f t="shared" si="66"/>
        <v>-5040</v>
      </c>
      <c r="BH30" s="1">
        <f t="shared" si="67"/>
        <v>5426.1978794600682</v>
      </c>
      <c r="BI30" s="1">
        <f t="shared" si="68"/>
        <v>386.19787946006818</v>
      </c>
      <c r="BJ30" s="12">
        <f t="shared" si="69"/>
        <v>0</v>
      </c>
      <c r="BK30" s="12">
        <f t="shared" si="70"/>
        <v>0</v>
      </c>
      <c r="BL30" s="3">
        <f t="shared" si="71"/>
        <v>0</v>
      </c>
      <c r="BM30" s="3">
        <f t="shared" si="72"/>
        <v>0</v>
      </c>
      <c r="BN30" s="3">
        <f t="shared" si="73"/>
        <v>0</v>
      </c>
      <c r="BO30" s="3">
        <f t="shared" si="74"/>
        <v>0</v>
      </c>
      <c r="BP30" s="3">
        <f t="shared" si="74"/>
        <v>0</v>
      </c>
      <c r="BQ30" s="3">
        <f t="shared" si="74"/>
        <v>0</v>
      </c>
      <c r="BR30" s="3">
        <f t="shared" si="74"/>
        <v>0</v>
      </c>
      <c r="BS30" s="3">
        <f t="shared" si="74"/>
        <v>0</v>
      </c>
      <c r="BT30" s="3">
        <f t="shared" si="74"/>
        <v>0</v>
      </c>
      <c r="BU30" s="3">
        <f t="shared" si="74"/>
        <v>0</v>
      </c>
      <c r="BV30" s="3">
        <f t="shared" si="75"/>
        <v>0</v>
      </c>
      <c r="BW30" s="3">
        <f t="shared" si="75"/>
        <v>0</v>
      </c>
      <c r="BX30" s="3">
        <f t="shared" si="75"/>
        <v>0</v>
      </c>
      <c r="BY30" s="3">
        <f t="shared" si="76"/>
        <v>0</v>
      </c>
      <c r="BZ30" s="3">
        <f t="shared" si="77"/>
        <v>0</v>
      </c>
    </row>
    <row r="31" spans="1:81" s="35" customFormat="1" x14ac:dyDescent="0.25">
      <c r="B31" s="15" t="s">
        <v>75</v>
      </c>
      <c r="C31" s="18" t="s">
        <v>98</v>
      </c>
      <c r="D31" s="15" t="s">
        <v>99</v>
      </c>
      <c r="E31" s="31">
        <v>40873</v>
      </c>
      <c r="F31" s="31">
        <v>40873</v>
      </c>
      <c r="G31" s="27">
        <f t="shared" si="44"/>
        <v>40873</v>
      </c>
      <c r="H31" s="15">
        <v>30</v>
      </c>
      <c r="I31" s="15" t="s">
        <v>3</v>
      </c>
      <c r="J31" s="18">
        <v>15</v>
      </c>
      <c r="K31" s="18">
        <v>24</v>
      </c>
      <c r="L31" s="18">
        <v>15</v>
      </c>
      <c r="M31" s="15">
        <f t="shared" si="45"/>
        <v>-5400</v>
      </c>
      <c r="N31" s="6">
        <v>13.971128232236699</v>
      </c>
      <c r="O31" s="6">
        <v>0.95395106538878804</v>
      </c>
      <c r="P31" s="6">
        <v>9.0412904015448707E-3</v>
      </c>
      <c r="Q31" s="6">
        <v>1.08829618273937</v>
      </c>
      <c r="R31" s="6">
        <v>-1.9457587232826999E-2</v>
      </c>
      <c r="S31" s="6">
        <v>-0.95692659124908896</v>
      </c>
      <c r="T31" s="6">
        <v>0.91731912577766905</v>
      </c>
      <c r="U31" s="16">
        <f t="shared" si="46"/>
        <v>5029.6061636052118</v>
      </c>
      <c r="V31" s="6">
        <v>5029.60616360521</v>
      </c>
      <c r="W31" s="18">
        <v>0</v>
      </c>
      <c r="X31" s="6">
        <v>-5400</v>
      </c>
      <c r="Y31" s="6">
        <v>5029.60616360521</v>
      </c>
      <c r="Z31" s="6">
        <v>-370.39383639478501</v>
      </c>
      <c r="AA31" s="6">
        <v>-5400</v>
      </c>
      <c r="AB31" s="6">
        <v>5029.60616360521</v>
      </c>
      <c r="AC31" s="6">
        <v>-370.39383639478501</v>
      </c>
      <c r="AD31" s="9">
        <v>1.32902259843672E-2</v>
      </c>
      <c r="AE31" s="9">
        <v>43.769798490252079</v>
      </c>
      <c r="AF31" s="9">
        <v>1</v>
      </c>
      <c r="AG31" s="9">
        <f t="shared" si="47"/>
        <v>360</v>
      </c>
      <c r="AH31" s="9">
        <v>1</v>
      </c>
      <c r="AI31" s="9">
        <v>15</v>
      </c>
      <c r="AJ31" s="36" t="s">
        <v>98</v>
      </c>
      <c r="AK31" s="9"/>
      <c r="AL31" s="9">
        <v>0</v>
      </c>
      <c r="AM31" s="9">
        <v>24</v>
      </c>
      <c r="AN31" s="9">
        <f t="shared" si="48"/>
        <v>24</v>
      </c>
      <c r="AO31" s="37">
        <f t="shared" si="49"/>
        <v>1</v>
      </c>
      <c r="AP31" s="37">
        <f t="shared" si="50"/>
        <v>30</v>
      </c>
      <c r="AQ31" s="1" t="str">
        <f t="shared" si="51"/>
        <v>C</v>
      </c>
      <c r="AR31" s="1">
        <f t="shared" si="52"/>
        <v>13.971128234917678</v>
      </c>
      <c r="AS31" s="1">
        <f t="shared" si="53"/>
        <v>15</v>
      </c>
      <c r="AT31" s="1">
        <f t="shared" si="54"/>
        <v>0.95395106546165986</v>
      </c>
      <c r="AU31" s="1">
        <f t="shared" si="55"/>
        <v>9.0412904015450043E-3</v>
      </c>
      <c r="AV31" s="1">
        <f t="shared" si="56"/>
        <v>1.0882961827393793</v>
      </c>
      <c r="AW31" s="1">
        <f t="shared" si="57"/>
        <v>-1.9457587232729598E-2</v>
      </c>
      <c r="AX31" s="1">
        <f t="shared" si="58"/>
        <v>-0.95692659143271763</v>
      </c>
      <c r="AY31" s="20">
        <f t="shared" si="59"/>
        <v>-5400</v>
      </c>
      <c r="AZ31" s="1">
        <f t="shared" si="60"/>
        <v>5029.6061645703639</v>
      </c>
      <c r="BA31" s="1">
        <f t="shared" si="61"/>
        <v>5029.6061645703639</v>
      </c>
      <c r="BB31" s="1">
        <f t="shared" si="62"/>
        <v>0</v>
      </c>
      <c r="BC31" s="1">
        <v>0</v>
      </c>
      <c r="BD31" s="20">
        <f t="shared" si="63"/>
        <v>-5400</v>
      </c>
      <c r="BE31" s="1">
        <f t="shared" si="64"/>
        <v>5029.6061645703639</v>
      </c>
      <c r="BF31" s="1">
        <f t="shared" si="65"/>
        <v>-370.39383542963606</v>
      </c>
      <c r="BG31" s="20">
        <f t="shared" si="66"/>
        <v>-5400</v>
      </c>
      <c r="BH31" s="1">
        <f t="shared" si="67"/>
        <v>5029.6061645703639</v>
      </c>
      <c r="BI31" s="1">
        <f t="shared" si="68"/>
        <v>-370.39383542963606</v>
      </c>
      <c r="BJ31" s="12">
        <f t="shared" si="69"/>
        <v>0</v>
      </c>
      <c r="BK31" s="12">
        <f t="shared" si="70"/>
        <v>0</v>
      </c>
      <c r="BL31" s="3">
        <f t="shared" si="71"/>
        <v>0</v>
      </c>
      <c r="BM31" s="3">
        <f t="shared" si="72"/>
        <v>0</v>
      </c>
      <c r="BN31" s="3">
        <f t="shared" si="73"/>
        <v>0</v>
      </c>
      <c r="BO31" s="3">
        <f t="shared" si="74"/>
        <v>0</v>
      </c>
      <c r="BP31" s="3">
        <f t="shared" si="74"/>
        <v>0</v>
      </c>
      <c r="BQ31" s="3">
        <f t="shared" si="74"/>
        <v>0</v>
      </c>
      <c r="BR31" s="3">
        <f t="shared" si="74"/>
        <v>0</v>
      </c>
      <c r="BS31" s="3">
        <f t="shared" si="74"/>
        <v>0</v>
      </c>
      <c r="BT31" s="3">
        <f t="shared" si="74"/>
        <v>0</v>
      </c>
      <c r="BU31" s="3">
        <f t="shared" si="74"/>
        <v>0</v>
      </c>
      <c r="BV31" s="3">
        <f t="shared" si="75"/>
        <v>0</v>
      </c>
      <c r="BW31" s="3">
        <f t="shared" si="75"/>
        <v>0</v>
      </c>
      <c r="BX31" s="3">
        <f t="shared" si="75"/>
        <v>0</v>
      </c>
      <c r="BY31" s="3">
        <f t="shared" si="76"/>
        <v>0</v>
      </c>
      <c r="BZ31" s="3">
        <f t="shared" si="77"/>
        <v>0</v>
      </c>
    </row>
    <row r="32" spans="1:81" s="33" customFormat="1" x14ac:dyDescent="0.25">
      <c r="B32" s="15" t="s">
        <v>75</v>
      </c>
      <c r="C32" s="18" t="s">
        <v>98</v>
      </c>
      <c r="D32" s="15" t="s">
        <v>100</v>
      </c>
      <c r="E32" s="31">
        <v>40874</v>
      </c>
      <c r="F32" s="31">
        <v>40874</v>
      </c>
      <c r="G32" s="27">
        <f t="shared" si="44"/>
        <v>40874</v>
      </c>
      <c r="H32" s="15">
        <v>30</v>
      </c>
      <c r="I32" s="15" t="s">
        <v>3</v>
      </c>
      <c r="J32" s="18">
        <v>16</v>
      </c>
      <c r="K32" s="18">
        <v>24</v>
      </c>
      <c r="L32" s="18">
        <v>15</v>
      </c>
      <c r="M32" s="15">
        <f t="shared" si="45"/>
        <v>-5760</v>
      </c>
      <c r="N32" s="6">
        <v>13.245491025687</v>
      </c>
      <c r="O32" s="6">
        <v>0.94431377665699201</v>
      </c>
      <c r="P32" s="6">
        <v>1.0590263192160601E-2</v>
      </c>
      <c r="Q32" s="6">
        <v>1.27124716383748</v>
      </c>
      <c r="R32" s="6">
        <v>-2.1805283320828601E-2</v>
      </c>
      <c r="S32" s="6">
        <v>-0.943514429227018</v>
      </c>
      <c r="T32" s="6">
        <v>0.911793254885088</v>
      </c>
      <c r="U32" s="16">
        <f t="shared" si="46"/>
        <v>5086.2685538638079</v>
      </c>
      <c r="V32" s="6">
        <v>5086.2685538637998</v>
      </c>
      <c r="W32" s="18">
        <v>0</v>
      </c>
      <c r="X32" s="6">
        <v>-5760</v>
      </c>
      <c r="Y32" s="6">
        <v>5086.2685538637998</v>
      </c>
      <c r="Z32" s="6">
        <v>-673.73144613619797</v>
      </c>
      <c r="AA32" s="6">
        <v>-5760</v>
      </c>
      <c r="AB32" s="6">
        <v>5086.2685538637998</v>
      </c>
      <c r="AC32" s="6">
        <v>-673.73144613619797</v>
      </c>
      <c r="AD32" s="9">
        <v>1.3375448119222699E-2</v>
      </c>
      <c r="AE32" s="9">
        <v>42.990568922977531</v>
      </c>
      <c r="AF32" s="9">
        <v>1</v>
      </c>
      <c r="AG32" s="9">
        <f t="shared" si="47"/>
        <v>384</v>
      </c>
      <c r="AH32" s="9">
        <v>1</v>
      </c>
      <c r="AI32" s="9">
        <v>15</v>
      </c>
      <c r="AJ32" s="36" t="s">
        <v>98</v>
      </c>
      <c r="AK32" s="9"/>
      <c r="AL32" s="9">
        <v>0</v>
      </c>
      <c r="AM32" s="9">
        <v>24</v>
      </c>
      <c r="AN32" s="9">
        <f t="shared" si="48"/>
        <v>24</v>
      </c>
      <c r="AO32" s="37">
        <f t="shared" si="49"/>
        <v>1</v>
      </c>
      <c r="AP32" s="37">
        <f t="shared" si="50"/>
        <v>30</v>
      </c>
      <c r="AQ32" s="1" t="str">
        <f t="shared" si="51"/>
        <v>C</v>
      </c>
      <c r="AR32" s="1">
        <f t="shared" si="52"/>
        <v>13.245491032312698</v>
      </c>
      <c r="AS32" s="1">
        <f t="shared" si="53"/>
        <v>15</v>
      </c>
      <c r="AT32" s="1">
        <f t="shared" si="54"/>
        <v>0.94431377684198115</v>
      </c>
      <c r="AU32" s="1">
        <f t="shared" si="55"/>
        <v>1.0590263192160847E-2</v>
      </c>
      <c r="AV32" s="1">
        <f t="shared" si="56"/>
        <v>1.271247163837506</v>
      </c>
      <c r="AW32" s="1">
        <f t="shared" si="57"/>
        <v>-2.1805283320586205E-2</v>
      </c>
      <c r="AX32" s="1">
        <f t="shared" si="58"/>
        <v>-0.94351442969898669</v>
      </c>
      <c r="AY32" s="20">
        <f t="shared" si="59"/>
        <v>-5760</v>
      </c>
      <c r="AZ32" s="1">
        <f t="shared" si="60"/>
        <v>5086.2685564080757</v>
      </c>
      <c r="BA32" s="1">
        <f t="shared" si="61"/>
        <v>5086.2685564080757</v>
      </c>
      <c r="BB32" s="1">
        <f t="shared" si="62"/>
        <v>0</v>
      </c>
      <c r="BC32" s="1">
        <v>0</v>
      </c>
      <c r="BD32" s="20">
        <f t="shared" si="63"/>
        <v>-5760</v>
      </c>
      <c r="BE32" s="1">
        <f t="shared" si="64"/>
        <v>5086.2685564080757</v>
      </c>
      <c r="BF32" s="1">
        <f t="shared" si="65"/>
        <v>-673.73144359192429</v>
      </c>
      <c r="BG32" s="20">
        <f t="shared" si="66"/>
        <v>-5760</v>
      </c>
      <c r="BH32" s="1">
        <f t="shared" si="67"/>
        <v>5086.2685564080757</v>
      </c>
      <c r="BI32" s="1">
        <f t="shared" si="68"/>
        <v>-673.73144359192429</v>
      </c>
      <c r="BJ32" s="12">
        <f t="shared" si="69"/>
        <v>0</v>
      </c>
      <c r="BK32" s="12">
        <f t="shared" si="70"/>
        <v>0</v>
      </c>
      <c r="BL32" s="3">
        <f t="shared" si="71"/>
        <v>0</v>
      </c>
      <c r="BM32" s="3">
        <f t="shared" si="72"/>
        <v>0</v>
      </c>
      <c r="BN32" s="3">
        <f t="shared" si="73"/>
        <v>0</v>
      </c>
      <c r="BO32" s="3">
        <f t="shared" si="74"/>
        <v>0</v>
      </c>
      <c r="BP32" s="3">
        <f t="shared" si="74"/>
        <v>0</v>
      </c>
      <c r="BQ32" s="3">
        <f t="shared" si="74"/>
        <v>0</v>
      </c>
      <c r="BR32" s="3">
        <f t="shared" si="74"/>
        <v>0</v>
      </c>
      <c r="BS32" s="3">
        <f t="shared" si="74"/>
        <v>0</v>
      </c>
      <c r="BT32" s="3">
        <f t="shared" si="74"/>
        <v>0</v>
      </c>
      <c r="BU32" s="3">
        <f t="shared" si="74"/>
        <v>0</v>
      </c>
      <c r="BV32" s="3">
        <f t="shared" si="75"/>
        <v>0</v>
      </c>
      <c r="BW32" s="3">
        <f t="shared" si="75"/>
        <v>0</v>
      </c>
      <c r="BX32" s="3">
        <f t="shared" si="75"/>
        <v>0</v>
      </c>
      <c r="BY32" s="3">
        <f t="shared" si="76"/>
        <v>0</v>
      </c>
      <c r="BZ32" s="3">
        <f t="shared" si="77"/>
        <v>0</v>
      </c>
    </row>
    <row r="33" spans="1:81" s="19" customFormat="1" x14ac:dyDescent="0.25">
      <c r="B33" s="38"/>
      <c r="C33" s="39"/>
      <c r="D33" s="38"/>
      <c r="E33" s="32"/>
      <c r="F33" s="32"/>
      <c r="G33" s="40"/>
      <c r="H33" s="38"/>
      <c r="I33" s="38"/>
      <c r="J33" s="39"/>
      <c r="K33" s="39"/>
      <c r="L33" s="39"/>
      <c r="M33" s="38"/>
      <c r="U33" s="41"/>
      <c r="W33" s="39"/>
      <c r="AQ33" s="42"/>
      <c r="AR33" s="42"/>
      <c r="AS33" s="42"/>
      <c r="AT33" s="42"/>
      <c r="AU33" s="42"/>
      <c r="AV33" s="42"/>
      <c r="AW33" s="42"/>
      <c r="AX33" s="42"/>
      <c r="AY33" s="43"/>
      <c r="AZ33" s="42"/>
      <c r="BA33" s="42"/>
      <c r="BB33" s="42"/>
      <c r="BC33" s="42"/>
      <c r="BD33" s="43"/>
      <c r="BE33" s="42"/>
      <c r="BF33" s="42"/>
      <c r="BG33" s="43"/>
      <c r="BH33" s="42"/>
      <c r="BI33" s="42"/>
      <c r="BJ33" s="44"/>
      <c r="BK33" s="44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</row>
    <row r="34" spans="1:81" s="7" customFormat="1" x14ac:dyDescent="0.25">
      <c r="A34" s="46" t="s">
        <v>108</v>
      </c>
      <c r="B34" s="15" t="s">
        <v>75</v>
      </c>
      <c r="C34" s="18" t="s">
        <v>101</v>
      </c>
      <c r="D34" s="15" t="s">
        <v>86</v>
      </c>
      <c r="E34" s="31">
        <v>40909</v>
      </c>
      <c r="F34" s="31">
        <v>40999</v>
      </c>
      <c r="G34" s="27">
        <f>F34</f>
        <v>40999</v>
      </c>
      <c r="H34" s="18">
        <v>30</v>
      </c>
      <c r="I34" s="18" t="s">
        <v>3</v>
      </c>
      <c r="J34" s="18">
        <f>(31*24*10+29*24*11+(31*24-1)*12)/K34</f>
        <v>10.999541914796152</v>
      </c>
      <c r="K34" s="18">
        <f>91*24-1</f>
        <v>2183</v>
      </c>
      <c r="L34" s="18">
        <v>15</v>
      </c>
      <c r="M34" s="15">
        <f t="shared" ref="M34:M35" si="78">-L34*K34*J34</f>
        <v>-360180</v>
      </c>
      <c r="N34" s="6">
        <v>16.947969601320601</v>
      </c>
      <c r="O34" s="6">
        <v>0.94189470447117996</v>
      </c>
      <c r="P34" s="6">
        <v>7.4912696874583897E-3</v>
      </c>
      <c r="Q34" s="6">
        <v>3.1466364246349201</v>
      </c>
      <c r="R34" s="6">
        <v>-4.0491241870087404E-3</v>
      </c>
      <c r="S34" s="6">
        <v>-7.0113518076696097</v>
      </c>
      <c r="T34" s="6">
        <v>0.46497411034290398</v>
      </c>
      <c r="U34" s="16">
        <f t="shared" ref="U34:U35" si="79">N34*J34*K34</f>
        <v>406954.6460669103</v>
      </c>
      <c r="V34" s="6">
        <v>406954.64606690902</v>
      </c>
      <c r="W34" s="18">
        <v>0</v>
      </c>
      <c r="X34" s="6">
        <v>-360180</v>
      </c>
      <c r="Y34" s="6">
        <v>406954.64606690902</v>
      </c>
      <c r="Z34" s="6">
        <v>46774.646066909401</v>
      </c>
      <c r="AA34" s="6">
        <v>-360180</v>
      </c>
      <c r="AB34" s="6">
        <v>406954.64606690902</v>
      </c>
      <c r="AC34" s="6">
        <v>46774.646066909401</v>
      </c>
      <c r="AD34" s="9">
        <v>1.7134282676967601E-2</v>
      </c>
      <c r="AE34" s="9">
        <v>46.729285357321224</v>
      </c>
      <c r="AF34" s="9">
        <v>1</v>
      </c>
      <c r="AG34" s="9">
        <f>J34*K34</f>
        <v>24012</v>
      </c>
      <c r="AH34" s="9">
        <v>1</v>
      </c>
      <c r="AI34" s="9">
        <f>L34</f>
        <v>15</v>
      </c>
      <c r="AJ34" s="9" t="s">
        <v>101</v>
      </c>
      <c r="AK34" s="9"/>
      <c r="AL34" s="9">
        <v>0</v>
      </c>
      <c r="AM34" s="9">
        <f>K34</f>
        <v>2183</v>
      </c>
      <c r="AN34" s="9">
        <f>AL34+AM34</f>
        <v>2183</v>
      </c>
      <c r="AO34" s="25">
        <f>IF($E$9&gt;=E34,AM34/(AN34),1)</f>
        <v>1</v>
      </c>
      <c r="AP34" s="25">
        <f>IF($E$9&gt;=E34,(AN34/AM34)*H34-(AL34/AM34)*AK34,H34)</f>
        <v>30</v>
      </c>
      <c r="AQ34" s="1" t="str">
        <f t="shared" ref="AQ34:AQ35" si="80">MID(C34,4,1)</f>
        <v>C</v>
      </c>
      <c r="AR34" s="1">
        <f>B76Future($E$9,AQ34,AE34,AP34,G34,T34,AD34)*AF34*AO34</f>
        <v>16.947969601717816</v>
      </c>
      <c r="AS34" s="1">
        <f>AI34*AF34</f>
        <v>15</v>
      </c>
      <c r="AT34" s="1">
        <f>B76Delta($E$9,AQ34,AE34,AP34,G34,T34,AD34)*AO34</f>
        <v>0.94189470449813872</v>
      </c>
      <c r="AU34" s="1">
        <f>B76Gamma($E$9,AQ34,AE34,AP34,G34,T34,AD34)*AO34</f>
        <v>7.4912696874583906E-3</v>
      </c>
      <c r="AV34" s="1">
        <f>B76Vega($E$9,AQ34,AE34,AP34,G34,T34,AD34)*AO34</f>
        <v>3.1466364246349254</v>
      </c>
      <c r="AW34" s="1">
        <f>B76Theta($E$9,AQ34,AE34,AP34,G34,T34,AD34)*AO34</f>
        <v>-4.0491241869901051E-3</v>
      </c>
      <c r="AX34" s="1">
        <f>B76Rho($E$9,AQ34,AE34,AP34,G34,T34,AD34)*AO34</f>
        <v>-7.0113518078339458</v>
      </c>
      <c r="AY34" s="20">
        <f>-AS34*AG34*AH34</f>
        <v>-360180</v>
      </c>
      <c r="AZ34" s="1">
        <f>AR34*AG34*AH34</f>
        <v>406954.6460764482</v>
      </c>
      <c r="BA34" s="1">
        <f>AZ34</f>
        <v>406954.6460764482</v>
      </c>
      <c r="BB34" s="1">
        <f>IF($E$9&gt;=F34,MAX((AK34-H34)*AG34,0),0)</f>
        <v>0</v>
      </c>
      <c r="BC34" s="1">
        <v>0</v>
      </c>
      <c r="BD34" s="20">
        <f>AY34+BC34+BB34</f>
        <v>-360180</v>
      </c>
      <c r="BE34" s="1">
        <f t="shared" ref="BE34:BE35" si="81">BA34</f>
        <v>406954.6460764482</v>
      </c>
      <c r="BF34" s="1">
        <f t="shared" ref="BF34:BF35" si="82">BD34+BE34</f>
        <v>46774.646076448204</v>
      </c>
      <c r="BG34" s="20">
        <f>BC34+AY34+BB34</f>
        <v>-360180</v>
      </c>
      <c r="BH34" s="1">
        <f t="shared" ref="BH34:BH35" si="83">BA34</f>
        <v>406954.6460764482</v>
      </c>
      <c r="BI34" s="1">
        <f t="shared" ref="BI34:BI35" si="84">BG34+BH34</f>
        <v>46774.646076448204</v>
      </c>
      <c r="BJ34" s="12">
        <f>QaAssert(N34,AR34)</f>
        <v>0</v>
      </c>
      <c r="BK34" s="12">
        <f>QaAssert(L34,AS34)</f>
        <v>0</v>
      </c>
      <c r="BL34" s="3">
        <f>QaAssert(AY34,M34)</f>
        <v>0</v>
      </c>
      <c r="BM34" s="3">
        <f>QaAssert(AZ34,U34)</f>
        <v>0</v>
      </c>
      <c r="BN34" s="3">
        <f>QaAssert(BA34, V34)</f>
        <v>0</v>
      </c>
      <c r="BO34" s="3">
        <f t="shared" ref="BO34:BU35" si="85">QaAssert(W34,BC34)</f>
        <v>0</v>
      </c>
      <c r="BP34" s="3">
        <f t="shared" si="85"/>
        <v>0</v>
      </c>
      <c r="BQ34" s="3">
        <f t="shared" si="85"/>
        <v>0</v>
      </c>
      <c r="BR34" s="3">
        <f t="shared" si="85"/>
        <v>0</v>
      </c>
      <c r="BS34" s="3">
        <f t="shared" si="85"/>
        <v>0</v>
      </c>
      <c r="BT34" s="3">
        <f t="shared" si="85"/>
        <v>0</v>
      </c>
      <c r="BU34" s="3">
        <f t="shared" si="85"/>
        <v>0</v>
      </c>
      <c r="BV34" s="3">
        <f t="shared" ref="BV34:BX35" si="86">QaAssert(O34,AT34)</f>
        <v>0</v>
      </c>
      <c r="BW34" s="3">
        <f t="shared" si="86"/>
        <v>0</v>
      </c>
      <c r="BX34" s="3">
        <f t="shared" si="86"/>
        <v>0</v>
      </c>
      <c r="BY34" s="3">
        <f>QaAssert(S34,AX34)</f>
        <v>0</v>
      </c>
      <c r="BZ34" s="3">
        <f>QaAssert(R34,AW34)</f>
        <v>0</v>
      </c>
    </row>
    <row r="35" spans="1:81" s="7" customFormat="1" x14ac:dyDescent="0.25">
      <c r="B35" s="15" t="s">
        <v>75</v>
      </c>
      <c r="C35" s="18" t="s">
        <v>101</v>
      </c>
      <c r="D35" s="15" t="s">
        <v>87</v>
      </c>
      <c r="E35" s="31">
        <v>41000</v>
      </c>
      <c r="F35" s="31">
        <v>41090</v>
      </c>
      <c r="G35" s="27">
        <f>F35</f>
        <v>41090</v>
      </c>
      <c r="H35" s="18">
        <v>30</v>
      </c>
      <c r="I35" s="18" t="s">
        <v>3</v>
      </c>
      <c r="J35" s="18">
        <f>(30*24*13+31*24*14+30*24*15)/K35</f>
        <v>14</v>
      </c>
      <c r="K35" s="18">
        <f>91*24</f>
        <v>2184</v>
      </c>
      <c r="L35" s="18">
        <v>15</v>
      </c>
      <c r="M35" s="15">
        <f t="shared" si="78"/>
        <v>-458640</v>
      </c>
      <c r="N35" s="6">
        <v>12.065561705442301</v>
      </c>
      <c r="O35" s="6">
        <v>0.84935575373779704</v>
      </c>
      <c r="P35" s="6">
        <v>1.55215669415515E-2</v>
      </c>
      <c r="Q35" s="6">
        <v>7.3340321105735899</v>
      </c>
      <c r="R35" s="6">
        <v>-5.77671885293333E-3</v>
      </c>
      <c r="S35" s="6">
        <v>-7.9996326923754104</v>
      </c>
      <c r="T35" s="6">
        <v>0.42318232529628602</v>
      </c>
      <c r="U35" s="16">
        <f t="shared" si="79"/>
        <v>368916.61470560374</v>
      </c>
      <c r="V35" s="6">
        <v>368916.614705602</v>
      </c>
      <c r="W35" s="18">
        <v>0</v>
      </c>
      <c r="X35" s="6">
        <v>-458640</v>
      </c>
      <c r="Y35" s="6">
        <v>368916.614705602</v>
      </c>
      <c r="Z35" s="6">
        <v>-89723.385294397696</v>
      </c>
      <c r="AA35" s="6">
        <v>-458640</v>
      </c>
      <c r="AB35" s="6">
        <v>368916.614705602</v>
      </c>
      <c r="AC35" s="6">
        <v>-89723.385294397696</v>
      </c>
      <c r="AD35" s="9">
        <v>1.9232185361691901E-2</v>
      </c>
      <c r="AE35" s="9">
        <v>41.037284144427048</v>
      </c>
      <c r="AF35" s="9">
        <v>1</v>
      </c>
      <c r="AG35" s="9">
        <f>J35*K35</f>
        <v>30576</v>
      </c>
      <c r="AH35" s="9">
        <v>1</v>
      </c>
      <c r="AI35" s="9">
        <f>L35</f>
        <v>15</v>
      </c>
      <c r="AJ35" s="9" t="s">
        <v>101</v>
      </c>
      <c r="AK35" s="9"/>
      <c r="AL35" s="9">
        <v>0</v>
      </c>
      <c r="AM35" s="9">
        <f>K35</f>
        <v>2184</v>
      </c>
      <c r="AN35" s="9">
        <f>AL35+AM35</f>
        <v>2184</v>
      </c>
      <c r="AO35" s="25">
        <f>IF($E$9&gt;=E35,AM35/(AN35),1)</f>
        <v>1</v>
      </c>
      <c r="AP35" s="25">
        <f>IF($E$9&gt;=E35,(AN35/AM35)*H35-(AL35/AM35)*AK35,H35)</f>
        <v>30</v>
      </c>
      <c r="AQ35" s="1" t="str">
        <f t="shared" si="80"/>
        <v>C</v>
      </c>
      <c r="AR35" s="1">
        <f>B76Future($E$9,AQ35,AE35,AP35,G35,T35,AD35)*AF35*AO35</f>
        <v>12.065561708973</v>
      </c>
      <c r="AS35" s="1">
        <f>AI35*AF35</f>
        <v>15</v>
      </c>
      <c r="AT35" s="1">
        <f>B76Delta($E$9,AQ35,AE35,AP35,G35,T35,AD35)*AO35</f>
        <v>0.84935575382486661</v>
      </c>
      <c r="AU35" s="1">
        <f>B76Gamma($E$9,AQ35,AE35,AP35,G35,T35,AD35)*AO35</f>
        <v>1.5521566941551868E-2</v>
      </c>
      <c r="AV35" s="1">
        <f>B76Vega($E$9,AQ35,AE35,AP35,G35,T35,AD35)*AO35</f>
        <v>7.3340321105736725</v>
      </c>
      <c r="AW35" s="1">
        <f>B76Theta($E$9,AQ35,AE35,AP35,G35,T35,AD35)*AO35</f>
        <v>-5.7767188527473624E-3</v>
      </c>
      <c r="AX35" s="1">
        <f>B76Rho($E$9,AQ35,AE35,AP35,G35,T35,AD35)*AO35</f>
        <v>-7.9996326947163459</v>
      </c>
      <c r="AY35" s="20">
        <f>-AS35*AG35*AH35</f>
        <v>-458640</v>
      </c>
      <c r="AZ35" s="1">
        <f>AR35*AG35*AH35</f>
        <v>368916.61481355847</v>
      </c>
      <c r="BA35" s="1">
        <f>AZ35</f>
        <v>368916.61481355847</v>
      </c>
      <c r="BB35" s="1">
        <f>IF($E$9&gt;=F35,MAX((AK35-H35)*AG35,0),0)</f>
        <v>0</v>
      </c>
      <c r="BC35" s="1">
        <v>0</v>
      </c>
      <c r="BD35" s="20">
        <f t="shared" ref="BD35" si="87">AY35+BC35+BB35</f>
        <v>-458640</v>
      </c>
      <c r="BE35" s="1">
        <f t="shared" si="81"/>
        <v>368916.61481355847</v>
      </c>
      <c r="BF35" s="1">
        <f t="shared" si="82"/>
        <v>-89723.385186441534</v>
      </c>
      <c r="BG35" s="20">
        <f t="shared" ref="BG35" si="88">BC35+AY35+BB35</f>
        <v>-458640</v>
      </c>
      <c r="BH35" s="1">
        <f t="shared" si="83"/>
        <v>368916.61481355847</v>
      </c>
      <c r="BI35" s="1">
        <f t="shared" si="84"/>
        <v>-89723.385186441534</v>
      </c>
      <c r="BJ35" s="12">
        <f>QaAssert(N35,AR35)</f>
        <v>0</v>
      </c>
      <c r="BK35" s="12">
        <f>QaAssert(L35,AS35)</f>
        <v>0</v>
      </c>
      <c r="BL35" s="3">
        <f>QaAssert(AY35,M35)</f>
        <v>0</v>
      </c>
      <c r="BM35" s="3">
        <f>QaAssert(AZ35,U35)</f>
        <v>0</v>
      </c>
      <c r="BN35" s="3">
        <f>QaAssert(BA35, V35)</f>
        <v>0</v>
      </c>
      <c r="BO35" s="3">
        <f t="shared" si="85"/>
        <v>0</v>
      </c>
      <c r="BP35" s="3">
        <f t="shared" si="85"/>
        <v>0</v>
      </c>
      <c r="BQ35" s="3">
        <f t="shared" si="85"/>
        <v>0</v>
      </c>
      <c r="BR35" s="3">
        <f t="shared" si="85"/>
        <v>0</v>
      </c>
      <c r="BS35" s="3">
        <f t="shared" si="85"/>
        <v>0</v>
      </c>
      <c r="BT35" s="3">
        <f t="shared" si="85"/>
        <v>0</v>
      </c>
      <c r="BU35" s="3">
        <f t="shared" si="85"/>
        <v>0</v>
      </c>
      <c r="BV35" s="3">
        <f t="shared" si="86"/>
        <v>0</v>
      </c>
      <c r="BW35" s="3">
        <f t="shared" si="86"/>
        <v>0</v>
      </c>
      <c r="BX35" s="3">
        <f t="shared" si="86"/>
        <v>0</v>
      </c>
      <c r="BY35" s="3">
        <f>QaAssert(S35,AX35)</f>
        <v>0</v>
      </c>
      <c r="BZ35" s="3">
        <f>QaAssert(R35,AW35)</f>
        <v>0</v>
      </c>
    </row>
    <row r="36" spans="1:81" s="19" customFormat="1" x14ac:dyDescent="0.25">
      <c r="B36" s="38"/>
      <c r="C36" s="39"/>
      <c r="D36" s="38"/>
      <c r="E36" s="32"/>
      <c r="F36" s="32"/>
      <c r="G36" s="40"/>
      <c r="H36" s="39"/>
      <c r="I36" s="39"/>
      <c r="J36" s="39"/>
      <c r="K36" s="39"/>
      <c r="L36" s="39"/>
      <c r="M36" s="38"/>
      <c r="U36" s="41"/>
      <c r="W36" s="39"/>
      <c r="AQ36" s="42"/>
      <c r="AR36" s="42"/>
      <c r="AS36" s="42"/>
      <c r="AT36" s="42"/>
      <c r="AU36" s="42"/>
      <c r="AV36" s="42"/>
      <c r="AW36" s="42"/>
      <c r="AX36" s="42"/>
      <c r="AY36" s="43"/>
      <c r="AZ36" s="42"/>
      <c r="BA36" s="42"/>
      <c r="BB36" s="42"/>
      <c r="BC36" s="42"/>
      <c r="BD36" s="43"/>
      <c r="BE36" s="42"/>
      <c r="BF36" s="42"/>
      <c r="BG36" s="43"/>
      <c r="BH36" s="42"/>
      <c r="BI36" s="42"/>
      <c r="BJ36" s="44"/>
      <c r="BK36" s="44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</row>
    <row r="37" spans="1:81" s="34" customFormat="1" x14ac:dyDescent="0.25">
      <c r="A37" s="46" t="s">
        <v>105</v>
      </c>
      <c r="B37" s="15" t="s">
        <v>75</v>
      </c>
      <c r="C37" s="15" t="s">
        <v>96</v>
      </c>
      <c r="D37" s="15" t="s">
        <v>86</v>
      </c>
      <c r="E37" s="31">
        <v>40868</v>
      </c>
      <c r="F37" s="31">
        <v>40868</v>
      </c>
      <c r="G37" s="27">
        <f>F37</f>
        <v>40868</v>
      </c>
      <c r="H37" s="15">
        <v>30</v>
      </c>
      <c r="I37" s="15" t="s">
        <v>3</v>
      </c>
      <c r="J37" s="15">
        <v>10</v>
      </c>
      <c r="K37" s="15">
        <v>12</v>
      </c>
      <c r="L37" s="15">
        <v>15</v>
      </c>
      <c r="M37" s="15">
        <f>-L37*K37*J37</f>
        <v>-1800</v>
      </c>
      <c r="N37" s="6">
        <v>22.352927036982202</v>
      </c>
      <c r="O37" s="6">
        <v>0.98249209078048505</v>
      </c>
      <c r="P37" s="6">
        <v>2.8541820922026802E-3</v>
      </c>
      <c r="Q37" s="6">
        <v>0.51074994942192198</v>
      </c>
      <c r="R37" s="6">
        <v>-1.44764440250088E-2</v>
      </c>
      <c r="S37" s="6">
        <v>-1.2248179198346401</v>
      </c>
      <c r="T37" s="6">
        <v>1.19525924117199</v>
      </c>
      <c r="U37" s="16">
        <f t="shared" ref="U37:U39" si="89">N37*J37*K37</f>
        <v>2682.3512444378644</v>
      </c>
      <c r="V37" s="6">
        <v>2682.3512444378598</v>
      </c>
      <c r="W37" s="15">
        <v>0</v>
      </c>
      <c r="X37" s="6">
        <v>-1800</v>
      </c>
      <c r="Y37" s="6">
        <v>2682.3512444378598</v>
      </c>
      <c r="Z37" s="6">
        <v>882.35124443786503</v>
      </c>
      <c r="AA37" s="6">
        <v>-1800</v>
      </c>
      <c r="AB37" s="6">
        <v>2682.3512444378598</v>
      </c>
      <c r="AC37" s="6">
        <v>882.35124443786503</v>
      </c>
      <c r="AD37" s="9">
        <v>1.2826737536044699E-2</v>
      </c>
      <c r="AE37" s="10">
        <v>52.271348836951368</v>
      </c>
      <c r="AF37" s="9">
        <v>1</v>
      </c>
      <c r="AG37" s="9">
        <f t="shared" ref="AG37:AG41" si="90">J37*K37</f>
        <v>120</v>
      </c>
      <c r="AH37" s="9">
        <v>1</v>
      </c>
      <c r="AI37" s="9">
        <f t="shared" ref="AI37:AI41" si="91">L37</f>
        <v>15</v>
      </c>
      <c r="AJ37" s="9" t="s">
        <v>96</v>
      </c>
      <c r="AK37" s="9">
        <v>0</v>
      </c>
      <c r="AL37" s="9">
        <v>0</v>
      </c>
      <c r="AM37" s="9">
        <v>12</v>
      </c>
      <c r="AN37" s="9">
        <f t="shared" ref="AN37:AN40" si="92">AL37+AM37</f>
        <v>12</v>
      </c>
      <c r="AO37" s="34">
        <f t="shared" ref="AO37:AO40" si="93">IF($E$9&gt;=E37,AM37/(AN37),1)</f>
        <v>1</v>
      </c>
      <c r="AP37" s="34">
        <f t="shared" ref="AP37:AP40" si="94">IF($E$9&gt;=E37,(AN37/AM37)*H37-(AL37/AM37)*AK37,H37)</f>
        <v>30</v>
      </c>
      <c r="AQ37" s="1" t="str">
        <f t="shared" ref="AQ37:AQ39" si="95">MID(C37,4,1)</f>
        <v>C</v>
      </c>
      <c r="AR37" s="1">
        <f t="shared" ref="AR37:AR40" si="96">B76Future($E$9,AQ37,AE37,AP37,G37,T37,AD37)*AF37*AO37</f>
        <v>22.352927037221139</v>
      </c>
      <c r="AS37" s="1">
        <f t="shared" ref="AS37:AS40" si="97">AI37*AF37</f>
        <v>15</v>
      </c>
      <c r="AT37" s="1">
        <f t="shared" ref="AT37:AT40" si="98">B76Delta($E$9,AQ37,AE37,AP37,G37,T37,AD37)*AO37</f>
        <v>0.98249209072479315</v>
      </c>
      <c r="AU37" s="1">
        <f t="shared" ref="AU37:AU40" si="99">B76Gamma($E$9,AQ37,AE37,AP37,G37,T37,AD37)*AO37</f>
        <v>2.8541820922026542E-3</v>
      </c>
      <c r="AV37" s="1">
        <f t="shared" ref="AV37:AV40" si="100">B76Vega($E$9,AQ37,AE37,AP37,G37,T37,AD37)*AO37</f>
        <v>0.51074994942191676</v>
      </c>
      <c r="AW37" s="1">
        <f t="shared" ref="AW37:AW40" si="101">B76Theta($E$9,AQ37,AE37,AP37,G37,T37,AD37)*AO37</f>
        <v>-1.4476444025000259E-2</v>
      </c>
      <c r="AX37" s="1">
        <f t="shared" ref="AX37:AX40" si="102">B76Rho($E$9,AQ37,AE37,AP37,G37,T37,AD37)*AO37</f>
        <v>-1.2248179198477336</v>
      </c>
      <c r="AY37" s="20">
        <f>-AS37*AG37*AH37</f>
        <v>-1800</v>
      </c>
      <c r="AZ37" s="1">
        <f t="shared" ref="AZ37:AZ40" si="103">AR37*AG37*AH37</f>
        <v>2682.3512444665366</v>
      </c>
      <c r="BA37" s="1">
        <f t="shared" ref="BA37:BA40" si="104">AZ37</f>
        <v>2682.3512444665366</v>
      </c>
      <c r="BB37" s="1">
        <f>IF($E$9&gt;=F37,MAX((AK37-H37)*AG37,0),0)</f>
        <v>0</v>
      </c>
      <c r="BC37" s="1">
        <v>0</v>
      </c>
      <c r="BD37" s="20">
        <f>AY37+BC37+BB37</f>
        <v>-1800</v>
      </c>
      <c r="BE37" s="1">
        <f t="shared" ref="BE37:BE38" si="105">BA37</f>
        <v>2682.3512444665366</v>
      </c>
      <c r="BF37" s="1">
        <f t="shared" ref="BF37:BF38" si="106">BD37+BE37</f>
        <v>882.35124446653663</v>
      </c>
      <c r="BG37" s="20">
        <f>BC37+AY37+BB37</f>
        <v>-1800</v>
      </c>
      <c r="BH37" s="1">
        <f t="shared" ref="BH37:BH38" si="107">BA37</f>
        <v>2682.3512444665366</v>
      </c>
      <c r="BI37" s="1">
        <f t="shared" ref="BI37:BI38" si="108">BG37+BH37</f>
        <v>882.35124446653663</v>
      </c>
      <c r="BJ37" s="12">
        <f>QaAssert(N37,AR37)</f>
        <v>0</v>
      </c>
      <c r="BK37" s="12">
        <f t="shared" ref="BK37:BK40" si="109">QaAssert(L37,AS37)</f>
        <v>0</v>
      </c>
      <c r="BL37" s="3">
        <f t="shared" ref="BL37:BL40" si="110">QaAssert(AY37,M37)</f>
        <v>0</v>
      </c>
      <c r="BM37" s="3">
        <f t="shared" ref="BM37:BM40" si="111">QaAssert(AZ37,U37)</f>
        <v>0</v>
      </c>
      <c r="BN37" s="3">
        <f t="shared" ref="BN37:BN40" si="112">QaAssert(BA37, V37)</f>
        <v>0</v>
      </c>
      <c r="BO37" s="3">
        <f>QaAssert(W37,BC37)</f>
        <v>0</v>
      </c>
      <c r="BP37" s="3">
        <f t="shared" ref="BP37:BP40" si="113">QaAssert(X37,BD37)</f>
        <v>0</v>
      </c>
      <c r="BQ37" s="3">
        <f t="shared" ref="BQ37:BQ40" si="114">QaAssert(Y37,BE37)</f>
        <v>0</v>
      </c>
      <c r="BR37" s="3">
        <f t="shared" ref="BR37:BR40" si="115">QaAssert(Z37,BF37)</f>
        <v>0</v>
      </c>
      <c r="BS37" s="3">
        <f t="shared" ref="BS37:BS40" si="116">QaAssert(AA37,BG37)</f>
        <v>0</v>
      </c>
      <c r="BT37" s="3">
        <f t="shared" ref="BT37:BT40" si="117">QaAssert(AB37,BH37)</f>
        <v>0</v>
      </c>
      <c r="BU37" s="3">
        <f t="shared" ref="BU37:BU40" si="118">QaAssert(AC37,BI37)</f>
        <v>0</v>
      </c>
      <c r="BV37" s="3">
        <f t="shared" ref="BV37:BV40" si="119">QaAssert(O37,AT37)</f>
        <v>0</v>
      </c>
      <c r="BW37" s="3">
        <f t="shared" ref="BW37:BW40" si="120">QaAssert(P37,AU37)</f>
        <v>0</v>
      </c>
      <c r="BX37" s="3">
        <f t="shared" ref="BX37:BX40" si="121">QaAssert(Q37,AV37)</f>
        <v>0</v>
      </c>
      <c r="BY37" s="3">
        <f t="shared" ref="BY37:BY40" si="122">QaAssert(S37,AX37)</f>
        <v>0</v>
      </c>
      <c r="BZ37" s="3">
        <f t="shared" ref="BZ37:BZ40" si="123">QaAssert(R37,AW37)</f>
        <v>0</v>
      </c>
    </row>
    <row r="38" spans="1:81" s="34" customFormat="1" x14ac:dyDescent="0.25">
      <c r="B38" s="15" t="s">
        <v>75</v>
      </c>
      <c r="C38" s="15" t="s">
        <v>96</v>
      </c>
      <c r="D38" s="15" t="s">
        <v>87</v>
      </c>
      <c r="E38" s="31">
        <v>40869</v>
      </c>
      <c r="F38" s="31">
        <v>40869</v>
      </c>
      <c r="G38" s="27">
        <f>F38</f>
        <v>40869</v>
      </c>
      <c r="H38" s="15">
        <v>30</v>
      </c>
      <c r="I38" s="15" t="s">
        <v>3</v>
      </c>
      <c r="J38" s="15">
        <v>10</v>
      </c>
      <c r="K38" s="15">
        <v>12</v>
      </c>
      <c r="L38" s="15">
        <v>15</v>
      </c>
      <c r="M38" s="15">
        <f t="shared" ref="M38:M41" si="124">-L38*K38*J38</f>
        <v>-1800</v>
      </c>
      <c r="N38" s="6">
        <v>22.4478439840899</v>
      </c>
      <c r="O38" s="6">
        <v>0.98094941303579297</v>
      </c>
      <c r="P38" s="6">
        <v>2.99864639259486E-3</v>
      </c>
      <c r="Q38" s="6">
        <v>0.56393181079983201</v>
      </c>
      <c r="R38" s="6">
        <v>-1.52171073259878E-2</v>
      </c>
      <c r="S38" s="6">
        <v>-1.2915197908654501</v>
      </c>
      <c r="T38" s="6">
        <v>1.19252206668955</v>
      </c>
      <c r="U38" s="16">
        <f t="shared" si="89"/>
        <v>2693.741278090788</v>
      </c>
      <c r="V38" s="6">
        <v>2693.7412780907898</v>
      </c>
      <c r="W38" s="15">
        <v>0</v>
      </c>
      <c r="X38" s="6">
        <v>-1800</v>
      </c>
      <c r="Y38" s="6">
        <v>2693.7412780907898</v>
      </c>
      <c r="Z38" s="6">
        <v>893.74127809078698</v>
      </c>
      <c r="AA38" s="6">
        <v>-1800</v>
      </c>
      <c r="AB38" s="6">
        <v>2693.7412780907898</v>
      </c>
      <c r="AC38" s="6">
        <v>893.74127809078698</v>
      </c>
      <c r="AD38" s="9">
        <v>1.2923774390302E-2</v>
      </c>
      <c r="AE38" s="9">
        <v>52.354527162765955</v>
      </c>
      <c r="AF38" s="9">
        <v>1</v>
      </c>
      <c r="AG38" s="9">
        <f t="shared" si="90"/>
        <v>120</v>
      </c>
      <c r="AH38" s="9">
        <v>1</v>
      </c>
      <c r="AI38" s="9">
        <f t="shared" si="91"/>
        <v>15</v>
      </c>
      <c r="AJ38" s="9" t="s">
        <v>96</v>
      </c>
      <c r="AK38" s="9">
        <v>0</v>
      </c>
      <c r="AL38" s="9">
        <v>0</v>
      </c>
      <c r="AM38" s="9">
        <v>12</v>
      </c>
      <c r="AN38" s="9">
        <f t="shared" si="92"/>
        <v>12</v>
      </c>
      <c r="AO38" s="34">
        <f t="shared" si="93"/>
        <v>1</v>
      </c>
      <c r="AP38" s="34">
        <f t="shared" si="94"/>
        <v>30</v>
      </c>
      <c r="AQ38" s="1" t="str">
        <f t="shared" si="95"/>
        <v>C</v>
      </c>
      <c r="AR38" s="1">
        <f t="shared" si="96"/>
        <v>22.44784398730042</v>
      </c>
      <c r="AS38" s="1">
        <f t="shared" si="97"/>
        <v>15</v>
      </c>
      <c r="AT38" s="1">
        <f t="shared" si="98"/>
        <v>0.98094941299655869</v>
      </c>
      <c r="AU38" s="1">
        <f t="shared" si="99"/>
        <v>2.9986463925948527E-3</v>
      </c>
      <c r="AV38" s="1">
        <f t="shared" si="100"/>
        <v>0.56393181079982702</v>
      </c>
      <c r="AW38" s="1">
        <f t="shared" si="101"/>
        <v>-1.5217107325873939E-2</v>
      </c>
      <c r="AX38" s="1">
        <f t="shared" si="102"/>
        <v>-1.2915197910501612</v>
      </c>
      <c r="AY38" s="20">
        <f t="shared" ref="AY38:AY40" si="125">-AS38*AG38*AH38</f>
        <v>-1800</v>
      </c>
      <c r="AZ38" s="1">
        <f t="shared" si="103"/>
        <v>2693.7412784760504</v>
      </c>
      <c r="BA38" s="1">
        <f t="shared" si="104"/>
        <v>2693.7412784760504</v>
      </c>
      <c r="BB38" s="1">
        <f>IF($E$9&gt;=F38,MAX((AK38-H38)*AG38,0),0)</f>
        <v>0</v>
      </c>
      <c r="BC38" s="1">
        <v>0</v>
      </c>
      <c r="BD38" s="20">
        <f t="shared" ref="BD38:BD40" si="126">AY38+BC38+BB38</f>
        <v>-1800</v>
      </c>
      <c r="BE38" s="1">
        <f t="shared" si="105"/>
        <v>2693.7412784760504</v>
      </c>
      <c r="BF38" s="1">
        <f t="shared" si="106"/>
        <v>893.74127847605041</v>
      </c>
      <c r="BG38" s="20">
        <f t="shared" ref="BG38:BG40" si="127">BC38+AY38+BB38</f>
        <v>-1800</v>
      </c>
      <c r="BH38" s="1">
        <f t="shared" si="107"/>
        <v>2693.7412784760504</v>
      </c>
      <c r="BI38" s="1">
        <f t="shared" si="108"/>
        <v>893.74127847605041</v>
      </c>
      <c r="BJ38" s="12">
        <f t="shared" ref="BJ38:BJ40" si="128">QaAssert(N38,AR38)</f>
        <v>0</v>
      </c>
      <c r="BK38" s="12">
        <f t="shared" si="109"/>
        <v>0</v>
      </c>
      <c r="BL38" s="3">
        <f t="shared" si="110"/>
        <v>0</v>
      </c>
      <c r="BM38" s="3">
        <f t="shared" si="111"/>
        <v>0</v>
      </c>
      <c r="BN38" s="3">
        <f t="shared" si="112"/>
        <v>0</v>
      </c>
      <c r="BO38" s="3">
        <f t="shared" ref="BO38:BO40" si="129">QaAssert(W38,BC38)</f>
        <v>0</v>
      </c>
      <c r="BP38" s="3">
        <f t="shared" si="113"/>
        <v>0</v>
      </c>
      <c r="BQ38" s="3">
        <f t="shared" si="114"/>
        <v>0</v>
      </c>
      <c r="BR38" s="3">
        <f t="shared" si="115"/>
        <v>0</v>
      </c>
      <c r="BS38" s="3">
        <f t="shared" si="116"/>
        <v>0</v>
      </c>
      <c r="BT38" s="3">
        <f t="shared" si="117"/>
        <v>0</v>
      </c>
      <c r="BU38" s="3">
        <f t="shared" si="118"/>
        <v>0</v>
      </c>
      <c r="BV38" s="3">
        <f t="shared" si="119"/>
        <v>0</v>
      </c>
      <c r="BW38" s="3">
        <f t="shared" si="120"/>
        <v>0</v>
      </c>
      <c r="BX38" s="3">
        <f t="shared" si="121"/>
        <v>0</v>
      </c>
      <c r="BY38" s="3">
        <f t="shared" si="122"/>
        <v>0</v>
      </c>
      <c r="BZ38" s="3">
        <f t="shared" si="123"/>
        <v>0</v>
      </c>
    </row>
    <row r="39" spans="1:81" s="34" customFormat="1" x14ac:dyDescent="0.25">
      <c r="B39" s="15" t="s">
        <v>75</v>
      </c>
      <c r="C39" s="15" t="s">
        <v>96</v>
      </c>
      <c r="D39" s="15" t="s">
        <v>88</v>
      </c>
      <c r="E39" s="31">
        <v>40870</v>
      </c>
      <c r="F39" s="31">
        <v>40870</v>
      </c>
      <c r="G39" s="27">
        <f>F39</f>
        <v>40870</v>
      </c>
      <c r="H39" s="15">
        <v>30</v>
      </c>
      <c r="I39" s="15" t="s">
        <v>3</v>
      </c>
      <c r="J39" s="18">
        <v>10</v>
      </c>
      <c r="K39" s="15">
        <v>12</v>
      </c>
      <c r="L39" s="18">
        <v>15</v>
      </c>
      <c r="M39" s="15">
        <f t="shared" si="124"/>
        <v>-1800</v>
      </c>
      <c r="N39" s="6">
        <v>22.629869369567398</v>
      </c>
      <c r="O39" s="6">
        <v>0.97970590490881704</v>
      </c>
      <c r="P39" s="6">
        <v>3.0896875036237701E-3</v>
      </c>
      <c r="Q39" s="6">
        <v>0.61129061139301999</v>
      </c>
      <c r="R39" s="6">
        <v>-1.5721819894694199E-2</v>
      </c>
      <c r="S39" s="6">
        <v>-1.36399212638489</v>
      </c>
      <c r="T39" s="6">
        <v>1.18973728006576</v>
      </c>
      <c r="U39" s="16">
        <f t="shared" si="89"/>
        <v>2715.5843243480876</v>
      </c>
      <c r="V39" s="6">
        <v>2715.5843243480899</v>
      </c>
      <c r="W39" s="18">
        <v>0</v>
      </c>
      <c r="X39" s="6">
        <v>-1800</v>
      </c>
      <c r="Y39" s="6">
        <v>2715.5843243480899</v>
      </c>
      <c r="Z39" s="6">
        <v>915.58432434809299</v>
      </c>
      <c r="AA39" s="6">
        <v>-1800</v>
      </c>
      <c r="AB39" s="6">
        <v>2715.5843243480899</v>
      </c>
      <c r="AC39" s="6">
        <v>915.58432434809299</v>
      </c>
      <c r="AD39" s="9">
        <v>1.3018826602779501E-2</v>
      </c>
      <c r="AE39" s="9">
        <v>52.526219152836326</v>
      </c>
      <c r="AF39" s="9">
        <v>1</v>
      </c>
      <c r="AG39" s="9">
        <f t="shared" si="90"/>
        <v>120</v>
      </c>
      <c r="AH39" s="9">
        <v>1</v>
      </c>
      <c r="AI39" s="9">
        <f t="shared" si="91"/>
        <v>15</v>
      </c>
      <c r="AJ39" s="9" t="s">
        <v>96</v>
      </c>
      <c r="AK39" s="9">
        <v>0</v>
      </c>
      <c r="AL39" s="9">
        <v>0</v>
      </c>
      <c r="AM39" s="9">
        <v>12</v>
      </c>
      <c r="AN39" s="9">
        <f t="shared" si="92"/>
        <v>12</v>
      </c>
      <c r="AO39" s="34">
        <f t="shared" si="93"/>
        <v>1</v>
      </c>
      <c r="AP39" s="34">
        <f t="shared" si="94"/>
        <v>30</v>
      </c>
      <c r="AQ39" s="1" t="str">
        <f t="shared" si="95"/>
        <v>C</v>
      </c>
      <c r="AR39" s="1">
        <f t="shared" si="96"/>
        <v>22.629869371269635</v>
      </c>
      <c r="AS39" s="1">
        <f t="shared" si="97"/>
        <v>15</v>
      </c>
      <c r="AT39" s="1">
        <f t="shared" si="98"/>
        <v>0.97970590485574238</v>
      </c>
      <c r="AU39" s="1">
        <f t="shared" si="99"/>
        <v>3.0896875036236959E-3</v>
      </c>
      <c r="AV39" s="1">
        <f t="shared" si="100"/>
        <v>0.61129061139300878</v>
      </c>
      <c r="AW39" s="1">
        <f t="shared" si="101"/>
        <v>-1.5721819894633175E-2</v>
      </c>
      <c r="AX39" s="1">
        <f t="shared" si="102"/>
        <v>-1.3639921264874848</v>
      </c>
      <c r="AY39" s="20">
        <f t="shared" si="125"/>
        <v>-1800</v>
      </c>
      <c r="AZ39" s="1">
        <f t="shared" si="103"/>
        <v>2715.5843245523561</v>
      </c>
      <c r="BA39" s="1">
        <f t="shared" si="104"/>
        <v>2715.5843245523561</v>
      </c>
      <c r="BB39" s="1">
        <f>IF($E$9&gt;=F39,MAX((AK39-H39)*AG39,0),0)</f>
        <v>0</v>
      </c>
      <c r="BC39" s="1">
        <v>0</v>
      </c>
      <c r="BD39" s="20">
        <f t="shared" si="126"/>
        <v>-1800</v>
      </c>
      <c r="BE39" s="1">
        <f>BA39</f>
        <v>2715.5843245523561</v>
      </c>
      <c r="BF39" s="1">
        <f>BD39+BE39</f>
        <v>915.58432455235607</v>
      </c>
      <c r="BG39" s="20">
        <f t="shared" si="127"/>
        <v>-1800</v>
      </c>
      <c r="BH39" s="1">
        <f>BA39</f>
        <v>2715.5843245523561</v>
      </c>
      <c r="BI39" s="1">
        <f>BG39+BH39</f>
        <v>915.58432455235607</v>
      </c>
      <c r="BJ39" s="12">
        <f t="shared" si="128"/>
        <v>0</v>
      </c>
      <c r="BK39" s="12">
        <f t="shared" si="109"/>
        <v>0</v>
      </c>
      <c r="BL39" s="3">
        <f t="shared" si="110"/>
        <v>0</v>
      </c>
      <c r="BM39" s="3">
        <f t="shared" si="111"/>
        <v>0</v>
      </c>
      <c r="BN39" s="3">
        <f t="shared" si="112"/>
        <v>0</v>
      </c>
      <c r="BO39" s="3">
        <f t="shared" si="129"/>
        <v>0</v>
      </c>
      <c r="BP39" s="3">
        <f t="shared" si="113"/>
        <v>0</v>
      </c>
      <c r="BQ39" s="3">
        <f t="shared" si="114"/>
        <v>0</v>
      </c>
      <c r="BR39" s="3">
        <f t="shared" si="115"/>
        <v>0</v>
      </c>
      <c r="BS39" s="3">
        <f t="shared" si="116"/>
        <v>0</v>
      </c>
      <c r="BT39" s="3">
        <f t="shared" si="117"/>
        <v>0</v>
      </c>
      <c r="BU39" s="3">
        <f t="shared" si="118"/>
        <v>0</v>
      </c>
      <c r="BV39" s="3">
        <f t="shared" si="119"/>
        <v>0</v>
      </c>
      <c r="BW39" s="3">
        <f t="shared" si="120"/>
        <v>0</v>
      </c>
      <c r="BX39" s="3">
        <f t="shared" si="121"/>
        <v>0</v>
      </c>
      <c r="BY39" s="3">
        <f t="shared" si="122"/>
        <v>0</v>
      </c>
      <c r="BZ39" s="3">
        <f t="shared" si="123"/>
        <v>0</v>
      </c>
    </row>
    <row r="40" spans="1:81" s="34" customFormat="1" x14ac:dyDescent="0.25">
      <c r="B40" s="15" t="s">
        <v>75</v>
      </c>
      <c r="C40" s="15" t="s">
        <v>96</v>
      </c>
      <c r="D40" s="15" t="s">
        <v>89</v>
      </c>
      <c r="E40" s="31">
        <v>40871</v>
      </c>
      <c r="F40" s="31">
        <v>40871</v>
      </c>
      <c r="G40" s="27">
        <f>F40</f>
        <v>40871</v>
      </c>
      <c r="H40" s="15">
        <v>30</v>
      </c>
      <c r="I40" s="15" t="s">
        <v>3</v>
      </c>
      <c r="J40" s="18">
        <v>10</v>
      </c>
      <c r="K40" s="15">
        <v>12</v>
      </c>
      <c r="L40" s="18">
        <v>15</v>
      </c>
      <c r="M40" s="15">
        <f t="shared" si="124"/>
        <v>-1800</v>
      </c>
      <c r="N40" s="6">
        <v>20.953076495322499</v>
      </c>
      <c r="O40" s="6">
        <v>0.97152660952897296</v>
      </c>
      <c r="P40" s="6">
        <v>4.2005164046769296E-3</v>
      </c>
      <c r="Q40" s="6">
        <v>0.81047996013687895</v>
      </c>
      <c r="R40" s="6">
        <v>-2.0159718998274598E-2</v>
      </c>
      <c r="S40" s="6">
        <v>-1.32033084765046</v>
      </c>
      <c r="T40" s="6">
        <v>1.1869148168163</v>
      </c>
      <c r="U40" s="16">
        <f>N40*J40*K40</f>
        <v>2514.3691794387</v>
      </c>
      <c r="V40" s="6">
        <v>2514.3691794387</v>
      </c>
      <c r="W40" s="18">
        <v>0</v>
      </c>
      <c r="X40" s="6">
        <v>-1800</v>
      </c>
      <c r="Y40" s="6">
        <v>2514.3691794387</v>
      </c>
      <c r="Z40" s="6">
        <v>714.36917943870003</v>
      </c>
      <c r="AA40" s="6">
        <v>-1800</v>
      </c>
      <c r="AB40" s="6">
        <v>2514.3691794387</v>
      </c>
      <c r="AC40" s="6">
        <v>714.36917943870003</v>
      </c>
      <c r="AD40" s="9">
        <v>1.31117134618641E-2</v>
      </c>
      <c r="AE40" s="9">
        <v>50.791675151236525</v>
      </c>
      <c r="AF40" s="9">
        <v>1</v>
      </c>
      <c r="AG40" s="9">
        <f t="shared" si="90"/>
        <v>120</v>
      </c>
      <c r="AH40" s="9">
        <v>1</v>
      </c>
      <c r="AI40" s="9">
        <f t="shared" si="91"/>
        <v>15</v>
      </c>
      <c r="AJ40" s="9" t="s">
        <v>96</v>
      </c>
      <c r="AK40" s="9">
        <v>0</v>
      </c>
      <c r="AL40" s="9">
        <v>0</v>
      </c>
      <c r="AM40" s="9">
        <v>12</v>
      </c>
      <c r="AN40" s="9">
        <f t="shared" si="92"/>
        <v>12</v>
      </c>
      <c r="AO40" s="34">
        <f t="shared" si="93"/>
        <v>1</v>
      </c>
      <c r="AP40" s="34">
        <f t="shared" si="94"/>
        <v>30</v>
      </c>
      <c r="AQ40" s="1" t="str">
        <f>MID(C40,4,1)</f>
        <v>C</v>
      </c>
      <c r="AR40" s="1">
        <f t="shared" si="96"/>
        <v>20.953076490615043</v>
      </c>
      <c r="AS40" s="1">
        <f t="shared" si="97"/>
        <v>15</v>
      </c>
      <c r="AT40" s="1">
        <f t="shared" si="98"/>
        <v>0.97152660944921421</v>
      </c>
      <c r="AU40" s="1">
        <f t="shared" si="99"/>
        <v>4.200516404676842E-3</v>
      </c>
      <c r="AV40" s="1">
        <f t="shared" si="100"/>
        <v>0.8104799601368704</v>
      </c>
      <c r="AW40" s="1">
        <f t="shared" si="101"/>
        <v>-2.0159718998443654E-2</v>
      </c>
      <c r="AX40" s="1">
        <f t="shared" si="102"/>
        <v>-1.3203308473538247</v>
      </c>
      <c r="AY40" s="20">
        <f t="shared" si="125"/>
        <v>-1800</v>
      </c>
      <c r="AZ40" s="1">
        <f t="shared" si="103"/>
        <v>2514.3691788738051</v>
      </c>
      <c r="BA40" s="1">
        <f t="shared" si="104"/>
        <v>2514.3691788738051</v>
      </c>
      <c r="BB40" s="1">
        <f>IF($E$9&gt;=F40,MAX((AK40-H40)*AG40,0),0)</f>
        <v>0</v>
      </c>
      <c r="BC40" s="1">
        <v>0</v>
      </c>
      <c r="BD40" s="20">
        <f t="shared" si="126"/>
        <v>-1800</v>
      </c>
      <c r="BE40" s="1">
        <f t="shared" ref="BE40" si="130">BA40</f>
        <v>2514.3691788738051</v>
      </c>
      <c r="BF40" s="1">
        <f t="shared" ref="BF40" si="131">BD40+BE40</f>
        <v>714.36917887380514</v>
      </c>
      <c r="BG40" s="20">
        <f t="shared" si="127"/>
        <v>-1800</v>
      </c>
      <c r="BH40" s="1">
        <f t="shared" ref="BH40" si="132">BA40</f>
        <v>2514.3691788738051</v>
      </c>
      <c r="BI40" s="1">
        <f t="shared" ref="BI40" si="133">BG40+BH40</f>
        <v>714.36917887380514</v>
      </c>
      <c r="BJ40" s="12">
        <f t="shared" si="128"/>
        <v>0</v>
      </c>
      <c r="BK40" s="12">
        <f t="shared" si="109"/>
        <v>0</v>
      </c>
      <c r="BL40" s="3">
        <f t="shared" si="110"/>
        <v>0</v>
      </c>
      <c r="BM40" s="3">
        <f t="shared" si="111"/>
        <v>0</v>
      </c>
      <c r="BN40" s="3">
        <f t="shared" si="112"/>
        <v>0</v>
      </c>
      <c r="BO40" s="3">
        <f t="shared" si="129"/>
        <v>0</v>
      </c>
      <c r="BP40" s="3">
        <f t="shared" si="113"/>
        <v>0</v>
      </c>
      <c r="BQ40" s="3">
        <f t="shared" si="114"/>
        <v>0</v>
      </c>
      <c r="BR40" s="3">
        <f t="shared" si="115"/>
        <v>0</v>
      </c>
      <c r="BS40" s="3">
        <f t="shared" si="116"/>
        <v>0</v>
      </c>
      <c r="BT40" s="3">
        <f t="shared" si="117"/>
        <v>0</v>
      </c>
      <c r="BU40" s="3">
        <f t="shared" si="118"/>
        <v>0</v>
      </c>
      <c r="BV40" s="3">
        <f t="shared" si="119"/>
        <v>0</v>
      </c>
      <c r="BW40" s="3">
        <f t="shared" si="120"/>
        <v>0</v>
      </c>
      <c r="BX40" s="3">
        <f t="shared" si="121"/>
        <v>0</v>
      </c>
      <c r="BY40" s="3">
        <f t="shared" si="122"/>
        <v>0</v>
      </c>
      <c r="BZ40" s="3">
        <f t="shared" si="123"/>
        <v>0</v>
      </c>
    </row>
    <row r="41" spans="1:81" s="33" customFormat="1" x14ac:dyDescent="0.25">
      <c r="B41" s="15" t="s">
        <v>75</v>
      </c>
      <c r="C41" s="15" t="s">
        <v>96</v>
      </c>
      <c r="D41" s="15" t="s">
        <v>97</v>
      </c>
      <c r="E41" s="31">
        <v>40872</v>
      </c>
      <c r="F41" s="31">
        <v>40872</v>
      </c>
      <c r="G41" s="27">
        <f>F41</f>
        <v>40872</v>
      </c>
      <c r="H41" s="15">
        <v>30</v>
      </c>
      <c r="I41" s="15" t="s">
        <v>3</v>
      </c>
      <c r="J41" s="18">
        <v>10</v>
      </c>
      <c r="K41" s="15">
        <v>12</v>
      </c>
      <c r="L41" s="18">
        <v>15</v>
      </c>
      <c r="M41" s="15">
        <f t="shared" si="124"/>
        <v>-1800</v>
      </c>
      <c r="N41" s="6">
        <v>19.776826813024002</v>
      </c>
      <c r="O41" s="6">
        <v>0.96361683706955903</v>
      </c>
      <c r="P41" s="6">
        <v>5.1966006670428602E-3</v>
      </c>
      <c r="Q41" s="6">
        <v>0.99359414016164904</v>
      </c>
      <c r="R41" s="6">
        <v>-2.3794619686898499E-2</v>
      </c>
      <c r="S41" s="6">
        <v>-1.3003940918152801</v>
      </c>
      <c r="T41" s="6">
        <v>1.18406293098157</v>
      </c>
      <c r="U41" s="16">
        <f>N41*J41*K41</f>
        <v>2373.2192175628802</v>
      </c>
      <c r="V41" s="6">
        <v>2373.2192175628902</v>
      </c>
      <c r="W41" s="18">
        <v>0</v>
      </c>
      <c r="X41" s="6">
        <v>-1800</v>
      </c>
      <c r="Y41" s="6">
        <v>2373.2192175628902</v>
      </c>
      <c r="Z41" s="6">
        <v>573.21921756288498</v>
      </c>
      <c r="AA41" s="6">
        <v>-1800</v>
      </c>
      <c r="AB41" s="6">
        <v>2373.2192175628902</v>
      </c>
      <c r="AC41" s="6">
        <v>573.21921756288498</v>
      </c>
      <c r="AD41" s="9">
        <v>1.3202245784909399E-2</v>
      </c>
      <c r="AE41" s="9">
        <v>49.556229696209861</v>
      </c>
      <c r="AF41" s="9">
        <v>1</v>
      </c>
      <c r="AG41" s="9">
        <f t="shared" si="90"/>
        <v>120</v>
      </c>
      <c r="AH41" s="9">
        <v>1</v>
      </c>
      <c r="AI41" s="9">
        <f t="shared" si="91"/>
        <v>15</v>
      </c>
      <c r="AJ41" s="9" t="s">
        <v>96</v>
      </c>
      <c r="AK41" s="9">
        <v>0</v>
      </c>
      <c r="AL41" s="9">
        <v>0</v>
      </c>
      <c r="AM41" s="9">
        <v>12</v>
      </c>
      <c r="AN41" s="9">
        <f t="shared" ref="AN41" si="134">AL41+AM41</f>
        <v>12</v>
      </c>
      <c r="AO41" s="35">
        <f t="shared" ref="AO41" si="135">IF($E$9&gt;=E41,AM41/(AN41),1)</f>
        <v>1</v>
      </c>
      <c r="AP41" s="35">
        <f t="shared" ref="AP41" si="136">IF($E$9&gt;=E41,(AN41/AM41)*H41-(AL41/AM41)*AK41,H41)</f>
        <v>30</v>
      </c>
      <c r="AQ41" s="1" t="str">
        <f>MID(C41,4,1)</f>
        <v>C</v>
      </c>
      <c r="AR41" s="1">
        <f t="shared" ref="AR41" si="137">B76Future($E$9,AQ41,AE41,AP41,G41,T41,AD41)*AF41*AO41</f>
        <v>19.776826803315295</v>
      </c>
      <c r="AS41" s="1">
        <f t="shared" ref="AS41" si="138">AI41*AF41</f>
        <v>15</v>
      </c>
      <c r="AT41" s="1">
        <f t="shared" ref="AT41" si="139">B76Delta($E$9,AQ41,AE41,AP41,G41,T41,AD41)*AO41</f>
        <v>0.96361683689670263</v>
      </c>
      <c r="AU41" s="1">
        <f t="shared" ref="AU41" si="140">B76Gamma($E$9,AQ41,AE41,AP41,G41,T41,AD41)*AO41</f>
        <v>5.1966006670427509E-3</v>
      </c>
      <c r="AV41" s="1">
        <f t="shared" ref="AV41" si="141">B76Vega($E$9,AQ41,AE41,AP41,G41,T41,AD41)*AO41</f>
        <v>0.99359414016164049</v>
      </c>
      <c r="AW41" s="1">
        <f t="shared" ref="AW41" si="142">B76Theta($E$9,AQ41,AE41,AP41,G41,T41,AD41)*AO41</f>
        <v>-2.3794619687249632E-2</v>
      </c>
      <c r="AX41" s="1">
        <f t="shared" ref="AX41" si="143">B76Rho($E$9,AQ41,AE41,AP41,G41,T41,AD41)*AO41</f>
        <v>-1.3003940911768961</v>
      </c>
      <c r="AY41" s="20">
        <f t="shared" ref="AY41" si="144">-AS41*AG41*AH41</f>
        <v>-1800</v>
      </c>
      <c r="AZ41" s="1">
        <f t="shared" ref="AZ41" si="145">AR41*AG41*AH41</f>
        <v>2373.2192163978352</v>
      </c>
      <c r="BA41" s="1">
        <f t="shared" ref="BA41" si="146">AZ41</f>
        <v>2373.2192163978352</v>
      </c>
      <c r="BB41" s="1">
        <f>IF($E$9&gt;=F41,MAX((AK41-H41)*AG41,0),0)</f>
        <v>0</v>
      </c>
      <c r="BC41" s="1">
        <v>0</v>
      </c>
      <c r="BD41" s="20">
        <f t="shared" ref="BD41" si="147">AY41+BC41+BB41</f>
        <v>-1800</v>
      </c>
      <c r="BE41" s="1">
        <f t="shared" ref="BE41" si="148">BA41</f>
        <v>2373.2192163978352</v>
      </c>
      <c r="BF41" s="1">
        <f t="shared" ref="BF41" si="149">BD41+BE41</f>
        <v>573.21921639783523</v>
      </c>
      <c r="BG41" s="20">
        <f t="shared" ref="BG41" si="150">BC41+AY41+BB41</f>
        <v>-1800</v>
      </c>
      <c r="BH41" s="1">
        <f t="shared" ref="BH41" si="151">BA41</f>
        <v>2373.2192163978352</v>
      </c>
      <c r="BI41" s="1">
        <f t="shared" ref="BI41" si="152">BG41+BH41</f>
        <v>573.21921639783523</v>
      </c>
      <c r="BJ41" s="12">
        <f t="shared" ref="BJ41" si="153">QaAssert(N41,AR41)</f>
        <v>0</v>
      </c>
      <c r="BK41" s="12">
        <f t="shared" ref="BK41" si="154">QaAssert(L41,AS41)</f>
        <v>0</v>
      </c>
      <c r="BL41" s="3">
        <f t="shared" ref="BL41" si="155">QaAssert(AY41,M41)</f>
        <v>0</v>
      </c>
      <c r="BM41" s="3">
        <f t="shared" ref="BM41" si="156">QaAssert(AZ41,U41)</f>
        <v>0</v>
      </c>
      <c r="BN41" s="3">
        <f t="shared" ref="BN41" si="157">QaAssert(BA41, V41)</f>
        <v>0</v>
      </c>
      <c r="BO41" s="3">
        <f t="shared" ref="BO41" si="158">QaAssert(W41,BC41)</f>
        <v>0</v>
      </c>
      <c r="BP41" s="3">
        <f t="shared" ref="BP41" si="159">QaAssert(X41,BD41)</f>
        <v>0</v>
      </c>
      <c r="BQ41" s="3">
        <f t="shared" ref="BQ41" si="160">QaAssert(Y41,BE41)</f>
        <v>0</v>
      </c>
      <c r="BR41" s="3">
        <f t="shared" ref="BR41" si="161">QaAssert(Z41,BF41)</f>
        <v>0</v>
      </c>
      <c r="BS41" s="3">
        <f t="shared" ref="BS41" si="162">QaAssert(AA41,BG41)</f>
        <v>0</v>
      </c>
      <c r="BT41" s="3">
        <f t="shared" ref="BT41" si="163">QaAssert(AB41,BH41)</f>
        <v>0</v>
      </c>
      <c r="BU41" s="3">
        <f t="shared" ref="BU41" si="164">QaAssert(AC41,BI41)</f>
        <v>0</v>
      </c>
      <c r="BV41" s="3">
        <f t="shared" ref="BV41" si="165">QaAssert(O41,AT41)</f>
        <v>0</v>
      </c>
      <c r="BW41" s="3">
        <f t="shared" ref="BW41" si="166">QaAssert(P41,AU41)</f>
        <v>0</v>
      </c>
      <c r="BX41" s="3">
        <f t="shared" ref="BX41" si="167">QaAssert(Q41,AV41)</f>
        <v>0</v>
      </c>
      <c r="BY41" s="3">
        <f t="shared" ref="BY41" si="168">QaAssert(S41,AX41)</f>
        <v>0</v>
      </c>
      <c r="BZ41" s="3">
        <f t="shared" ref="BZ41" si="169">QaAssert(R41,AW41)</f>
        <v>0</v>
      </c>
    </row>
    <row r="42" spans="1:81" s="19" customFormat="1" x14ac:dyDescent="0.25">
      <c r="B42" s="38"/>
      <c r="C42" s="39"/>
      <c r="D42" s="38"/>
      <c r="E42" s="32"/>
      <c r="F42" s="32"/>
      <c r="G42" s="40"/>
      <c r="H42" s="38"/>
      <c r="I42" s="38"/>
      <c r="J42" s="39"/>
      <c r="K42" s="39"/>
      <c r="L42" s="39"/>
      <c r="M42" s="38"/>
      <c r="U42" s="41"/>
      <c r="W42" s="39"/>
      <c r="AJ42" s="39"/>
      <c r="AQ42" s="42"/>
      <c r="AR42" s="42"/>
      <c r="AS42" s="42"/>
      <c r="AT42" s="42"/>
      <c r="AU42" s="42"/>
      <c r="AV42" s="42"/>
      <c r="AW42" s="42"/>
      <c r="AX42" s="42"/>
      <c r="AY42" s="43"/>
      <c r="AZ42" s="42"/>
      <c r="BA42" s="42"/>
      <c r="BB42" s="42"/>
      <c r="BC42" s="42"/>
      <c r="BD42" s="43"/>
      <c r="BE42" s="42"/>
      <c r="BF42" s="42"/>
      <c r="BG42" s="43"/>
      <c r="BH42" s="42"/>
      <c r="BI42" s="42"/>
      <c r="BJ42" s="44"/>
      <c r="BK42" s="44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</row>
    <row r="43" spans="1:81" x14ac:dyDescent="0.25">
      <c r="A43" t="s">
        <v>103</v>
      </c>
      <c r="B43" s="15" t="s">
        <v>75</v>
      </c>
      <c r="C43" s="15" t="s">
        <v>83</v>
      </c>
      <c r="D43" s="15" t="s">
        <v>86</v>
      </c>
      <c r="E43" s="31">
        <v>40544</v>
      </c>
      <c r="F43" s="31">
        <v>40633</v>
      </c>
      <c r="G43" s="27">
        <f>F43</f>
        <v>40633</v>
      </c>
      <c r="H43" s="15">
        <v>30</v>
      </c>
      <c r="I43" s="15" t="s">
        <v>7</v>
      </c>
      <c r="J43" s="15">
        <v>10</v>
      </c>
      <c r="K43" s="15">
        <v>768</v>
      </c>
      <c r="L43" s="15">
        <v>15</v>
      </c>
      <c r="M43" s="15">
        <f>-L43*K43*J43</f>
        <v>-115200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16">
        <f t="shared" ref="U43:U45" si="170">N43*J43*K43</f>
        <v>0</v>
      </c>
      <c r="V43" s="6">
        <v>0</v>
      </c>
      <c r="W43" s="15">
        <v>0</v>
      </c>
      <c r="X43" s="6">
        <v>173449.9</v>
      </c>
      <c r="Y43" s="6">
        <v>0</v>
      </c>
      <c r="Z43" s="6">
        <v>173449.9</v>
      </c>
      <c r="AA43" s="6">
        <v>173449.9</v>
      </c>
      <c r="AB43" s="6">
        <v>0</v>
      </c>
      <c r="AC43" s="6">
        <v>173449.9</v>
      </c>
      <c r="AD43" s="10">
        <v>0</v>
      </c>
      <c r="AE43" s="10">
        <v>0</v>
      </c>
      <c r="AF43" s="9">
        <v>1</v>
      </c>
      <c r="AG43" s="9">
        <f>J43*K43</f>
        <v>7680</v>
      </c>
      <c r="AH43" s="9">
        <v>1</v>
      </c>
      <c r="AI43" s="9">
        <f>L43</f>
        <v>15</v>
      </c>
      <c r="AJ43" s="9" t="s">
        <v>83</v>
      </c>
      <c r="AK43" s="9">
        <v>67.584622395833307</v>
      </c>
      <c r="AL43" s="9">
        <f>K43</f>
        <v>768</v>
      </c>
      <c r="AM43" s="9">
        <v>0</v>
      </c>
      <c r="AN43" s="9">
        <f>AL43+AM43</f>
        <v>768</v>
      </c>
      <c r="AO43" s="25">
        <f>IF($E$9&gt;=E43,AM43/(AN43),1)</f>
        <v>0</v>
      </c>
      <c r="AP43" s="25" t="e">
        <f>IF($E$9&gt;=E43,(AN43/AM43)*H43-(AL43/AM43)*AK43,H43)</f>
        <v>#DIV/0!</v>
      </c>
      <c r="AQ43" s="1" t="str">
        <f t="shared" ref="AQ43:AQ45" si="171">MID(C43,4,1)</f>
        <v>C</v>
      </c>
      <c r="AR43" s="1">
        <f>B76Future($E$9,AQ43,AE43,AP43,G43,T43,AD43)*AF43*AO43</f>
        <v>0</v>
      </c>
      <c r="AS43" s="1">
        <f>AI43*AF43</f>
        <v>15</v>
      </c>
      <c r="AT43" s="1">
        <f>B76Delta($E$9,AQ43,AE43,AP43,G43,T43,AD43)*AO43</f>
        <v>0</v>
      </c>
      <c r="AU43" s="1">
        <f>B76Gamma($E$9,AQ43,AE43,AP43,G43,T43,AD43)*AO43</f>
        <v>0</v>
      </c>
      <c r="AV43" s="1">
        <f>B76Vega($E$9,AQ43,AE43,AP43,G43,T43,AD43)*AO43</f>
        <v>0</v>
      </c>
      <c r="AW43" s="1">
        <f>B76Theta($E$9,AQ43,AE43,AP43,G43,T43,AD43)*AO43</f>
        <v>0</v>
      </c>
      <c r="AX43" s="1">
        <f>B76Rho($E$9,AQ43,AE43,AP43,G43,T43,AD43)*AO43</f>
        <v>0</v>
      </c>
      <c r="AY43" s="20">
        <f>-AS43*AG43*AH43</f>
        <v>-115200</v>
      </c>
      <c r="AZ43" s="1">
        <f>AR43*AG43*AH43</f>
        <v>0</v>
      </c>
      <c r="BA43" s="1">
        <f>AZ43</f>
        <v>0</v>
      </c>
      <c r="BB43" s="1">
        <f>IF($E$9&gt;=F43,MAX((AK43-H43)*AG43,0),0)</f>
        <v>288649.89999999979</v>
      </c>
      <c r="BC43" s="1">
        <v>0</v>
      </c>
      <c r="BD43" s="20">
        <f>AY43+BC43+BB43</f>
        <v>173449.89999999979</v>
      </c>
      <c r="BE43" s="1">
        <f>BA43</f>
        <v>0</v>
      </c>
      <c r="BF43" s="1">
        <f>BD43+BE43</f>
        <v>173449.89999999979</v>
      </c>
      <c r="BG43" s="20">
        <f>BC43+AY43+BB43</f>
        <v>173449.89999999979</v>
      </c>
      <c r="BH43" s="1">
        <f>BA43</f>
        <v>0</v>
      </c>
      <c r="BI43" s="1">
        <f>BG43+BH43</f>
        <v>173449.89999999979</v>
      </c>
      <c r="BJ43" s="12">
        <f t="shared" ref="BJ43:BJ46" si="172">QaAssert(N43,AR43)</f>
        <v>0</v>
      </c>
      <c r="BK43" s="12">
        <f>QaAssert(L43,AS43)</f>
        <v>0</v>
      </c>
      <c r="BL43" s="3">
        <f t="shared" ref="BL43:BL46" si="173">QaAssert(AY43,M43)</f>
        <v>0</v>
      </c>
      <c r="BM43" s="3">
        <f t="shared" ref="BM43:BM46" si="174">QaAssert(AZ43,U43)</f>
        <v>0</v>
      </c>
      <c r="BN43" s="3">
        <f t="shared" ref="BN43:BN46" si="175">QaAssert(BA43, V43)</f>
        <v>0</v>
      </c>
      <c r="BO43" s="3">
        <f t="shared" ref="BO43:BO46" si="176">QaAssert(W43,BC43)</f>
        <v>0</v>
      </c>
      <c r="BP43" s="3">
        <f t="shared" ref="BP43:BP46" si="177">QaAssert(X43,BD43)</f>
        <v>0</v>
      </c>
      <c r="BQ43" s="3">
        <f t="shared" ref="BQ43:BQ46" si="178">QaAssert(Y43,BE43)</f>
        <v>0</v>
      </c>
      <c r="BR43" s="3">
        <f t="shared" ref="BR43:BR46" si="179">QaAssert(Z43,BF43)</f>
        <v>0</v>
      </c>
      <c r="BS43" s="3">
        <f t="shared" ref="BS43:BS46" si="180">QaAssert(AA43,BG43)</f>
        <v>0</v>
      </c>
      <c r="BT43" s="3">
        <f t="shared" ref="BT43:BT46" si="181">QaAssert(AB43,BH43)</f>
        <v>0</v>
      </c>
      <c r="BU43" s="3">
        <f t="shared" ref="BU43:BU46" si="182">QaAssert(AC43,BI43)</f>
        <v>0</v>
      </c>
      <c r="BV43" s="3">
        <f t="shared" ref="BV43:BV46" si="183">QaAssert(O43,AT43)</f>
        <v>0</v>
      </c>
      <c r="BW43" s="3">
        <f t="shared" ref="BW43:BW46" si="184">QaAssert(P43,AU43)</f>
        <v>0</v>
      </c>
      <c r="BX43" s="3">
        <f t="shared" ref="BX43:BX46" si="185">QaAssert(Q43,AV43)</f>
        <v>0</v>
      </c>
      <c r="BY43" s="3">
        <f t="shared" ref="BY43:BY46" si="186">QaAssert(S43,AX43)</f>
        <v>0</v>
      </c>
      <c r="BZ43" s="3">
        <f t="shared" ref="BZ43:BZ46" si="187">QaAssert(R43,AW43)</f>
        <v>0</v>
      </c>
      <c r="CA43" s="7"/>
      <c r="CB43" s="7"/>
      <c r="CC43" s="7"/>
    </row>
    <row r="44" spans="1:81" x14ac:dyDescent="0.25">
      <c r="B44" s="15" t="s">
        <v>75</v>
      </c>
      <c r="C44" s="15" t="s">
        <v>83</v>
      </c>
      <c r="D44" s="15" t="s">
        <v>87</v>
      </c>
      <c r="E44" s="31">
        <v>40634</v>
      </c>
      <c r="F44" s="31">
        <v>40724</v>
      </c>
      <c r="G44" s="27">
        <f t="shared" ref="G44:G46" si="188">F44</f>
        <v>40724</v>
      </c>
      <c r="H44" s="15">
        <v>30</v>
      </c>
      <c r="I44" s="15" t="s">
        <v>7</v>
      </c>
      <c r="J44" s="15">
        <v>10</v>
      </c>
      <c r="K44" s="15">
        <v>780</v>
      </c>
      <c r="L44" s="15">
        <v>15</v>
      </c>
      <c r="M44" s="15">
        <f t="shared" ref="M44:M46" si="189">-L44*K44*J44</f>
        <v>-117000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16">
        <f t="shared" si="170"/>
        <v>0</v>
      </c>
      <c r="V44" s="6">
        <v>0</v>
      </c>
      <c r="W44" s="15">
        <v>0</v>
      </c>
      <c r="X44" s="6">
        <v>85171.899999999194</v>
      </c>
      <c r="Y44" s="6">
        <v>0</v>
      </c>
      <c r="Z44" s="6">
        <v>85171.899999999194</v>
      </c>
      <c r="AA44" s="6">
        <v>85171.899999999194</v>
      </c>
      <c r="AB44" s="6">
        <v>0</v>
      </c>
      <c r="AC44" s="6">
        <v>85171.899999999194</v>
      </c>
      <c r="AD44" s="10">
        <v>0</v>
      </c>
      <c r="AE44" s="10">
        <v>0</v>
      </c>
      <c r="AF44" s="9">
        <v>1</v>
      </c>
      <c r="AG44" s="9">
        <f t="shared" ref="AG44:AG46" si="190">J44*K44</f>
        <v>7800</v>
      </c>
      <c r="AH44" s="9">
        <v>1</v>
      </c>
      <c r="AI44" s="9">
        <f t="shared" ref="AI44:AI46" si="191">L44</f>
        <v>15</v>
      </c>
      <c r="AJ44" s="9" t="s">
        <v>83</v>
      </c>
      <c r="AK44" s="9">
        <v>55.919474358974298</v>
      </c>
      <c r="AL44" s="9">
        <f t="shared" ref="AL44:AL45" si="192">K44</f>
        <v>780</v>
      </c>
      <c r="AM44" s="9">
        <v>0</v>
      </c>
      <c r="AN44" s="9">
        <f t="shared" ref="AN44:AN46" si="193">AL44+AM44</f>
        <v>780</v>
      </c>
      <c r="AO44" s="25">
        <f t="shared" ref="AO44:AO46" si="194">IF($E$9&gt;=E44,AM44/(AN44),1)</f>
        <v>0</v>
      </c>
      <c r="AP44" s="25" t="e">
        <f t="shared" ref="AP44:AP45" si="195">IF($E$9&gt;=E44,(AN44/AM44)*H44-(AL44/AM44)*AK44,H44)</f>
        <v>#DIV/0!</v>
      </c>
      <c r="AQ44" s="1" t="str">
        <f t="shared" si="171"/>
        <v>C</v>
      </c>
      <c r="AR44" s="1">
        <f t="shared" ref="AR44:AR46" si="196">B76Future($E$9,AQ44,AE44,AP44,G44,T44,AD44)*AF44*AO44</f>
        <v>0</v>
      </c>
      <c r="AS44" s="1">
        <f t="shared" ref="AS44:AS46" si="197">AI44*AF44</f>
        <v>15</v>
      </c>
      <c r="AT44" s="1">
        <f t="shared" ref="AT44:AT46" si="198">B76Delta($E$9,AQ44,AE44,AP44,G44,T44,AD44)*AO44</f>
        <v>0</v>
      </c>
      <c r="AU44" s="1">
        <f t="shared" ref="AU44:AU46" si="199">B76Gamma($E$9,AQ44,AE44,AP44,G44,T44,AD44)*AO44</f>
        <v>0</v>
      </c>
      <c r="AV44" s="1">
        <f t="shared" ref="AV44:AV46" si="200">B76Vega($E$9,AQ44,AE44,AP44,G44,T44,AD44)*AO44</f>
        <v>0</v>
      </c>
      <c r="AW44" s="1">
        <f t="shared" ref="AW44:AW46" si="201">B76Theta($E$9,AQ44,AE44,AP44,G44,T44,AD44)*AO44</f>
        <v>0</v>
      </c>
      <c r="AX44" s="1">
        <f t="shared" ref="AX44:AX46" si="202">B76Rho($E$9,AQ44,AE44,AP44,G44,T44,AD44)*AO44</f>
        <v>0</v>
      </c>
      <c r="AY44" s="20">
        <f t="shared" ref="AY44:AY46" si="203">-AS44*AG44*AH44</f>
        <v>-117000</v>
      </c>
      <c r="AZ44" s="1">
        <f t="shared" ref="AZ44:AZ46" si="204">AR44*AG44*AH44</f>
        <v>0</v>
      </c>
      <c r="BA44" s="1">
        <f t="shared" ref="BA44:BA46" si="205">AZ44</f>
        <v>0</v>
      </c>
      <c r="BB44" s="1">
        <f>IF($E$9&gt;=F44,MAX((AK44-H44)*AG44,0),0)</f>
        <v>202171.89999999953</v>
      </c>
      <c r="BC44" s="1">
        <v>0</v>
      </c>
      <c r="BD44" s="20">
        <f t="shared" ref="BD44:BD46" si="206">AY44+BC44+BB44</f>
        <v>85171.899999999529</v>
      </c>
      <c r="BE44" s="1">
        <f t="shared" ref="BE44:BE46" si="207">BA44</f>
        <v>0</v>
      </c>
      <c r="BF44" s="1">
        <f t="shared" ref="BF44:BF46" si="208">BD44+BE44</f>
        <v>85171.899999999529</v>
      </c>
      <c r="BG44" s="20">
        <f t="shared" ref="BG44:BG46" si="209">BC44+AY44+BB44</f>
        <v>85171.899999999529</v>
      </c>
      <c r="BH44" s="1">
        <f t="shared" ref="BH44:BH46" si="210">BA44</f>
        <v>0</v>
      </c>
      <c r="BI44" s="1">
        <f t="shared" ref="BI44:BI46" si="211">BG44+BH44</f>
        <v>85171.899999999529</v>
      </c>
      <c r="BJ44" s="12">
        <f t="shared" si="172"/>
        <v>0</v>
      </c>
      <c r="BK44" s="12">
        <f t="shared" ref="BK44:BK46" si="212">QaAssert(L44,AS44)</f>
        <v>0</v>
      </c>
      <c r="BL44" s="3">
        <f t="shared" si="173"/>
        <v>0</v>
      </c>
      <c r="BM44" s="3">
        <f t="shared" si="174"/>
        <v>0</v>
      </c>
      <c r="BN44" s="3">
        <f t="shared" si="175"/>
        <v>0</v>
      </c>
      <c r="BO44" s="3">
        <f t="shared" si="176"/>
        <v>0</v>
      </c>
      <c r="BP44" s="3">
        <f t="shared" si="177"/>
        <v>0</v>
      </c>
      <c r="BQ44" s="3">
        <f t="shared" si="178"/>
        <v>0</v>
      </c>
      <c r="BR44" s="3">
        <f t="shared" si="179"/>
        <v>0</v>
      </c>
      <c r="BS44" s="3">
        <f t="shared" si="180"/>
        <v>0</v>
      </c>
      <c r="BT44" s="3">
        <f t="shared" si="181"/>
        <v>0</v>
      </c>
      <c r="BU44" s="3">
        <f t="shared" si="182"/>
        <v>0</v>
      </c>
      <c r="BV44" s="3">
        <f t="shared" si="183"/>
        <v>0</v>
      </c>
      <c r="BW44" s="3">
        <f t="shared" si="184"/>
        <v>0</v>
      </c>
      <c r="BX44" s="3">
        <f t="shared" si="185"/>
        <v>0</v>
      </c>
      <c r="BY44" s="3">
        <f t="shared" si="186"/>
        <v>0</v>
      </c>
      <c r="BZ44" s="3">
        <f t="shared" si="187"/>
        <v>0</v>
      </c>
      <c r="CA44" s="7"/>
      <c r="CB44" s="7"/>
      <c r="CC44" s="7"/>
    </row>
    <row r="45" spans="1:81" x14ac:dyDescent="0.25">
      <c r="B45" s="15" t="s">
        <v>75</v>
      </c>
      <c r="C45" s="15" t="s">
        <v>83</v>
      </c>
      <c r="D45" s="15" t="s">
        <v>88</v>
      </c>
      <c r="E45" s="31">
        <v>40725</v>
      </c>
      <c r="F45" s="31">
        <v>40816</v>
      </c>
      <c r="G45" s="27">
        <f t="shared" si="188"/>
        <v>40816</v>
      </c>
      <c r="H45" s="15">
        <v>30</v>
      </c>
      <c r="I45" s="15" t="s">
        <v>7</v>
      </c>
      <c r="J45" s="15">
        <v>10</v>
      </c>
      <c r="K45" s="15">
        <v>792</v>
      </c>
      <c r="L45" s="15">
        <v>15</v>
      </c>
      <c r="M45" s="15">
        <f t="shared" si="189"/>
        <v>-118800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16">
        <f t="shared" si="170"/>
        <v>0</v>
      </c>
      <c r="V45" s="6">
        <v>0</v>
      </c>
      <c r="W45" s="15">
        <v>0</v>
      </c>
      <c r="X45" s="6">
        <v>-32591.3999999997</v>
      </c>
      <c r="Y45" s="6">
        <v>0</v>
      </c>
      <c r="Z45" s="6">
        <v>-32591.3999999997</v>
      </c>
      <c r="AA45" s="6">
        <v>-32591.3999999997</v>
      </c>
      <c r="AB45" s="6">
        <v>0</v>
      </c>
      <c r="AC45" s="6">
        <v>-32591.3999999997</v>
      </c>
      <c r="AD45" s="10">
        <v>0</v>
      </c>
      <c r="AE45" s="10">
        <v>0</v>
      </c>
      <c r="AF45" s="9">
        <v>1</v>
      </c>
      <c r="AG45" s="9">
        <f t="shared" si="190"/>
        <v>7920</v>
      </c>
      <c r="AH45" s="9">
        <v>1</v>
      </c>
      <c r="AI45" s="9">
        <f t="shared" si="191"/>
        <v>15</v>
      </c>
      <c r="AJ45" s="9" t="s">
        <v>83</v>
      </c>
      <c r="AK45" s="9">
        <v>40.884924242424297</v>
      </c>
      <c r="AL45" s="9">
        <f t="shared" si="192"/>
        <v>792</v>
      </c>
      <c r="AM45" s="9">
        <v>0</v>
      </c>
      <c r="AN45" s="9">
        <f t="shared" si="193"/>
        <v>792</v>
      </c>
      <c r="AO45" s="25">
        <f t="shared" si="194"/>
        <v>0</v>
      </c>
      <c r="AP45" s="25" t="e">
        <f t="shared" si="195"/>
        <v>#DIV/0!</v>
      </c>
      <c r="AQ45" s="1" t="str">
        <f t="shared" si="171"/>
        <v>C</v>
      </c>
      <c r="AR45" s="1">
        <f t="shared" si="196"/>
        <v>0</v>
      </c>
      <c r="AS45" s="1">
        <f t="shared" si="197"/>
        <v>15</v>
      </c>
      <c r="AT45" s="1">
        <f t="shared" si="198"/>
        <v>0</v>
      </c>
      <c r="AU45" s="1">
        <f t="shared" si="199"/>
        <v>0</v>
      </c>
      <c r="AV45" s="1">
        <f t="shared" si="200"/>
        <v>0</v>
      </c>
      <c r="AW45" s="1">
        <f t="shared" si="201"/>
        <v>0</v>
      </c>
      <c r="AX45" s="1">
        <f t="shared" si="202"/>
        <v>0</v>
      </c>
      <c r="AY45" s="20">
        <f t="shared" si="203"/>
        <v>-118800</v>
      </c>
      <c r="AZ45" s="1">
        <f t="shared" si="204"/>
        <v>0</v>
      </c>
      <c r="BA45" s="1">
        <f t="shared" si="205"/>
        <v>0</v>
      </c>
      <c r="BB45" s="1">
        <f>IF($E$9&gt;=F45,MAX((AK45-H45)*AG45,0),0)</f>
        <v>86208.600000000428</v>
      </c>
      <c r="BC45" s="1">
        <v>0</v>
      </c>
      <c r="BD45" s="20">
        <f t="shared" si="206"/>
        <v>-32591.399999999572</v>
      </c>
      <c r="BE45" s="1">
        <f t="shared" si="207"/>
        <v>0</v>
      </c>
      <c r="BF45" s="1">
        <f t="shared" si="208"/>
        <v>-32591.399999999572</v>
      </c>
      <c r="BG45" s="20">
        <f t="shared" si="209"/>
        <v>-32591.399999999572</v>
      </c>
      <c r="BH45" s="1">
        <f t="shared" si="210"/>
        <v>0</v>
      </c>
      <c r="BI45" s="1">
        <f t="shared" si="211"/>
        <v>-32591.399999999572</v>
      </c>
      <c r="BJ45" s="12">
        <f t="shared" si="172"/>
        <v>0</v>
      </c>
      <c r="BK45" s="12">
        <f t="shared" si="212"/>
        <v>0</v>
      </c>
      <c r="BL45" s="3">
        <f t="shared" si="173"/>
        <v>0</v>
      </c>
      <c r="BM45" s="3">
        <f t="shared" si="174"/>
        <v>0</v>
      </c>
      <c r="BN45" s="3">
        <f t="shared" si="175"/>
        <v>0</v>
      </c>
      <c r="BO45" s="3">
        <f t="shared" si="176"/>
        <v>0</v>
      </c>
      <c r="BP45" s="3">
        <f t="shared" si="177"/>
        <v>0</v>
      </c>
      <c r="BQ45" s="3">
        <f t="shared" si="178"/>
        <v>0</v>
      </c>
      <c r="BR45" s="3">
        <f t="shared" si="179"/>
        <v>0</v>
      </c>
      <c r="BS45" s="3">
        <f t="shared" si="180"/>
        <v>0</v>
      </c>
      <c r="BT45" s="3">
        <f t="shared" si="181"/>
        <v>0</v>
      </c>
      <c r="BU45" s="3">
        <f t="shared" si="182"/>
        <v>0</v>
      </c>
      <c r="BV45" s="3">
        <f t="shared" si="183"/>
        <v>0</v>
      </c>
      <c r="BW45" s="3">
        <f t="shared" si="184"/>
        <v>0</v>
      </c>
      <c r="BX45" s="3">
        <f t="shared" si="185"/>
        <v>0</v>
      </c>
      <c r="BY45" s="3">
        <f t="shared" si="186"/>
        <v>0</v>
      </c>
      <c r="BZ45" s="3">
        <f t="shared" si="187"/>
        <v>0</v>
      </c>
      <c r="CA45" s="7"/>
      <c r="CB45" s="7"/>
      <c r="CC45" s="7"/>
    </row>
    <row r="46" spans="1:81" x14ac:dyDescent="0.25">
      <c r="B46" s="15" t="s">
        <v>75</v>
      </c>
      <c r="C46" s="15" t="s">
        <v>83</v>
      </c>
      <c r="D46" s="15" t="s">
        <v>89</v>
      </c>
      <c r="E46" s="31">
        <v>40817</v>
      </c>
      <c r="F46" s="31">
        <v>40908</v>
      </c>
      <c r="G46" s="27">
        <f t="shared" si="188"/>
        <v>40908</v>
      </c>
      <c r="H46" s="15">
        <v>30</v>
      </c>
      <c r="I46" s="15" t="s">
        <v>3</v>
      </c>
      <c r="J46" s="15">
        <v>10</v>
      </c>
      <c r="K46" s="15">
        <v>780</v>
      </c>
      <c r="L46" s="15">
        <v>15</v>
      </c>
      <c r="M46" s="15">
        <f t="shared" si="189"/>
        <v>-117000</v>
      </c>
      <c r="N46" s="6">
        <v>15.440862134253701</v>
      </c>
      <c r="O46" s="6">
        <v>0.65373679337627399</v>
      </c>
      <c r="P46" s="6">
        <v>1.1858053021294101E-3</v>
      </c>
      <c r="Q46" s="6">
        <v>0.34946248933414398</v>
      </c>
      <c r="R46" s="6">
        <v>-1.29643316749548E-3</v>
      </c>
      <c r="S46" s="6">
        <v>-2.5382239124800701</v>
      </c>
      <c r="T46" s="6">
        <v>0.66353721104510899</v>
      </c>
      <c r="U46" s="16">
        <f>N46*J46*K46</f>
        <v>120438.72464717887</v>
      </c>
      <c r="V46" s="6">
        <v>120438.724647179</v>
      </c>
      <c r="W46" s="15">
        <v>0</v>
      </c>
      <c r="X46" s="6">
        <v>-117000</v>
      </c>
      <c r="Y46" s="6">
        <v>120438.724647179</v>
      </c>
      <c r="Z46" s="6">
        <v>3438.72464717909</v>
      </c>
      <c r="AA46" s="6">
        <v>-117000</v>
      </c>
      <c r="AB46" s="6">
        <v>120438.724647179</v>
      </c>
      <c r="AC46" s="6">
        <v>3438.72464717909</v>
      </c>
      <c r="AD46" s="10">
        <f>1.50320436788494/100</f>
        <v>1.50320436788494E-2</v>
      </c>
      <c r="AE46" s="9">
        <v>51.9794589528789</v>
      </c>
      <c r="AF46" s="9">
        <v>1</v>
      </c>
      <c r="AG46" s="9">
        <f t="shared" si="190"/>
        <v>7800</v>
      </c>
      <c r="AH46" s="9">
        <v>1</v>
      </c>
      <c r="AI46" s="9">
        <f t="shared" si="191"/>
        <v>15</v>
      </c>
      <c r="AJ46" s="9" t="s">
        <v>83</v>
      </c>
      <c r="AK46" s="9">
        <v>32.68</v>
      </c>
      <c r="AL46" s="9">
        <f>22*12</f>
        <v>264</v>
      </c>
      <c r="AM46" s="9">
        <f>K46-AL46</f>
        <v>516</v>
      </c>
      <c r="AN46" s="9">
        <f t="shared" si="193"/>
        <v>780</v>
      </c>
      <c r="AO46" s="25">
        <f t="shared" si="194"/>
        <v>0.66153846153846152</v>
      </c>
      <c r="AP46" s="25">
        <f>IF($E$9&gt;=E46,(AN46/AM46)*H46-(AL46/AM46)*AK46,H46)</f>
        <v>28.628837209302326</v>
      </c>
      <c r="AQ46" s="1" t="str">
        <f>MID(C46,4,1)</f>
        <v>C</v>
      </c>
      <c r="AR46" s="1">
        <f t="shared" si="196"/>
        <v>15.440862134210722</v>
      </c>
      <c r="AS46" s="1">
        <f t="shared" si="197"/>
        <v>15</v>
      </c>
      <c r="AT46" s="1">
        <f t="shared" si="198"/>
        <v>0.65373679335992763</v>
      </c>
      <c r="AU46" s="1">
        <f t="shared" si="199"/>
        <v>1.1858053021294003E-3</v>
      </c>
      <c r="AV46" s="1">
        <f t="shared" si="200"/>
        <v>0.34946248933414126</v>
      </c>
      <c r="AW46" s="1">
        <f t="shared" si="201"/>
        <v>-1.296433167497242E-3</v>
      </c>
      <c r="AX46" s="1">
        <f t="shared" si="202"/>
        <v>-2.5382239124729953</v>
      </c>
      <c r="AY46" s="20">
        <f t="shared" si="203"/>
        <v>-117000</v>
      </c>
      <c r="AZ46" s="1">
        <f t="shared" si="204"/>
        <v>120438.72464684364</v>
      </c>
      <c r="BA46" s="1">
        <f t="shared" si="205"/>
        <v>120438.72464684364</v>
      </c>
      <c r="BB46" s="1">
        <f>IF($E$9&gt;=F46,MAX((AK46-H46)*AG46,0),0)</f>
        <v>0</v>
      </c>
      <c r="BC46" s="1">
        <v>0</v>
      </c>
      <c r="BD46" s="20">
        <f t="shared" si="206"/>
        <v>-117000</v>
      </c>
      <c r="BE46" s="1">
        <f t="shared" si="207"/>
        <v>120438.72464684364</v>
      </c>
      <c r="BF46" s="1">
        <f t="shared" si="208"/>
        <v>3438.7246468436351</v>
      </c>
      <c r="BG46" s="20">
        <f t="shared" si="209"/>
        <v>-117000</v>
      </c>
      <c r="BH46" s="1">
        <f t="shared" si="210"/>
        <v>120438.72464684364</v>
      </c>
      <c r="BI46" s="1">
        <f t="shared" si="211"/>
        <v>3438.7246468436351</v>
      </c>
      <c r="BJ46" s="12">
        <f t="shared" si="172"/>
        <v>0</v>
      </c>
      <c r="BK46" s="12">
        <f t="shared" si="212"/>
        <v>0</v>
      </c>
      <c r="BL46" s="3">
        <f t="shared" si="173"/>
        <v>0</v>
      </c>
      <c r="BM46" s="3">
        <f t="shared" si="174"/>
        <v>0</v>
      </c>
      <c r="BN46" s="3">
        <f t="shared" si="175"/>
        <v>0</v>
      </c>
      <c r="BO46" s="3">
        <f t="shared" si="176"/>
        <v>0</v>
      </c>
      <c r="BP46" s="3">
        <f t="shared" si="177"/>
        <v>0</v>
      </c>
      <c r="BQ46" s="3">
        <f t="shared" si="178"/>
        <v>0</v>
      </c>
      <c r="BR46" s="3">
        <f t="shared" si="179"/>
        <v>0</v>
      </c>
      <c r="BS46" s="3">
        <f t="shared" si="180"/>
        <v>0</v>
      </c>
      <c r="BT46" s="3">
        <f t="shared" si="181"/>
        <v>0</v>
      </c>
      <c r="BU46" s="3">
        <f t="shared" si="182"/>
        <v>0</v>
      </c>
      <c r="BV46" s="3">
        <f t="shared" si="183"/>
        <v>0</v>
      </c>
      <c r="BW46" s="3">
        <f t="shared" si="184"/>
        <v>0</v>
      </c>
      <c r="BX46" s="3">
        <f t="shared" si="185"/>
        <v>0</v>
      </c>
      <c r="BY46" s="3">
        <f t="shared" si="186"/>
        <v>0</v>
      </c>
      <c r="BZ46" s="3">
        <f t="shared" si="187"/>
        <v>0</v>
      </c>
      <c r="CA46" s="7"/>
      <c r="CB46" s="7"/>
      <c r="CC46" s="7"/>
    </row>
    <row r="47" spans="1:81" s="19" customFormat="1" x14ac:dyDescent="0.25">
      <c r="B47" s="38"/>
      <c r="C47" s="38"/>
      <c r="D47" s="38"/>
      <c r="E47" s="32"/>
      <c r="F47" s="32"/>
      <c r="G47" s="40"/>
      <c r="H47" s="38"/>
      <c r="I47" s="38"/>
      <c r="J47" s="38"/>
      <c r="K47" s="38"/>
      <c r="L47" s="38"/>
      <c r="M47" s="38"/>
      <c r="U47" s="41"/>
      <c r="W47" s="38"/>
      <c r="AD47" s="42"/>
      <c r="AQ47" s="42"/>
      <c r="AR47" s="42"/>
      <c r="AS47" s="42"/>
      <c r="AT47" s="42"/>
      <c r="AU47" s="42"/>
      <c r="AV47" s="42"/>
      <c r="AW47" s="42"/>
      <c r="AX47" s="42"/>
      <c r="AY47" s="43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4"/>
      <c r="BK47" s="44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</row>
    <row r="48" spans="1:81" s="19" customFormat="1" x14ac:dyDescent="0.25">
      <c r="B48" s="38"/>
      <c r="C48" s="39"/>
      <c r="D48" s="38"/>
      <c r="E48" s="32"/>
      <c r="F48" s="32"/>
      <c r="G48" s="40"/>
      <c r="H48" s="38"/>
      <c r="I48" s="38"/>
      <c r="J48" s="39"/>
      <c r="K48" s="39"/>
      <c r="L48" s="39"/>
      <c r="M48" s="38"/>
      <c r="U48" s="41"/>
      <c r="W48" s="39"/>
      <c r="AQ48" s="42"/>
      <c r="AR48" s="42"/>
      <c r="AS48" s="42"/>
      <c r="AT48" s="42"/>
      <c r="AU48" s="42"/>
      <c r="AV48" s="42"/>
      <c r="AW48" s="42"/>
      <c r="AX48" s="42"/>
      <c r="AY48" s="43"/>
      <c r="AZ48" s="42"/>
      <c r="BA48" s="42"/>
      <c r="BB48" s="42"/>
      <c r="BC48" s="42"/>
      <c r="BD48" s="43"/>
      <c r="BE48" s="42"/>
      <c r="BF48" s="42"/>
      <c r="BG48" s="43"/>
      <c r="BH48" s="42"/>
      <c r="BI48" s="42"/>
      <c r="BJ48" s="44"/>
      <c r="BK48" s="44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</row>
    <row r="54" spans="2:78" s="19" customFormat="1" x14ac:dyDescent="0.25">
      <c r="B54" s="38"/>
      <c r="C54" s="39"/>
      <c r="D54" s="38"/>
      <c r="E54" s="32"/>
      <c r="F54" s="32"/>
      <c r="G54" s="40"/>
      <c r="H54" s="38"/>
      <c r="I54" s="38"/>
      <c r="J54" s="39"/>
      <c r="K54" s="39"/>
      <c r="L54" s="39"/>
      <c r="M54" s="38"/>
      <c r="U54" s="41"/>
      <c r="W54" s="39"/>
      <c r="AQ54" s="42"/>
      <c r="AR54" s="42"/>
      <c r="AS54" s="42"/>
      <c r="AT54" s="42"/>
      <c r="AU54" s="42"/>
      <c r="AV54" s="42"/>
      <c r="AW54" s="42"/>
      <c r="AX54" s="42"/>
      <c r="AY54" s="43"/>
      <c r="AZ54" s="42"/>
      <c r="BA54" s="42"/>
      <c r="BB54" s="42"/>
      <c r="BC54" s="42"/>
      <c r="BD54" s="43"/>
      <c r="BE54" s="42"/>
      <c r="BF54" s="42"/>
      <c r="BG54" s="43"/>
      <c r="BH54" s="42"/>
      <c r="BI54" s="42"/>
      <c r="BJ54" s="44"/>
      <c r="BK54" s="44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</row>
    <row r="62" spans="2:78" s="19" customFormat="1" x14ac:dyDescent="0.25">
      <c r="B62" s="38"/>
      <c r="C62" s="39"/>
      <c r="D62" s="38"/>
      <c r="E62" s="32"/>
      <c r="F62" s="32"/>
      <c r="G62" s="40"/>
      <c r="H62" s="38"/>
      <c r="I62" s="38"/>
      <c r="J62" s="39"/>
      <c r="K62" s="39"/>
      <c r="L62" s="39"/>
      <c r="M62" s="38"/>
      <c r="U62" s="41"/>
      <c r="W62" s="39"/>
      <c r="AJ62" s="39"/>
      <c r="AQ62" s="42"/>
      <c r="AR62" s="42"/>
      <c r="AS62" s="42"/>
      <c r="AT62" s="42"/>
      <c r="AU62" s="42"/>
      <c r="AV62" s="42"/>
      <c r="AW62" s="42"/>
      <c r="AX62" s="42"/>
      <c r="AY62" s="43"/>
      <c r="AZ62" s="42"/>
      <c r="BA62" s="42"/>
      <c r="BB62" s="42"/>
      <c r="BC62" s="42"/>
      <c r="BD62" s="43"/>
      <c r="BE62" s="42"/>
      <c r="BF62" s="42"/>
      <c r="BG62" s="43"/>
      <c r="BH62" s="42"/>
      <c r="BI62" s="42"/>
      <c r="BJ62" s="44"/>
      <c r="BK62" s="44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</row>
    <row r="63" spans="2:78" s="19" customFormat="1" x14ac:dyDescent="0.25">
      <c r="B63" s="38"/>
      <c r="C63" s="39"/>
      <c r="D63" s="39"/>
      <c r="E63" s="45"/>
      <c r="F63" s="45"/>
      <c r="G63" s="40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Q63" s="42"/>
      <c r="AR63" s="42"/>
      <c r="AS63" s="42"/>
      <c r="AT63" s="42"/>
      <c r="AU63" s="42"/>
      <c r="AV63" s="42"/>
      <c r="AW63" s="42"/>
      <c r="AX63" s="42"/>
      <c r="AY63" s="43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4"/>
      <c r="BK63" s="44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</row>
    <row r="67" spans="31:31" x14ac:dyDescent="0.25">
      <c r="AE67" s="19"/>
    </row>
    <row r="68" spans="31:31" x14ac:dyDescent="0.25">
      <c r="AE68" s="19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68"/>
  <sheetViews>
    <sheetView tabSelected="1" topLeftCell="AF10" workbookViewId="0">
      <selection activeCell="AO42" sqref="AO42"/>
    </sheetView>
  </sheetViews>
  <sheetFormatPr defaultColWidth="11.42578125" defaultRowHeight="15" x14ac:dyDescent="0.25"/>
  <cols>
    <col min="1" max="1" width="34.28515625" style="53" bestFit="1" customWidth="1"/>
    <col min="2" max="2" width="21.5703125" style="53" bestFit="1" customWidth="1"/>
    <col min="3" max="3" width="37.5703125" style="53" bestFit="1" customWidth="1"/>
    <col min="4" max="4" width="27.42578125" style="53" bestFit="1" customWidth="1"/>
    <col min="5" max="5" width="15.28515625" style="53" bestFit="1" customWidth="1"/>
    <col min="6" max="6" width="22.85546875" style="53" customWidth="1"/>
    <col min="7" max="7" width="10.7109375" style="53" bestFit="1" customWidth="1"/>
    <col min="8" max="20" width="11.42578125" style="53"/>
    <col min="21" max="21" width="13.5703125" style="53" customWidth="1"/>
    <col min="22" max="28" width="11.42578125" style="53"/>
    <col min="29" max="29" width="12" style="53" bestFit="1" customWidth="1"/>
    <col min="30" max="30" width="15.42578125" style="53" bestFit="1" customWidth="1"/>
    <col min="31" max="31" width="11.42578125" style="53"/>
    <col min="32" max="32" width="45.5703125" style="53" bestFit="1" customWidth="1"/>
    <col min="33" max="33" width="12.28515625" style="53" bestFit="1" customWidth="1"/>
    <col min="34" max="34" width="12.28515625" style="53" customWidth="1"/>
    <col min="35" max="35" width="14.28515625" style="53" bestFit="1" customWidth="1"/>
    <col min="36" max="36" width="15" style="53" bestFit="1" customWidth="1"/>
    <col min="37" max="37" width="12.7109375" style="53" bestFit="1" customWidth="1"/>
    <col min="38" max="38" width="11.42578125" style="53"/>
    <col min="39" max="39" width="12.28515625" style="53" bestFit="1" customWidth="1"/>
    <col min="40" max="40" width="15" style="53" bestFit="1" customWidth="1"/>
    <col min="41" max="41" width="14.85546875" style="53" bestFit="1" customWidth="1"/>
    <col min="42" max="42" width="10.85546875" style="53" customWidth="1"/>
    <col min="43" max="16384" width="11.42578125" style="53"/>
  </cols>
  <sheetData>
    <row r="1" spans="1:50" x14ac:dyDescent="0.25">
      <c r="AI1" s="53">
        <f>O24*AE24/(AN24*10)</f>
        <v>0.97903247355520484</v>
      </c>
    </row>
    <row r="2" spans="1:50" ht="13.5" customHeight="1" x14ac:dyDescent="0.25">
      <c r="F2" s="5"/>
    </row>
    <row r="3" spans="1:50" x14ac:dyDescent="0.25">
      <c r="D3" s="6" t="s">
        <v>66</v>
      </c>
      <c r="F3" s="5"/>
    </row>
    <row r="4" spans="1:50" x14ac:dyDescent="0.25">
      <c r="D4" s="9" t="s">
        <v>62</v>
      </c>
      <c r="F4" s="5"/>
    </row>
    <row r="5" spans="1:50" x14ac:dyDescent="0.25">
      <c r="D5" s="2" t="s">
        <v>64</v>
      </c>
      <c r="F5" s="5"/>
    </row>
    <row r="6" spans="1:50" x14ac:dyDescent="0.25">
      <c r="D6" s="4" t="s">
        <v>65</v>
      </c>
      <c r="F6" s="5"/>
    </row>
    <row r="7" spans="1:50" x14ac:dyDescent="0.25">
      <c r="D7" s="19"/>
      <c r="F7" s="5"/>
    </row>
    <row r="8" spans="1:50" ht="93" customHeight="1" x14ac:dyDescent="0.25">
      <c r="D8" s="53" t="s">
        <v>61</v>
      </c>
      <c r="E8" s="13" t="s">
        <v>76</v>
      </c>
      <c r="F8" s="5"/>
    </row>
    <row r="9" spans="1:50" x14ac:dyDescent="0.25">
      <c r="D9" s="53" t="s">
        <v>63</v>
      </c>
      <c r="E9" s="5">
        <v>40849</v>
      </c>
      <c r="F9" s="5"/>
    </row>
    <row r="10" spans="1:50" x14ac:dyDescent="0.25">
      <c r="D10" s="19"/>
      <c r="F10" s="5"/>
      <c r="AI10" s="100" t="s">
        <v>155</v>
      </c>
      <c r="AJ10" s="101">
        <v>40848</v>
      </c>
      <c r="AK10" s="99">
        <v>7.7454217666438998</v>
      </c>
    </row>
    <row r="12" spans="1:50" s="47" customFormat="1" x14ac:dyDescent="0.25">
      <c r="A12" s="47" t="s">
        <v>102</v>
      </c>
      <c r="B12" s="48" t="s">
        <v>8</v>
      </c>
      <c r="C12" s="48" t="s">
        <v>17</v>
      </c>
      <c r="D12" s="48" t="s">
        <v>9</v>
      </c>
      <c r="E12" s="48" t="s">
        <v>10</v>
      </c>
      <c r="F12" s="48" t="s">
        <v>11</v>
      </c>
      <c r="G12" s="48" t="s">
        <v>1</v>
      </c>
      <c r="H12" s="48" t="s">
        <v>2</v>
      </c>
      <c r="I12" s="48" t="s">
        <v>12</v>
      </c>
      <c r="J12" s="48" t="s">
        <v>13</v>
      </c>
      <c r="K12" s="48" t="s">
        <v>0</v>
      </c>
      <c r="L12" s="48" t="s">
        <v>14</v>
      </c>
      <c r="M12" s="48" t="s">
        <v>15</v>
      </c>
      <c r="N12" s="48" t="s">
        <v>16</v>
      </c>
      <c r="O12" s="48" t="s">
        <v>18</v>
      </c>
      <c r="P12" s="48" t="s">
        <v>19</v>
      </c>
      <c r="Q12" s="48" t="s">
        <v>20</v>
      </c>
      <c r="R12" s="48" t="s">
        <v>5</v>
      </c>
      <c r="S12" s="48" t="s">
        <v>6</v>
      </c>
      <c r="T12" s="48" t="s">
        <v>4</v>
      </c>
      <c r="U12" s="48" t="s">
        <v>21</v>
      </c>
      <c r="V12" s="48" t="s">
        <v>22</v>
      </c>
      <c r="W12" s="48" t="s">
        <v>23</v>
      </c>
      <c r="X12" s="48" t="s">
        <v>24</v>
      </c>
      <c r="Y12" s="48" t="s">
        <v>25</v>
      </c>
      <c r="Z12" s="48" t="s">
        <v>26</v>
      </c>
      <c r="AA12" s="48" t="s">
        <v>27</v>
      </c>
      <c r="AB12" s="48" t="s">
        <v>28</v>
      </c>
      <c r="AC12" s="48" t="s">
        <v>29</v>
      </c>
      <c r="AD12" s="26" t="s">
        <v>85</v>
      </c>
      <c r="AE12" s="26" t="s">
        <v>69</v>
      </c>
      <c r="AF12" s="26" t="s">
        <v>9</v>
      </c>
      <c r="AG12" s="44"/>
      <c r="AH12" s="44"/>
      <c r="AI12" s="47" t="s">
        <v>155</v>
      </c>
      <c r="AJ12" s="44" t="s">
        <v>156</v>
      </c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</row>
    <row r="13" spans="1:50" x14ac:dyDescent="0.25">
      <c r="A13" s="53" t="s">
        <v>106</v>
      </c>
      <c r="B13" s="15" t="s">
        <v>75</v>
      </c>
      <c r="C13" s="18" t="s">
        <v>98</v>
      </c>
      <c r="D13" s="15" t="s">
        <v>86</v>
      </c>
      <c r="E13" s="31">
        <v>40868</v>
      </c>
      <c r="F13" s="31">
        <v>40868</v>
      </c>
      <c r="G13" s="27">
        <f t="shared" ref="G13:G19" si="0">F13</f>
        <v>40868</v>
      </c>
      <c r="H13" s="15">
        <v>30</v>
      </c>
      <c r="I13" s="15" t="s">
        <v>3</v>
      </c>
      <c r="J13" s="18">
        <v>10</v>
      </c>
      <c r="K13" s="18">
        <v>24</v>
      </c>
      <c r="L13" s="18">
        <v>15</v>
      </c>
      <c r="M13" s="15">
        <f t="shared" ref="M13:M19" si="1">-L13*K13*J13</f>
        <v>-3600</v>
      </c>
      <c r="N13" s="6">
        <v>17.592861864211201</v>
      </c>
      <c r="O13" s="6">
        <v>0.98504416121263205</v>
      </c>
      <c r="P13" s="6">
        <v>3.4408625700995499E-3</v>
      </c>
      <c r="Q13" s="6">
        <v>0.403346183677256</v>
      </c>
      <c r="R13" s="6">
        <v>-8.9233974198054504E-3</v>
      </c>
      <c r="S13" s="6">
        <v>-0.96399243091568199</v>
      </c>
      <c r="T13" s="6">
        <v>0.94624832968245898</v>
      </c>
      <c r="U13" s="16">
        <f t="shared" ref="U13:U19" si="2">N13*J13*K13</f>
        <v>4222.2868474106881</v>
      </c>
      <c r="V13" s="6">
        <v>4222.2868474106899</v>
      </c>
      <c r="W13" s="18">
        <v>0</v>
      </c>
      <c r="X13" s="6">
        <v>-3600</v>
      </c>
      <c r="Y13" s="6">
        <v>4222.2868474106899</v>
      </c>
      <c r="Z13" s="6">
        <v>622.28684741068605</v>
      </c>
      <c r="AA13" s="6">
        <v>-3600</v>
      </c>
      <c r="AB13" s="6">
        <v>4222.2868474106899</v>
      </c>
      <c r="AC13" s="6">
        <v>622.28684741068605</v>
      </c>
      <c r="AD13" s="9">
        <v>47.548211301812493</v>
      </c>
      <c r="AE13" s="9">
        <f t="shared" ref="AE13:AE19" si="3">J13*K13</f>
        <v>240</v>
      </c>
      <c r="AF13" s="36" t="s">
        <v>98</v>
      </c>
      <c r="AG13" s="93">
        <f t="shared" ref="AG13:AG19" si="4">(AD13-H13)*O13</f>
        <v>17.285763082575919</v>
      </c>
      <c r="AH13" s="94">
        <f t="shared" ref="AH13:AH19" si="5">AG13*AE13</f>
        <v>4148.5831398182208</v>
      </c>
      <c r="AI13" s="99">
        <v>7.7507066805285003</v>
      </c>
      <c r="AJ13" s="91">
        <f>AI13*AH13</f>
        <v>32154.451056516984</v>
      </c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</row>
    <row r="14" spans="1:50" x14ac:dyDescent="0.25">
      <c r="B14" s="15" t="s">
        <v>75</v>
      </c>
      <c r="C14" s="18" t="s">
        <v>98</v>
      </c>
      <c r="D14" s="15" t="s">
        <v>87</v>
      </c>
      <c r="E14" s="31">
        <v>40869</v>
      </c>
      <c r="F14" s="31">
        <v>40869</v>
      </c>
      <c r="G14" s="27">
        <f t="shared" si="0"/>
        <v>40869</v>
      </c>
      <c r="H14" s="15">
        <v>30</v>
      </c>
      <c r="I14" s="15" t="s">
        <v>3</v>
      </c>
      <c r="J14" s="18">
        <v>10</v>
      </c>
      <c r="K14" s="18">
        <v>24</v>
      </c>
      <c r="L14" s="18">
        <v>15</v>
      </c>
      <c r="M14" s="15">
        <f t="shared" si="1"/>
        <v>-3600</v>
      </c>
      <c r="N14" s="6">
        <v>17.679093295609299</v>
      </c>
      <c r="O14" s="6">
        <v>0.98396956123715296</v>
      </c>
      <c r="P14" s="6">
        <v>3.5828560824027701E-3</v>
      </c>
      <c r="Q14" s="6">
        <v>0.43971099095479099</v>
      </c>
      <c r="R14" s="6">
        <v>-9.2182716592726192E-3</v>
      </c>
      <c r="S14" s="6">
        <v>-1.0171533128980701</v>
      </c>
      <c r="T14" s="6">
        <v>0.94029564433709301</v>
      </c>
      <c r="U14" s="16">
        <f t="shared" si="2"/>
        <v>4242.982390946232</v>
      </c>
      <c r="V14" s="6">
        <v>4242.9823909462302</v>
      </c>
      <c r="W14" s="18">
        <v>0</v>
      </c>
      <c r="X14" s="6">
        <v>-3600</v>
      </c>
      <c r="Y14" s="6">
        <v>4242.9823909462302</v>
      </c>
      <c r="Z14" s="6">
        <v>642.98239094622602</v>
      </c>
      <c r="AA14" s="6">
        <v>-3600</v>
      </c>
      <c r="AB14" s="6">
        <v>4242.9823909462302</v>
      </c>
      <c r="AC14" s="6">
        <v>642.98239094622602</v>
      </c>
      <c r="AD14" s="9">
        <v>47.62922901418586</v>
      </c>
      <c r="AE14" s="9">
        <f t="shared" si="3"/>
        <v>240</v>
      </c>
      <c r="AF14" s="36" t="s">
        <v>98</v>
      </c>
      <c r="AG14" s="93">
        <f t="shared" si="4"/>
        <v>17.346624738037747</v>
      </c>
      <c r="AH14" s="94">
        <f t="shared" si="5"/>
        <v>4163.1899371290592</v>
      </c>
      <c r="AI14" s="99">
        <v>7.7510159141077297</v>
      </c>
      <c r="AJ14" s="91">
        <f t="shared" ref="AJ14:AJ19" si="6">AI14*AH14</f>
        <v>32268.951456140498</v>
      </c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x14ac:dyDescent="0.25">
      <c r="B15" s="15" t="s">
        <v>75</v>
      </c>
      <c r="C15" s="18" t="s">
        <v>98</v>
      </c>
      <c r="D15" s="15" t="s">
        <v>88</v>
      </c>
      <c r="E15" s="31">
        <v>40870</v>
      </c>
      <c r="F15" s="31">
        <v>40870</v>
      </c>
      <c r="G15" s="27">
        <f t="shared" si="0"/>
        <v>40870</v>
      </c>
      <c r="H15" s="15">
        <v>30</v>
      </c>
      <c r="I15" s="15" t="s">
        <v>3</v>
      </c>
      <c r="J15" s="18">
        <v>10</v>
      </c>
      <c r="K15" s="18">
        <v>24</v>
      </c>
      <c r="L15" s="18">
        <v>15</v>
      </c>
      <c r="M15" s="15">
        <f t="shared" si="1"/>
        <v>-3600</v>
      </c>
      <c r="N15" s="6">
        <v>18.0388432221167</v>
      </c>
      <c r="O15" s="6">
        <v>0.98393447796516398</v>
      </c>
      <c r="P15" s="6">
        <v>3.4949139543762799E-3</v>
      </c>
      <c r="Q15" s="6">
        <v>0.45329604560220599</v>
      </c>
      <c r="R15" s="6">
        <v>-8.9831914092549803E-3</v>
      </c>
      <c r="S15" s="6">
        <v>-1.0872727421549799</v>
      </c>
      <c r="T15" s="6">
        <v>0.93442344515623099</v>
      </c>
      <c r="U15" s="16">
        <f t="shared" si="2"/>
        <v>4329.3223733080076</v>
      </c>
      <c r="V15" s="6">
        <v>4329.3223733080104</v>
      </c>
      <c r="W15" s="18">
        <v>0</v>
      </c>
      <c r="X15" s="6">
        <v>-3600</v>
      </c>
      <c r="Y15" s="6">
        <v>4329.3223733080104</v>
      </c>
      <c r="Z15" s="6">
        <v>729.32237330801297</v>
      </c>
      <c r="AA15" s="6">
        <v>-3600</v>
      </c>
      <c r="AB15" s="6">
        <v>4329.3223733080104</v>
      </c>
      <c r="AC15" s="6">
        <v>729.32237330801297</v>
      </c>
      <c r="AD15" s="9">
        <v>47.988364604376933</v>
      </c>
      <c r="AE15" s="9">
        <f t="shared" si="3"/>
        <v>240</v>
      </c>
      <c r="AF15" s="36" t="s">
        <v>98</v>
      </c>
      <c r="AG15" s="93">
        <f t="shared" si="4"/>
        <v>17.699372136454652</v>
      </c>
      <c r="AH15" s="94">
        <f t="shared" si="5"/>
        <v>4247.8493127491165</v>
      </c>
      <c r="AI15" s="99">
        <v>7.7513263576026503</v>
      </c>
      <c r="AJ15" s="91">
        <f t="shared" si="6"/>
        <v>32926.466341036532</v>
      </c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</row>
    <row r="16" spans="1:50" x14ac:dyDescent="0.25">
      <c r="B16" s="15" t="s">
        <v>75</v>
      </c>
      <c r="C16" s="18" t="s">
        <v>98</v>
      </c>
      <c r="D16" s="15" t="s">
        <v>89</v>
      </c>
      <c r="E16" s="31">
        <v>40871</v>
      </c>
      <c r="F16" s="31">
        <v>40871</v>
      </c>
      <c r="G16" s="27">
        <f t="shared" si="0"/>
        <v>40871</v>
      </c>
      <c r="H16" s="15">
        <v>30</v>
      </c>
      <c r="I16" s="15" t="s">
        <v>3</v>
      </c>
      <c r="J16" s="18">
        <v>10</v>
      </c>
      <c r="K16" s="18">
        <v>24</v>
      </c>
      <c r="L16" s="18">
        <v>15</v>
      </c>
      <c r="M16" s="15">
        <f t="shared" si="1"/>
        <v>-3600</v>
      </c>
      <c r="N16" s="6">
        <v>17.156308411984899</v>
      </c>
      <c r="O16" s="6">
        <v>0.97900660634958103</v>
      </c>
      <c r="P16" s="6">
        <v>4.4422862203968901E-3</v>
      </c>
      <c r="Q16" s="6">
        <v>0.57623572277735902</v>
      </c>
      <c r="R16" s="6">
        <v>-1.10165894059586E-2</v>
      </c>
      <c r="S16" s="6">
        <v>-1.0810824478784999</v>
      </c>
      <c r="T16" s="6">
        <v>0.92863524091392702</v>
      </c>
      <c r="U16" s="16">
        <f t="shared" si="2"/>
        <v>4117.5140188763753</v>
      </c>
      <c r="V16" s="6">
        <v>4117.5140188763799</v>
      </c>
      <c r="W16" s="18">
        <v>0</v>
      </c>
      <c r="X16" s="6">
        <v>-3600</v>
      </c>
      <c r="Y16" s="6">
        <v>4117.5140188763799</v>
      </c>
      <c r="Z16" s="6">
        <v>517.51401887637905</v>
      </c>
      <c r="AA16" s="6">
        <v>-3600</v>
      </c>
      <c r="AB16" s="6">
        <v>4117.5140188763799</v>
      </c>
      <c r="AC16" s="6">
        <v>517.51401887637905</v>
      </c>
      <c r="AD16" s="9">
        <v>47.082200709224942</v>
      </c>
      <c r="AE16" s="9">
        <f t="shared" si="3"/>
        <v>240</v>
      </c>
      <c r="AF16" s="36" t="s">
        <v>98</v>
      </c>
      <c r="AG16" s="93">
        <f t="shared" si="4"/>
        <v>16.723587345320716</v>
      </c>
      <c r="AH16" s="94">
        <f t="shared" si="5"/>
        <v>4013.660962876972</v>
      </c>
      <c r="AI16" s="99">
        <v>7.7516379030417397</v>
      </c>
      <c r="AJ16" s="91">
        <f t="shared" si="6"/>
        <v>31112.446449796142</v>
      </c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</row>
    <row r="17" spans="1:50" x14ac:dyDescent="0.25">
      <c r="B17" s="15" t="s">
        <v>75</v>
      </c>
      <c r="C17" s="18" t="s">
        <v>98</v>
      </c>
      <c r="D17" s="15" t="s">
        <v>97</v>
      </c>
      <c r="E17" s="31">
        <v>40872</v>
      </c>
      <c r="F17" s="31">
        <v>40872</v>
      </c>
      <c r="G17" s="27">
        <f t="shared" si="0"/>
        <v>40872</v>
      </c>
      <c r="H17" s="15">
        <v>30</v>
      </c>
      <c r="I17" s="15" t="s">
        <v>3</v>
      </c>
      <c r="J17" s="18">
        <v>10</v>
      </c>
      <c r="K17" s="18">
        <v>24</v>
      </c>
      <c r="L17" s="18">
        <v>15</v>
      </c>
      <c r="M17" s="15">
        <f t="shared" si="1"/>
        <v>-3600</v>
      </c>
      <c r="N17" s="6">
        <v>16.149398458930499</v>
      </c>
      <c r="O17" s="6">
        <v>0.97224586693196802</v>
      </c>
      <c r="P17" s="6">
        <v>5.6995024154150404E-3</v>
      </c>
      <c r="Q17" s="6">
        <v>0.73320763370195696</v>
      </c>
      <c r="R17" s="6">
        <v>-1.3513821156689801E-2</v>
      </c>
      <c r="S17" s="6">
        <v>-1.0618782548337899</v>
      </c>
      <c r="T17" s="6">
        <v>0.92293334090424795</v>
      </c>
      <c r="U17" s="16">
        <f t="shared" si="2"/>
        <v>3875.85563014332</v>
      </c>
      <c r="V17" s="6">
        <v>3875.85563014333</v>
      </c>
      <c r="W17" s="18">
        <v>0</v>
      </c>
      <c r="X17" s="6">
        <v>-3600</v>
      </c>
      <c r="Y17" s="6">
        <v>3875.85563014333</v>
      </c>
      <c r="Z17" s="6">
        <v>275.85563014333002</v>
      </c>
      <c r="AA17" s="6">
        <v>-3600</v>
      </c>
      <c r="AB17" s="6">
        <v>3875.85563014333</v>
      </c>
      <c r="AC17" s="6">
        <v>275.85563014333002</v>
      </c>
      <c r="AD17" s="9">
        <v>46.041626957170202</v>
      </c>
      <c r="AE17" s="9">
        <f t="shared" si="3"/>
        <v>240</v>
      </c>
      <c r="AF17" s="36" t="s">
        <v>98</v>
      </c>
      <c r="AG17" s="93">
        <f t="shared" si="4"/>
        <v>15.59640550797317</v>
      </c>
      <c r="AH17" s="94">
        <f t="shared" si="5"/>
        <v>3743.1373219135608</v>
      </c>
      <c r="AI17" s="99">
        <v>7.7519504320239898</v>
      </c>
      <c r="AJ17" s="91">
        <f t="shared" si="6"/>
        <v>29016.614979732949</v>
      </c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</row>
    <row r="18" spans="1:50" x14ac:dyDescent="0.25">
      <c r="B18" s="15" t="s">
        <v>75</v>
      </c>
      <c r="C18" s="18" t="s">
        <v>98</v>
      </c>
      <c r="D18" s="15" t="s">
        <v>99</v>
      </c>
      <c r="E18" s="31">
        <v>40873</v>
      </c>
      <c r="F18" s="31">
        <v>40873</v>
      </c>
      <c r="G18" s="27">
        <f t="shared" si="0"/>
        <v>40873</v>
      </c>
      <c r="H18" s="15">
        <v>30</v>
      </c>
      <c r="I18" s="15" t="s">
        <v>3</v>
      </c>
      <c r="J18" s="18">
        <v>10</v>
      </c>
      <c r="K18" s="18">
        <v>24</v>
      </c>
      <c r="L18" s="18">
        <v>15</v>
      </c>
      <c r="M18" s="15">
        <f t="shared" si="1"/>
        <v>-3600</v>
      </c>
      <c r="N18" s="6">
        <v>13.971128232236699</v>
      </c>
      <c r="O18" s="6">
        <v>0.95395106538878804</v>
      </c>
      <c r="P18" s="6">
        <v>9.0412904015448707E-3</v>
      </c>
      <c r="Q18" s="6">
        <v>1.08829618273937</v>
      </c>
      <c r="R18" s="6">
        <v>-1.9457587232826999E-2</v>
      </c>
      <c r="S18" s="6">
        <v>-0.95692659124908896</v>
      </c>
      <c r="T18" s="6">
        <v>0.91731912577766905</v>
      </c>
      <c r="U18" s="16">
        <f t="shared" si="2"/>
        <v>3353.0707757368082</v>
      </c>
      <c r="V18" s="6">
        <v>3353.07077573681</v>
      </c>
      <c r="W18" s="18">
        <v>0</v>
      </c>
      <c r="X18" s="6">
        <v>-3600</v>
      </c>
      <c r="Y18" s="6">
        <v>3353.07077573681</v>
      </c>
      <c r="Z18" s="6">
        <v>-246.92922426319001</v>
      </c>
      <c r="AA18" s="6">
        <v>-3600</v>
      </c>
      <c r="AB18" s="6">
        <v>3353.07077573681</v>
      </c>
      <c r="AC18" s="6">
        <v>-246.92922426319001</v>
      </c>
      <c r="AD18" s="9">
        <v>43.769798490252079</v>
      </c>
      <c r="AE18" s="9">
        <f t="shared" si="3"/>
        <v>240</v>
      </c>
      <c r="AF18" s="36" t="s">
        <v>98</v>
      </c>
      <c r="AG18" s="93">
        <f t="shared" si="4"/>
        <v>13.135713939964896</v>
      </c>
      <c r="AH18" s="94">
        <f t="shared" si="5"/>
        <v>3152.5713455915752</v>
      </c>
      <c r="AI18" s="99">
        <v>7.7522638155830901</v>
      </c>
      <c r="AJ18" s="91">
        <f t="shared" si="6"/>
        <v>24439.564768473661</v>
      </c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</row>
    <row r="19" spans="1:50" x14ac:dyDescent="0.25">
      <c r="B19" s="15" t="s">
        <v>75</v>
      </c>
      <c r="C19" s="18" t="s">
        <v>98</v>
      </c>
      <c r="D19" s="15" t="s">
        <v>100</v>
      </c>
      <c r="E19" s="31">
        <v>40874</v>
      </c>
      <c r="F19" s="31">
        <v>40874</v>
      </c>
      <c r="G19" s="27">
        <f t="shared" si="0"/>
        <v>40874</v>
      </c>
      <c r="H19" s="15">
        <v>30</v>
      </c>
      <c r="I19" s="15" t="s">
        <v>3</v>
      </c>
      <c r="J19" s="18">
        <v>10</v>
      </c>
      <c r="K19" s="18">
        <v>24</v>
      </c>
      <c r="L19" s="18">
        <v>15</v>
      </c>
      <c r="M19" s="15">
        <f t="shared" si="1"/>
        <v>-3600</v>
      </c>
      <c r="N19" s="6">
        <v>13.245491025687</v>
      </c>
      <c r="O19" s="6">
        <v>0.94431377665699201</v>
      </c>
      <c r="P19" s="6">
        <v>1.0590263192160601E-2</v>
      </c>
      <c r="Q19" s="6">
        <v>1.27124716383748</v>
      </c>
      <c r="R19" s="6">
        <v>-2.1805283320828601E-2</v>
      </c>
      <c r="S19" s="6">
        <v>-0.943514429227018</v>
      </c>
      <c r="T19" s="6">
        <v>0.911793254885088</v>
      </c>
      <c r="U19" s="16">
        <f t="shared" si="2"/>
        <v>3178.9178461648798</v>
      </c>
      <c r="V19" s="6">
        <v>3178.9178461648798</v>
      </c>
      <c r="W19" s="18">
        <v>0</v>
      </c>
      <c r="X19" s="6">
        <v>-3600</v>
      </c>
      <c r="Y19" s="6">
        <v>3178.9178461648798</v>
      </c>
      <c r="Z19" s="6">
        <v>-421.08215383512402</v>
      </c>
      <c r="AA19" s="6">
        <v>-3600</v>
      </c>
      <c r="AB19" s="6">
        <v>3178.9178461648798</v>
      </c>
      <c r="AC19" s="6">
        <v>-421.08215383512402</v>
      </c>
      <c r="AD19" s="9">
        <v>42.990568922977531</v>
      </c>
      <c r="AE19" s="9">
        <f t="shared" si="3"/>
        <v>240</v>
      </c>
      <c r="AF19" s="36" t="s">
        <v>98</v>
      </c>
      <c r="AG19" s="93">
        <f t="shared" si="4"/>
        <v>12.267173200579865</v>
      </c>
      <c r="AH19" s="94">
        <f t="shared" si="5"/>
        <v>2944.1215681391677</v>
      </c>
      <c r="AI19" s="99">
        <v>7.7525779134373298</v>
      </c>
      <c r="AJ19" s="91">
        <f t="shared" si="6"/>
        <v>22824.53184363019</v>
      </c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</row>
    <row r="20" spans="1:50" s="19" customFormat="1" x14ac:dyDescent="0.25">
      <c r="B20" s="38"/>
      <c r="C20" s="39"/>
      <c r="D20" s="38"/>
      <c r="E20" s="32"/>
      <c r="F20" s="32"/>
      <c r="G20" s="40"/>
      <c r="H20" s="38"/>
      <c r="I20" s="38"/>
      <c r="J20" s="39"/>
      <c r="K20" s="39"/>
      <c r="L20" s="39"/>
      <c r="M20" s="38"/>
      <c r="U20" s="41"/>
      <c r="W20" s="39"/>
      <c r="AF20" s="39"/>
      <c r="AG20" s="93"/>
      <c r="AH20" s="93"/>
      <c r="AI20" s="93"/>
      <c r="AJ20" s="42"/>
      <c r="AK20" s="98" t="s">
        <v>156</v>
      </c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</row>
    <row r="21" spans="1:50" x14ac:dyDescent="0.25">
      <c r="A21" s="53" t="s">
        <v>104</v>
      </c>
      <c r="B21" s="15" t="s">
        <v>75</v>
      </c>
      <c r="C21" s="15" t="s">
        <v>95</v>
      </c>
      <c r="D21" s="15" t="s">
        <v>86</v>
      </c>
      <c r="E21" s="31">
        <v>40544</v>
      </c>
      <c r="F21" s="31">
        <v>40633</v>
      </c>
      <c r="G21" s="27">
        <f>F21</f>
        <v>40633</v>
      </c>
      <c r="H21" s="15">
        <v>30</v>
      </c>
      <c r="I21" s="15" t="s">
        <v>7</v>
      </c>
      <c r="J21" s="15">
        <v>10</v>
      </c>
      <c r="K21" s="15">
        <v>2159</v>
      </c>
      <c r="L21" s="15">
        <v>15</v>
      </c>
      <c r="M21" s="15">
        <f>-L21*K21*J21</f>
        <v>-323850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16">
        <f>N21*J21*K21</f>
        <v>0</v>
      </c>
      <c r="V21" s="6">
        <v>0</v>
      </c>
      <c r="W21" s="15">
        <v>0</v>
      </c>
      <c r="X21" s="6">
        <v>456755.6</v>
      </c>
      <c r="Y21" s="6">
        <v>0</v>
      </c>
      <c r="Z21" s="6">
        <v>456755.6</v>
      </c>
      <c r="AA21" s="6">
        <v>456755.6</v>
      </c>
      <c r="AB21" s="6">
        <v>0</v>
      </c>
      <c r="AC21" s="6">
        <v>456755.6</v>
      </c>
      <c r="AD21" s="10">
        <v>0</v>
      </c>
      <c r="AE21" s="9">
        <f>J21*K21</f>
        <v>21590</v>
      </c>
      <c r="AF21" s="9" t="s">
        <v>95</v>
      </c>
      <c r="AG21" s="93">
        <v>66.155886984715096</v>
      </c>
      <c r="AH21" s="42">
        <f>AG21*AE21</f>
        <v>1428305.5999999989</v>
      </c>
      <c r="AI21" s="42">
        <f>30*AE21</f>
        <v>647700</v>
      </c>
      <c r="AJ21" s="94">
        <f>AH21-AI21</f>
        <v>780605.59999999893</v>
      </c>
      <c r="AK21" s="91">
        <f>AJ21*$AK$10</f>
        <v>6046119.6054041134</v>
      </c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</row>
    <row r="22" spans="1:50" x14ac:dyDescent="0.25">
      <c r="B22" s="15" t="s">
        <v>75</v>
      </c>
      <c r="C22" s="17" t="s">
        <v>95</v>
      </c>
      <c r="D22" s="15" t="s">
        <v>87</v>
      </c>
      <c r="E22" s="31">
        <v>40634</v>
      </c>
      <c r="F22" s="31">
        <v>40724</v>
      </c>
      <c r="G22" s="27">
        <f>F22</f>
        <v>40724</v>
      </c>
      <c r="H22" s="15">
        <v>30</v>
      </c>
      <c r="I22" s="15" t="s">
        <v>7</v>
      </c>
      <c r="J22" s="15">
        <v>10</v>
      </c>
      <c r="K22" s="15">
        <v>2184</v>
      </c>
      <c r="L22" s="15">
        <v>15</v>
      </c>
      <c r="M22" s="15">
        <f>-L22*K22*J22</f>
        <v>-327600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16">
        <f>N22*J22*K22</f>
        <v>0</v>
      </c>
      <c r="V22" s="6">
        <v>0</v>
      </c>
      <c r="W22" s="15">
        <v>0</v>
      </c>
      <c r="X22" s="6">
        <v>158799.299999999</v>
      </c>
      <c r="Y22" s="6">
        <v>0</v>
      </c>
      <c r="Z22" s="6">
        <v>158799.299999999</v>
      </c>
      <c r="AA22" s="6">
        <v>158799.299999999</v>
      </c>
      <c r="AB22" s="6">
        <v>0</v>
      </c>
      <c r="AC22" s="6">
        <v>158799.299999999</v>
      </c>
      <c r="AD22" s="9">
        <v>0</v>
      </c>
      <c r="AE22" s="9">
        <f>J22*K22</f>
        <v>21840</v>
      </c>
      <c r="AF22" s="9" t="s">
        <v>95</v>
      </c>
      <c r="AG22" s="93">
        <v>52.271030219780201</v>
      </c>
      <c r="AH22" s="42">
        <f>AG22*AE22</f>
        <v>1141599.2999999996</v>
      </c>
      <c r="AI22" s="42">
        <f>30*AE22</f>
        <v>655200</v>
      </c>
      <c r="AJ22" s="91">
        <f t="shared" ref="AJ22:AJ23" si="7">AH22-AI22</f>
        <v>486399.29999999958</v>
      </c>
      <c r="AK22" s="91">
        <f t="shared" ref="AK22:AK23" si="8">AJ22*$AK$10</f>
        <v>3767367.7255003531</v>
      </c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</row>
    <row r="23" spans="1:50" x14ac:dyDescent="0.25">
      <c r="B23" s="15" t="s">
        <v>75</v>
      </c>
      <c r="C23" s="18" t="s">
        <v>95</v>
      </c>
      <c r="D23" s="15" t="s">
        <v>88</v>
      </c>
      <c r="E23" s="31">
        <v>40725</v>
      </c>
      <c r="F23" s="31">
        <v>40816</v>
      </c>
      <c r="G23" s="27">
        <f>F23</f>
        <v>40816</v>
      </c>
      <c r="H23" s="15">
        <v>30</v>
      </c>
      <c r="I23" s="15" t="s">
        <v>7</v>
      </c>
      <c r="J23" s="18">
        <v>10</v>
      </c>
      <c r="K23" s="18">
        <v>2208</v>
      </c>
      <c r="L23" s="18">
        <v>15</v>
      </c>
      <c r="M23" s="15">
        <f>-L23*K23*J23</f>
        <v>-331200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16">
        <f>N23*J23*K23</f>
        <v>0</v>
      </c>
      <c r="V23" s="6">
        <v>0</v>
      </c>
      <c r="W23" s="18">
        <v>0</v>
      </c>
      <c r="X23" s="6">
        <v>-198071.6</v>
      </c>
      <c r="Y23" s="6">
        <v>0</v>
      </c>
      <c r="Z23" s="6">
        <v>-198071.6</v>
      </c>
      <c r="AA23" s="6">
        <v>-198071.6</v>
      </c>
      <c r="AB23" s="6">
        <v>0</v>
      </c>
      <c r="AC23" s="6">
        <v>-198071.6</v>
      </c>
      <c r="AD23" s="9">
        <v>0</v>
      </c>
      <c r="AE23" s="9">
        <f>J23*K23</f>
        <v>22080</v>
      </c>
      <c r="AF23" s="9" t="s">
        <v>95</v>
      </c>
      <c r="AG23" s="93">
        <v>36.029365942029003</v>
      </c>
      <c r="AH23" s="42">
        <f>AG23*AE23</f>
        <v>795528.40000000037</v>
      </c>
      <c r="AI23" s="42">
        <f>30*AE23</f>
        <v>662400</v>
      </c>
      <c r="AJ23" s="91">
        <f t="shared" si="7"/>
        <v>133128.40000000037</v>
      </c>
      <c r="AK23" s="91">
        <f t="shared" si="8"/>
        <v>1031135.6071184786</v>
      </c>
      <c r="AL23" s="93" t="s">
        <v>148</v>
      </c>
      <c r="AM23" s="53" t="s">
        <v>150</v>
      </c>
      <c r="AN23" s="93" t="s">
        <v>149</v>
      </c>
      <c r="AO23" s="93" t="s">
        <v>152</v>
      </c>
      <c r="AP23" s="93" t="s">
        <v>153</v>
      </c>
      <c r="AQ23" s="95" t="s">
        <v>151</v>
      </c>
      <c r="AR23" s="95" t="s">
        <v>154</v>
      </c>
      <c r="AS23" s="95" t="s">
        <v>155</v>
      </c>
      <c r="AT23" s="95" t="s">
        <v>156</v>
      </c>
      <c r="AU23" s="42"/>
      <c r="AV23" s="42"/>
      <c r="AW23" s="42"/>
      <c r="AX23" s="42"/>
    </row>
    <row r="24" spans="1:50" x14ac:dyDescent="0.25">
      <c r="B24" s="15" t="s">
        <v>75</v>
      </c>
      <c r="C24" s="18" t="s">
        <v>95</v>
      </c>
      <c r="D24" s="15" t="s">
        <v>89</v>
      </c>
      <c r="E24" s="31">
        <v>40817</v>
      </c>
      <c r="F24" s="31">
        <v>40908</v>
      </c>
      <c r="G24" s="27">
        <f>F24</f>
        <v>40908</v>
      </c>
      <c r="H24" s="15">
        <v>30</v>
      </c>
      <c r="I24" s="15" t="s">
        <v>3</v>
      </c>
      <c r="J24" s="18">
        <v>10</v>
      </c>
      <c r="K24" s="18">
        <v>2209</v>
      </c>
      <c r="L24" s="18">
        <v>15</v>
      </c>
      <c r="M24" s="15">
        <f>-L24*K24*J24</f>
        <v>-331350</v>
      </c>
      <c r="N24" s="6">
        <v>9.5877982152974202</v>
      </c>
      <c r="O24" s="6">
        <v>0.638210394712311</v>
      </c>
      <c r="P24" s="6">
        <v>3.3111366851428601E-3</v>
      </c>
      <c r="Q24" s="6">
        <v>0.54552236026477796</v>
      </c>
      <c r="R24" s="6">
        <v>-1.79945447738443E-3</v>
      </c>
      <c r="S24" s="6">
        <v>-1.5760764189530001</v>
      </c>
      <c r="T24" s="6">
        <v>0.48268935539166202</v>
      </c>
      <c r="U24" s="16">
        <f>N24*J24*K24</f>
        <v>211794.46257592001</v>
      </c>
      <c r="V24" s="6">
        <v>206959.922275463</v>
      </c>
      <c r="W24" s="18">
        <v>0</v>
      </c>
      <c r="X24" s="6">
        <v>-331350</v>
      </c>
      <c r="Y24" s="6">
        <v>206959.922275463</v>
      </c>
      <c r="Z24" s="6">
        <v>-124390.077724537</v>
      </c>
      <c r="AA24" s="6">
        <v>-331350</v>
      </c>
      <c r="AB24" s="6">
        <v>206959.922275463</v>
      </c>
      <c r="AC24" s="6">
        <v>-124390.077724537</v>
      </c>
      <c r="AD24" s="9">
        <v>45.567444154755101</v>
      </c>
      <c r="AE24" s="9">
        <f>J24*K24</f>
        <v>22090</v>
      </c>
      <c r="AF24" s="9" t="s">
        <v>95</v>
      </c>
      <c r="AG24" s="53">
        <v>28.338244473342002</v>
      </c>
      <c r="AH24" s="97">
        <f>(AG24-30)*AM24*10*AL24</f>
        <v>-12510.958076314617</v>
      </c>
      <c r="AI24" s="93"/>
      <c r="AJ24" s="42"/>
      <c r="AL24" s="93">
        <f>O24*K24/AN24</f>
        <v>0.97903247355520495</v>
      </c>
      <c r="AM24" s="53">
        <f>K24-AN24</f>
        <v>769</v>
      </c>
      <c r="AN24" s="93">
        <f>60*24</f>
        <v>1440</v>
      </c>
      <c r="AO24" s="53">
        <f>AN24*10</f>
        <v>14400</v>
      </c>
      <c r="AP24" s="53">
        <f>AD24-30</f>
        <v>15.567444154755101</v>
      </c>
      <c r="AQ24" s="97">
        <f>AP24*AO24*AL24</f>
        <v>219470.88035177861</v>
      </c>
      <c r="AR24" s="94">
        <f>AQ24+AH24</f>
        <v>206959.92227546399</v>
      </c>
      <c r="AS24" s="99">
        <v>7.76323215120002</v>
      </c>
      <c r="AT24" s="94">
        <f>AS24*AR24</f>
        <v>1606677.9226187393</v>
      </c>
      <c r="AU24" s="42"/>
      <c r="AV24" s="42"/>
      <c r="AW24" s="42"/>
      <c r="AX24" s="42"/>
    </row>
    <row r="25" spans="1:50" s="19" customFormat="1" x14ac:dyDescent="0.25">
      <c r="B25" s="38"/>
      <c r="C25" s="39"/>
      <c r="D25" s="38"/>
      <c r="E25" s="32"/>
      <c r="F25" s="32"/>
      <c r="G25" s="40"/>
      <c r="H25" s="38"/>
      <c r="I25" s="38"/>
      <c r="J25" s="39"/>
      <c r="K25" s="39"/>
      <c r="L25" s="39"/>
      <c r="M25" s="38"/>
      <c r="U25" s="41"/>
      <c r="W25" s="39"/>
      <c r="AG25" s="93"/>
      <c r="AH25" s="93"/>
      <c r="AI25" s="93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</row>
    <row r="26" spans="1:50" x14ac:dyDescent="0.25">
      <c r="A26" s="53" t="s">
        <v>107</v>
      </c>
      <c r="B26" s="15" t="s">
        <v>75</v>
      </c>
      <c r="C26" s="18" t="s">
        <v>98</v>
      </c>
      <c r="D26" s="15" t="s">
        <v>86</v>
      </c>
      <c r="E26" s="31">
        <v>40868</v>
      </c>
      <c r="F26" s="31">
        <v>40868</v>
      </c>
      <c r="G26" s="27">
        <f t="shared" ref="G26:G32" si="9">F26</f>
        <v>40868</v>
      </c>
      <c r="H26" s="15">
        <v>30</v>
      </c>
      <c r="I26" s="15" t="s">
        <v>3</v>
      </c>
      <c r="J26" s="18">
        <v>10</v>
      </c>
      <c r="K26" s="18">
        <v>24</v>
      </c>
      <c r="L26" s="18">
        <v>15</v>
      </c>
      <c r="M26" s="15">
        <f t="shared" ref="M26:M32" si="10">-L26*K26*J26</f>
        <v>-3600</v>
      </c>
      <c r="N26" s="6">
        <v>17.592861864211201</v>
      </c>
      <c r="O26" s="6">
        <v>0.98504416121263205</v>
      </c>
      <c r="P26" s="6">
        <v>3.4408625700995499E-3</v>
      </c>
      <c r="Q26" s="6">
        <v>0.403346183677256</v>
      </c>
      <c r="R26" s="6">
        <v>-8.9233974198054504E-3</v>
      </c>
      <c r="S26" s="6">
        <v>-0.96399243091568199</v>
      </c>
      <c r="T26" s="6">
        <v>0.94624832968245898</v>
      </c>
      <c r="U26" s="16">
        <f t="shared" ref="U26:U32" si="11">N26*J26*K26</f>
        <v>4222.2868474106881</v>
      </c>
      <c r="V26" s="6">
        <v>4222.2868474106899</v>
      </c>
      <c r="W26" s="18">
        <v>0</v>
      </c>
      <c r="X26" s="6">
        <v>-3600</v>
      </c>
      <c r="Y26" s="6">
        <v>4222.2868474106899</v>
      </c>
      <c r="Z26" s="6">
        <v>622.28684741068605</v>
      </c>
      <c r="AA26" s="6">
        <v>-3600</v>
      </c>
      <c r="AB26" s="6">
        <v>4222.2868474106899</v>
      </c>
      <c r="AC26" s="6">
        <v>622.28684741068605</v>
      </c>
      <c r="AD26" s="9">
        <v>47.548211301812493</v>
      </c>
      <c r="AE26" s="9">
        <f t="shared" ref="AE26:AE32" si="12">J26*K26</f>
        <v>240</v>
      </c>
      <c r="AF26" s="36" t="s">
        <v>98</v>
      </c>
      <c r="AG26" s="93">
        <f t="shared" ref="AG26:AG32" si="13">(AD26-H26)*O26</f>
        <v>17.285763082575919</v>
      </c>
      <c r="AH26" s="94">
        <f t="shared" ref="AH26:AH32" si="14">AG26*AE26</f>
        <v>4148.5831398182208</v>
      </c>
      <c r="AI26" s="99">
        <v>7.7507066805285003</v>
      </c>
      <c r="AJ26" s="91">
        <f>AI26*AH26</f>
        <v>32154.451056516984</v>
      </c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</row>
    <row r="27" spans="1:50" x14ac:dyDescent="0.25">
      <c r="B27" s="15" t="s">
        <v>75</v>
      </c>
      <c r="C27" s="18" t="s">
        <v>98</v>
      </c>
      <c r="D27" s="15" t="s">
        <v>87</v>
      </c>
      <c r="E27" s="31">
        <v>40869</v>
      </c>
      <c r="F27" s="31">
        <v>40869</v>
      </c>
      <c r="G27" s="27">
        <f t="shared" si="9"/>
        <v>40869</v>
      </c>
      <c r="H27" s="15">
        <v>30</v>
      </c>
      <c r="I27" s="15" t="s">
        <v>3</v>
      </c>
      <c r="J27" s="18">
        <v>11</v>
      </c>
      <c r="K27" s="18">
        <v>24</v>
      </c>
      <c r="L27" s="18">
        <v>15</v>
      </c>
      <c r="M27" s="15">
        <f t="shared" si="10"/>
        <v>-3960</v>
      </c>
      <c r="N27" s="6">
        <v>17.679093295609299</v>
      </c>
      <c r="O27" s="6">
        <v>0.98396956123715296</v>
      </c>
      <c r="P27" s="6">
        <v>3.5828560824027701E-3</v>
      </c>
      <c r="Q27" s="6">
        <v>0.43971099095479099</v>
      </c>
      <c r="R27" s="6">
        <v>-9.2182716592726192E-3</v>
      </c>
      <c r="S27" s="6">
        <v>-1.0171533128980701</v>
      </c>
      <c r="T27" s="6">
        <v>0.94029564433709301</v>
      </c>
      <c r="U27" s="16">
        <f t="shared" si="11"/>
        <v>4667.2806300408547</v>
      </c>
      <c r="V27" s="6">
        <v>4667.2806300408502</v>
      </c>
      <c r="W27" s="18">
        <v>0</v>
      </c>
      <c r="X27" s="6">
        <v>-3960</v>
      </c>
      <c r="Y27" s="6">
        <v>4667.2806300408502</v>
      </c>
      <c r="Z27" s="6">
        <v>707.280630040848</v>
      </c>
      <c r="AA27" s="6">
        <v>-3960</v>
      </c>
      <c r="AB27" s="6">
        <v>4667.2806300408502</v>
      </c>
      <c r="AC27" s="6">
        <v>707.280630040848</v>
      </c>
      <c r="AD27" s="9">
        <v>47.62922901418586</v>
      </c>
      <c r="AE27" s="9">
        <f t="shared" si="12"/>
        <v>264</v>
      </c>
      <c r="AF27" s="36" t="s">
        <v>98</v>
      </c>
      <c r="AG27" s="93">
        <f t="shared" si="13"/>
        <v>17.346624738037747</v>
      </c>
      <c r="AH27" s="94">
        <f t="shared" si="14"/>
        <v>4579.5089308419647</v>
      </c>
      <c r="AI27" s="99">
        <v>7.7510159141077297</v>
      </c>
      <c r="AJ27" s="91">
        <f t="shared" ref="AJ27:AJ32" si="15">AI27*AH27</f>
        <v>35495.846601754543</v>
      </c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</row>
    <row r="28" spans="1:50" x14ac:dyDescent="0.25">
      <c r="B28" s="15" t="s">
        <v>75</v>
      </c>
      <c r="C28" s="18" t="s">
        <v>98</v>
      </c>
      <c r="D28" s="15" t="s">
        <v>88</v>
      </c>
      <c r="E28" s="31">
        <v>40870</v>
      </c>
      <c r="F28" s="31">
        <v>40870</v>
      </c>
      <c r="G28" s="27">
        <f t="shared" si="9"/>
        <v>40870</v>
      </c>
      <c r="H28" s="15">
        <v>30</v>
      </c>
      <c r="I28" s="15" t="s">
        <v>3</v>
      </c>
      <c r="J28" s="18">
        <v>12</v>
      </c>
      <c r="K28" s="18">
        <v>24</v>
      </c>
      <c r="L28" s="18">
        <v>15</v>
      </c>
      <c r="M28" s="15">
        <f t="shared" si="10"/>
        <v>-4320</v>
      </c>
      <c r="N28" s="6">
        <v>18.0388432221167</v>
      </c>
      <c r="O28" s="6">
        <v>0.98393447796516398</v>
      </c>
      <c r="P28" s="6">
        <v>3.4949139543762799E-3</v>
      </c>
      <c r="Q28" s="6">
        <v>0.45329604560220599</v>
      </c>
      <c r="R28" s="6">
        <v>-8.9831914092549803E-3</v>
      </c>
      <c r="S28" s="6">
        <v>-1.0872727421549799</v>
      </c>
      <c r="T28" s="6">
        <v>0.93442344515623099</v>
      </c>
      <c r="U28" s="16">
        <f t="shared" si="11"/>
        <v>5195.1868479696095</v>
      </c>
      <c r="V28" s="6">
        <v>5195.1868479696204</v>
      </c>
      <c r="W28" s="18">
        <v>0</v>
      </c>
      <c r="X28" s="6">
        <v>-4320</v>
      </c>
      <c r="Y28" s="6">
        <v>5195.1868479696204</v>
      </c>
      <c r="Z28" s="6">
        <v>875.186847969616</v>
      </c>
      <c r="AA28" s="6">
        <v>-4320</v>
      </c>
      <c r="AB28" s="6">
        <v>5195.1868479696204</v>
      </c>
      <c r="AC28" s="6">
        <v>875.186847969616</v>
      </c>
      <c r="AD28" s="9">
        <v>47.988364604376933</v>
      </c>
      <c r="AE28" s="9">
        <f t="shared" si="12"/>
        <v>288</v>
      </c>
      <c r="AF28" s="36" t="s">
        <v>98</v>
      </c>
      <c r="AG28" s="93">
        <f t="shared" si="13"/>
        <v>17.699372136454652</v>
      </c>
      <c r="AH28" s="94">
        <f t="shared" si="14"/>
        <v>5097.41917529894</v>
      </c>
      <c r="AI28" s="99">
        <v>7.7513263576026503</v>
      </c>
      <c r="AJ28" s="91">
        <f t="shared" si="15"/>
        <v>39511.75960924384</v>
      </c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</row>
    <row r="29" spans="1:50" x14ac:dyDescent="0.25">
      <c r="B29" s="15" t="s">
        <v>75</v>
      </c>
      <c r="C29" s="18" t="s">
        <v>98</v>
      </c>
      <c r="D29" s="15" t="s">
        <v>89</v>
      </c>
      <c r="E29" s="31">
        <v>40871</v>
      </c>
      <c r="F29" s="31">
        <v>40871</v>
      </c>
      <c r="G29" s="27">
        <f t="shared" si="9"/>
        <v>40871</v>
      </c>
      <c r="H29" s="15">
        <v>30</v>
      </c>
      <c r="I29" s="15" t="s">
        <v>3</v>
      </c>
      <c r="J29" s="18">
        <v>13</v>
      </c>
      <c r="K29" s="18">
        <v>24</v>
      </c>
      <c r="L29" s="18">
        <v>15</v>
      </c>
      <c r="M29" s="15">
        <f t="shared" si="10"/>
        <v>-4680</v>
      </c>
      <c r="N29" s="6">
        <v>17.156308411984899</v>
      </c>
      <c r="O29" s="6">
        <v>0.97900660634958103</v>
      </c>
      <c r="P29" s="6">
        <v>4.4422862203968901E-3</v>
      </c>
      <c r="Q29" s="6">
        <v>0.57623572277735902</v>
      </c>
      <c r="R29" s="6">
        <v>-1.10165894059586E-2</v>
      </c>
      <c r="S29" s="6">
        <v>-1.0810824478784999</v>
      </c>
      <c r="T29" s="6">
        <v>0.92863524091392702</v>
      </c>
      <c r="U29" s="16">
        <f t="shared" si="11"/>
        <v>5352.7682245392889</v>
      </c>
      <c r="V29" s="6">
        <v>5352.7682245392898</v>
      </c>
      <c r="W29" s="18">
        <v>0</v>
      </c>
      <c r="X29" s="6">
        <v>-4680</v>
      </c>
      <c r="Y29" s="6">
        <v>5352.7682245392898</v>
      </c>
      <c r="Z29" s="6">
        <v>672.76822453929299</v>
      </c>
      <c r="AA29" s="6">
        <v>-4680</v>
      </c>
      <c r="AB29" s="6">
        <v>5352.7682245392898</v>
      </c>
      <c r="AC29" s="6">
        <v>672.76822453929299</v>
      </c>
      <c r="AD29" s="9">
        <v>47.082200709224942</v>
      </c>
      <c r="AE29" s="9">
        <f t="shared" si="12"/>
        <v>312</v>
      </c>
      <c r="AF29" s="36" t="s">
        <v>98</v>
      </c>
      <c r="AG29" s="93">
        <f t="shared" si="13"/>
        <v>16.723587345320716</v>
      </c>
      <c r="AH29" s="94">
        <f t="shared" si="14"/>
        <v>5217.7592517400635</v>
      </c>
      <c r="AI29" s="99">
        <v>7.7516379030417397</v>
      </c>
      <c r="AJ29" s="91">
        <f t="shared" si="15"/>
        <v>40446.18038473498</v>
      </c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</row>
    <row r="30" spans="1:50" x14ac:dyDescent="0.25">
      <c r="B30" s="15" t="s">
        <v>75</v>
      </c>
      <c r="C30" s="18" t="s">
        <v>98</v>
      </c>
      <c r="D30" s="15" t="s">
        <v>97</v>
      </c>
      <c r="E30" s="31">
        <v>40872</v>
      </c>
      <c r="F30" s="31">
        <v>40872</v>
      </c>
      <c r="G30" s="27">
        <f t="shared" si="9"/>
        <v>40872</v>
      </c>
      <c r="H30" s="15">
        <v>30</v>
      </c>
      <c r="I30" s="15" t="s">
        <v>3</v>
      </c>
      <c r="J30" s="18">
        <v>14</v>
      </c>
      <c r="K30" s="18">
        <v>24</v>
      </c>
      <c r="L30" s="18">
        <v>15</v>
      </c>
      <c r="M30" s="15">
        <f t="shared" si="10"/>
        <v>-5040</v>
      </c>
      <c r="N30" s="6">
        <v>16.149398458930499</v>
      </c>
      <c r="O30" s="6">
        <v>0.97224586693196802</v>
      </c>
      <c r="P30" s="6">
        <v>5.6995024154150404E-3</v>
      </c>
      <c r="Q30" s="6">
        <v>0.73320763370195696</v>
      </c>
      <c r="R30" s="6">
        <v>-1.3513821156689801E-2</v>
      </c>
      <c r="S30" s="6">
        <v>-1.0618782548337899</v>
      </c>
      <c r="T30" s="6">
        <v>0.92293334090424795</v>
      </c>
      <c r="U30" s="16">
        <f t="shared" si="11"/>
        <v>5426.1978822006477</v>
      </c>
      <c r="V30" s="6">
        <v>5426.1978822006604</v>
      </c>
      <c r="W30" s="18">
        <v>0</v>
      </c>
      <c r="X30" s="6">
        <v>-5040</v>
      </c>
      <c r="Y30" s="6">
        <v>5426.1978822006604</v>
      </c>
      <c r="Z30" s="6">
        <v>386.19788220066198</v>
      </c>
      <c r="AA30" s="6">
        <v>-5040</v>
      </c>
      <c r="AB30" s="6">
        <v>5426.1978822006604</v>
      </c>
      <c r="AC30" s="6">
        <v>386.19788220066198</v>
      </c>
      <c r="AD30" s="9">
        <v>46.041626957170202</v>
      </c>
      <c r="AE30" s="9">
        <f t="shared" si="12"/>
        <v>336</v>
      </c>
      <c r="AF30" s="36" t="s">
        <v>98</v>
      </c>
      <c r="AG30" s="93">
        <f t="shared" si="13"/>
        <v>15.59640550797317</v>
      </c>
      <c r="AH30" s="94">
        <f t="shared" si="14"/>
        <v>5240.392250678985</v>
      </c>
      <c r="AI30" s="99">
        <v>7.7519504320239898</v>
      </c>
      <c r="AJ30" s="91">
        <f t="shared" si="15"/>
        <v>40623.260971626129</v>
      </c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</row>
    <row r="31" spans="1:50" x14ac:dyDescent="0.25">
      <c r="B31" s="15" t="s">
        <v>75</v>
      </c>
      <c r="C31" s="18" t="s">
        <v>98</v>
      </c>
      <c r="D31" s="15" t="s">
        <v>99</v>
      </c>
      <c r="E31" s="31">
        <v>40873</v>
      </c>
      <c r="F31" s="31">
        <v>40873</v>
      </c>
      <c r="G31" s="27">
        <f t="shared" si="9"/>
        <v>40873</v>
      </c>
      <c r="H31" s="15">
        <v>30</v>
      </c>
      <c r="I31" s="15" t="s">
        <v>3</v>
      </c>
      <c r="J31" s="18">
        <v>15</v>
      </c>
      <c r="K31" s="18">
        <v>24</v>
      </c>
      <c r="L31" s="18">
        <v>15</v>
      </c>
      <c r="M31" s="15">
        <f t="shared" si="10"/>
        <v>-5400</v>
      </c>
      <c r="N31" s="6">
        <v>13.971128232236699</v>
      </c>
      <c r="O31" s="6">
        <v>0.95395106538878804</v>
      </c>
      <c r="P31" s="6">
        <v>9.0412904015448707E-3</v>
      </c>
      <c r="Q31" s="6">
        <v>1.08829618273937</v>
      </c>
      <c r="R31" s="6">
        <v>-1.9457587232826999E-2</v>
      </c>
      <c r="S31" s="6">
        <v>-0.95692659124908896</v>
      </c>
      <c r="T31" s="6">
        <v>0.91731912577766905</v>
      </c>
      <c r="U31" s="16">
        <f t="shared" si="11"/>
        <v>5029.6061636052118</v>
      </c>
      <c r="V31" s="6">
        <v>5029.60616360521</v>
      </c>
      <c r="W31" s="18">
        <v>0</v>
      </c>
      <c r="X31" s="6">
        <v>-5400</v>
      </c>
      <c r="Y31" s="6">
        <v>5029.60616360521</v>
      </c>
      <c r="Z31" s="6">
        <v>-370.39383639478501</v>
      </c>
      <c r="AA31" s="6">
        <v>-5400</v>
      </c>
      <c r="AB31" s="6">
        <v>5029.60616360521</v>
      </c>
      <c r="AC31" s="6">
        <v>-370.39383639478501</v>
      </c>
      <c r="AD31" s="9">
        <v>43.769798490252079</v>
      </c>
      <c r="AE31" s="9">
        <f t="shared" si="12"/>
        <v>360</v>
      </c>
      <c r="AF31" s="36" t="s">
        <v>98</v>
      </c>
      <c r="AG31" s="93">
        <f t="shared" si="13"/>
        <v>13.135713939964896</v>
      </c>
      <c r="AH31" s="94">
        <f t="shared" si="14"/>
        <v>4728.8570183873626</v>
      </c>
      <c r="AI31" s="99">
        <v>7.7522638155830901</v>
      </c>
      <c r="AJ31" s="91">
        <f t="shared" si="15"/>
        <v>36659.347152710492</v>
      </c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</row>
    <row r="32" spans="1:50" x14ac:dyDescent="0.25">
      <c r="B32" s="15" t="s">
        <v>75</v>
      </c>
      <c r="C32" s="18" t="s">
        <v>98</v>
      </c>
      <c r="D32" s="15" t="s">
        <v>100</v>
      </c>
      <c r="E32" s="31">
        <v>40874</v>
      </c>
      <c r="F32" s="31">
        <v>40874</v>
      </c>
      <c r="G32" s="27">
        <f t="shared" si="9"/>
        <v>40874</v>
      </c>
      <c r="H32" s="15">
        <v>30</v>
      </c>
      <c r="I32" s="15" t="s">
        <v>3</v>
      </c>
      <c r="J32" s="18">
        <v>16</v>
      </c>
      <c r="K32" s="18">
        <v>24</v>
      </c>
      <c r="L32" s="18">
        <v>15</v>
      </c>
      <c r="M32" s="15">
        <f t="shared" si="10"/>
        <v>-5760</v>
      </c>
      <c r="N32" s="6">
        <v>13.245491025687</v>
      </c>
      <c r="O32" s="6">
        <v>0.94431377665699201</v>
      </c>
      <c r="P32" s="6">
        <v>1.0590263192160601E-2</v>
      </c>
      <c r="Q32" s="6">
        <v>1.27124716383748</v>
      </c>
      <c r="R32" s="6">
        <v>-2.1805283320828601E-2</v>
      </c>
      <c r="S32" s="6">
        <v>-0.943514429227018</v>
      </c>
      <c r="T32" s="6">
        <v>0.911793254885088</v>
      </c>
      <c r="U32" s="16">
        <f t="shared" si="11"/>
        <v>5086.2685538638079</v>
      </c>
      <c r="V32" s="6">
        <v>5086.2685538637998</v>
      </c>
      <c r="W32" s="18">
        <v>0</v>
      </c>
      <c r="X32" s="6">
        <v>-5760</v>
      </c>
      <c r="Y32" s="6">
        <v>5086.2685538637998</v>
      </c>
      <c r="Z32" s="6">
        <v>-673.73144613619797</v>
      </c>
      <c r="AA32" s="6">
        <v>-5760</v>
      </c>
      <c r="AB32" s="6">
        <v>5086.2685538637998</v>
      </c>
      <c r="AC32" s="6">
        <v>-673.73144613619797</v>
      </c>
      <c r="AD32" s="9">
        <v>42.990568922977531</v>
      </c>
      <c r="AE32" s="9">
        <f t="shared" si="12"/>
        <v>384</v>
      </c>
      <c r="AF32" s="36" t="s">
        <v>98</v>
      </c>
      <c r="AG32" s="93">
        <f t="shared" si="13"/>
        <v>12.267173200579865</v>
      </c>
      <c r="AH32" s="94">
        <f t="shared" si="14"/>
        <v>4710.5945090226687</v>
      </c>
      <c r="AI32" s="99">
        <v>7.7525779134373298</v>
      </c>
      <c r="AJ32" s="91">
        <f t="shared" si="15"/>
        <v>36519.250949808302</v>
      </c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</row>
    <row r="33" spans="1:50" s="19" customFormat="1" x14ac:dyDescent="0.25">
      <c r="B33" s="38"/>
      <c r="C33" s="39"/>
      <c r="D33" s="38"/>
      <c r="E33" s="32"/>
      <c r="F33" s="32"/>
      <c r="G33" s="40"/>
      <c r="H33" s="38"/>
      <c r="I33" s="38"/>
      <c r="J33" s="39"/>
      <c r="K33" s="39"/>
      <c r="L33" s="39"/>
      <c r="M33" s="38"/>
      <c r="U33" s="41"/>
      <c r="W33" s="39"/>
      <c r="AG33" s="93"/>
      <c r="AH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</row>
    <row r="34" spans="1:50" x14ac:dyDescent="0.25">
      <c r="A34" s="53" t="s">
        <v>108</v>
      </c>
      <c r="B34" s="15" t="s">
        <v>75</v>
      </c>
      <c r="C34" s="18" t="s">
        <v>101</v>
      </c>
      <c r="D34" s="15" t="s">
        <v>86</v>
      </c>
      <c r="E34" s="31">
        <v>40909</v>
      </c>
      <c r="F34" s="31">
        <v>40999</v>
      </c>
      <c r="G34" s="27">
        <f>F34</f>
        <v>40999</v>
      </c>
      <c r="H34" s="18">
        <v>30</v>
      </c>
      <c r="I34" s="18" t="s">
        <v>3</v>
      </c>
      <c r="J34" s="18">
        <f>(31*24*10+29*24*11+(31*24-1)*12)/K34</f>
        <v>10.999541914796152</v>
      </c>
      <c r="K34" s="18">
        <f>91*24-1</f>
        <v>2183</v>
      </c>
      <c r="L34" s="18">
        <v>15</v>
      </c>
      <c r="M34" s="15">
        <f t="shared" ref="M34:M35" si="16">-L34*K34*J34</f>
        <v>-360180</v>
      </c>
      <c r="N34" s="6">
        <v>16.947969601320601</v>
      </c>
      <c r="O34" s="6">
        <v>0.94189470447117996</v>
      </c>
      <c r="P34" s="6">
        <v>7.4912696874583897E-3</v>
      </c>
      <c r="Q34" s="6">
        <v>3.1466364246349201</v>
      </c>
      <c r="R34" s="6">
        <v>-4.0491241870087404E-3</v>
      </c>
      <c r="S34" s="6">
        <v>-7.0113518076696097</v>
      </c>
      <c r="T34" s="6">
        <v>0.46497411034290398</v>
      </c>
      <c r="U34" s="16">
        <f t="shared" ref="U34:U35" si="17">N34*J34*K34</f>
        <v>406954.6460669103</v>
      </c>
      <c r="V34" s="6">
        <v>406954.64606690902</v>
      </c>
      <c r="W34" s="18">
        <v>0</v>
      </c>
      <c r="X34" s="6">
        <v>-360180</v>
      </c>
      <c r="Y34" s="6">
        <v>406954.64606690902</v>
      </c>
      <c r="Z34" s="6">
        <v>46774.646066909401</v>
      </c>
      <c r="AA34" s="6">
        <v>-360180</v>
      </c>
      <c r="AB34" s="6">
        <v>406954.64606690902</v>
      </c>
      <c r="AC34" s="6">
        <v>46774.646066909401</v>
      </c>
      <c r="AD34" s="9">
        <v>46.729285357321224</v>
      </c>
      <c r="AE34" s="9">
        <f>J34*K34</f>
        <v>24012</v>
      </c>
      <c r="AF34" s="9" t="s">
        <v>101</v>
      </c>
      <c r="AG34" s="93">
        <f>(AD34-H34)*O34</f>
        <v>15.757225287648113</v>
      </c>
      <c r="AH34" s="94">
        <f>AG34*AE34</f>
        <v>378362.4936070065</v>
      </c>
      <c r="AI34" s="99">
        <v>7.7918598315813998</v>
      </c>
      <c r="AJ34" s="91">
        <f>AH34*AI34</f>
        <v>2948147.5157134081</v>
      </c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</row>
    <row r="35" spans="1:50" x14ac:dyDescent="0.25">
      <c r="B35" s="15" t="s">
        <v>75</v>
      </c>
      <c r="C35" s="18" t="s">
        <v>101</v>
      </c>
      <c r="D35" s="15" t="s">
        <v>87</v>
      </c>
      <c r="E35" s="31">
        <v>41000</v>
      </c>
      <c r="F35" s="31">
        <v>41090</v>
      </c>
      <c r="G35" s="27">
        <f>F35</f>
        <v>41090</v>
      </c>
      <c r="H35" s="18">
        <v>30</v>
      </c>
      <c r="I35" s="18" t="s">
        <v>3</v>
      </c>
      <c r="J35" s="18">
        <f>(30*24*13+31*24*14+30*24*15)/K35</f>
        <v>14</v>
      </c>
      <c r="K35" s="18">
        <f>91*24</f>
        <v>2184</v>
      </c>
      <c r="L35" s="18">
        <v>15</v>
      </c>
      <c r="M35" s="15">
        <f t="shared" si="16"/>
        <v>-458640</v>
      </c>
      <c r="N35" s="6">
        <v>12.065561705442301</v>
      </c>
      <c r="O35" s="6">
        <v>0.84935575373779704</v>
      </c>
      <c r="P35" s="6">
        <v>1.55215669415515E-2</v>
      </c>
      <c r="Q35" s="6">
        <v>7.3340321105735899</v>
      </c>
      <c r="R35" s="6">
        <v>-5.77671885293333E-3</v>
      </c>
      <c r="S35" s="6">
        <v>-7.9996326923754104</v>
      </c>
      <c r="T35" s="6">
        <v>0.42318232529628602</v>
      </c>
      <c r="U35" s="16">
        <f t="shared" si="17"/>
        <v>368916.61470560374</v>
      </c>
      <c r="V35" s="6">
        <v>368916.614705602</v>
      </c>
      <c r="W35" s="18">
        <v>0</v>
      </c>
      <c r="X35" s="6">
        <v>-458640</v>
      </c>
      <c r="Y35" s="6">
        <v>368916.614705602</v>
      </c>
      <c r="Z35" s="6">
        <v>-89723.385294397696</v>
      </c>
      <c r="AA35" s="6">
        <v>-458640</v>
      </c>
      <c r="AB35" s="6">
        <v>368916.614705602</v>
      </c>
      <c r="AC35" s="6">
        <v>-89723.385294397696</v>
      </c>
      <c r="AD35" s="9">
        <v>41.037284144427048</v>
      </c>
      <c r="AE35" s="9">
        <f>J35*K35</f>
        <v>30576</v>
      </c>
      <c r="AF35" s="9" t="s">
        <v>101</v>
      </c>
      <c r="AG35" s="93">
        <f>(AD35-H35)*O35</f>
        <v>9.3745807937080716</v>
      </c>
      <c r="AH35" s="94">
        <f>AG35*AE35</f>
        <v>286637.18234841799</v>
      </c>
      <c r="AI35" s="99">
        <v>7.8216892977640198</v>
      </c>
      <c r="AJ35" s="91">
        <f>AH35*AI35</f>
        <v>2241986.9815158546</v>
      </c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</row>
    <row r="36" spans="1:50" s="19" customFormat="1" x14ac:dyDescent="0.25">
      <c r="B36" s="38"/>
      <c r="C36" s="39"/>
      <c r="D36" s="38"/>
      <c r="E36" s="32"/>
      <c r="F36" s="32"/>
      <c r="G36" s="40"/>
      <c r="H36" s="39"/>
      <c r="I36" s="39"/>
      <c r="J36" s="39"/>
      <c r="K36" s="39"/>
      <c r="L36" s="39"/>
      <c r="M36" s="38"/>
      <c r="U36" s="41"/>
      <c r="W36" s="39"/>
      <c r="AG36" s="93"/>
      <c r="AH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</row>
    <row r="37" spans="1:50" x14ac:dyDescent="0.25">
      <c r="A37" s="53" t="s">
        <v>105</v>
      </c>
      <c r="B37" s="15" t="s">
        <v>75</v>
      </c>
      <c r="C37" s="15" t="s">
        <v>96</v>
      </c>
      <c r="D37" s="15" t="s">
        <v>86</v>
      </c>
      <c r="E37" s="31">
        <v>40868</v>
      </c>
      <c r="F37" s="31">
        <v>40868</v>
      </c>
      <c r="G37" s="27">
        <f>F37</f>
        <v>40868</v>
      </c>
      <c r="H37" s="15">
        <v>30</v>
      </c>
      <c r="I37" s="15" t="s">
        <v>3</v>
      </c>
      <c r="J37" s="15">
        <v>10</v>
      </c>
      <c r="K37" s="15">
        <v>12</v>
      </c>
      <c r="L37" s="15">
        <v>15</v>
      </c>
      <c r="M37" s="15">
        <f>-L37*K37*J37</f>
        <v>-1800</v>
      </c>
      <c r="N37" s="6">
        <v>22.352927036982202</v>
      </c>
      <c r="O37" s="6">
        <v>0.98249209078048505</v>
      </c>
      <c r="P37" s="6">
        <v>2.8541820922026802E-3</v>
      </c>
      <c r="Q37" s="6">
        <v>0.51074994942192198</v>
      </c>
      <c r="R37" s="6">
        <v>-1.44764440250088E-2</v>
      </c>
      <c r="S37" s="6">
        <v>-1.2248179198346401</v>
      </c>
      <c r="T37" s="6">
        <v>1.19525924117199</v>
      </c>
      <c r="U37" s="16">
        <f t="shared" ref="U37:U39" si="18">N37*J37*K37</f>
        <v>2682.3512444378644</v>
      </c>
      <c r="V37" s="6">
        <v>2682.3512444378598</v>
      </c>
      <c r="W37" s="15">
        <v>0</v>
      </c>
      <c r="X37" s="6">
        <v>-1800</v>
      </c>
      <c r="Y37" s="6">
        <v>2682.3512444378598</v>
      </c>
      <c r="Z37" s="6">
        <v>882.35124443786503</v>
      </c>
      <c r="AA37" s="6">
        <v>-1800</v>
      </c>
      <c r="AB37" s="6">
        <v>2682.3512444378598</v>
      </c>
      <c r="AC37" s="6">
        <v>882.35124443786503</v>
      </c>
      <c r="AD37" s="10">
        <v>52.271348836951368</v>
      </c>
      <c r="AE37" s="9">
        <f t="shared" ref="AE37:AE41" si="19">J37*K37</f>
        <v>120</v>
      </c>
      <c r="AF37" s="9" t="s">
        <v>96</v>
      </c>
      <c r="AG37" s="93">
        <f>(AD37-H37)*O37</f>
        <v>21.881424083317874</v>
      </c>
      <c r="AH37" s="94">
        <f>AG37*AE37</f>
        <v>2625.7708899981449</v>
      </c>
      <c r="AI37" s="99">
        <v>7.7507066805285003</v>
      </c>
      <c r="AJ37" s="91">
        <f>AI37*AH37</f>
        <v>20351.579978645888</v>
      </c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</row>
    <row r="38" spans="1:50" x14ac:dyDescent="0.25">
      <c r="B38" s="15" t="s">
        <v>75</v>
      </c>
      <c r="C38" s="15" t="s">
        <v>96</v>
      </c>
      <c r="D38" s="15" t="s">
        <v>87</v>
      </c>
      <c r="E38" s="31">
        <v>40869</v>
      </c>
      <c r="F38" s="31">
        <v>40869</v>
      </c>
      <c r="G38" s="27">
        <f>F38</f>
        <v>40869</v>
      </c>
      <c r="H38" s="15">
        <v>30</v>
      </c>
      <c r="I38" s="15" t="s">
        <v>3</v>
      </c>
      <c r="J38" s="15">
        <v>10</v>
      </c>
      <c r="K38" s="15">
        <v>12</v>
      </c>
      <c r="L38" s="15">
        <v>15</v>
      </c>
      <c r="M38" s="15">
        <f t="shared" ref="M38:M41" si="20">-L38*K38*J38</f>
        <v>-1800</v>
      </c>
      <c r="N38" s="6">
        <v>22.4478439840899</v>
      </c>
      <c r="O38" s="6">
        <v>0.98094941303579297</v>
      </c>
      <c r="P38" s="6">
        <v>2.99864639259486E-3</v>
      </c>
      <c r="Q38" s="6">
        <v>0.56393181079983201</v>
      </c>
      <c r="R38" s="6">
        <v>-1.52171073259878E-2</v>
      </c>
      <c r="S38" s="6">
        <v>-1.2915197908654501</v>
      </c>
      <c r="T38" s="6">
        <v>1.19252206668955</v>
      </c>
      <c r="U38" s="16">
        <f t="shared" si="18"/>
        <v>2693.741278090788</v>
      </c>
      <c r="V38" s="6">
        <v>2693.7412780907898</v>
      </c>
      <c r="W38" s="15">
        <v>0</v>
      </c>
      <c r="X38" s="6">
        <v>-1800</v>
      </c>
      <c r="Y38" s="6">
        <v>2693.7412780907898</v>
      </c>
      <c r="Z38" s="6">
        <v>893.74127809078698</v>
      </c>
      <c r="AA38" s="6">
        <v>-1800</v>
      </c>
      <c r="AB38" s="6">
        <v>2693.7412780907898</v>
      </c>
      <c r="AC38" s="6">
        <v>893.74127809078698</v>
      </c>
      <c r="AD38" s="9">
        <v>52.354527162765955</v>
      </c>
      <c r="AE38" s="9">
        <f t="shared" si="19"/>
        <v>120</v>
      </c>
      <c r="AF38" s="9" t="s">
        <v>96</v>
      </c>
      <c r="AG38" s="93">
        <f>(AD38-H38)*O38</f>
        <v>21.928660299007955</v>
      </c>
      <c r="AH38" s="94">
        <f>AG38*AE38</f>
        <v>2631.4392358809546</v>
      </c>
      <c r="AI38" s="99">
        <v>7.7510159141077297</v>
      </c>
      <c r="AJ38" s="91">
        <f t="shared" ref="AJ38:AJ41" si="21">AI38*AH38</f>
        <v>20396.327394320764</v>
      </c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</row>
    <row r="39" spans="1:50" x14ac:dyDescent="0.25">
      <c r="B39" s="15" t="s">
        <v>75</v>
      </c>
      <c r="C39" s="15" t="s">
        <v>96</v>
      </c>
      <c r="D39" s="15" t="s">
        <v>88</v>
      </c>
      <c r="E39" s="31">
        <v>40870</v>
      </c>
      <c r="F39" s="31">
        <v>40870</v>
      </c>
      <c r="G39" s="27">
        <f>F39</f>
        <v>40870</v>
      </c>
      <c r="H39" s="15">
        <v>30</v>
      </c>
      <c r="I39" s="15" t="s">
        <v>3</v>
      </c>
      <c r="J39" s="18">
        <v>10</v>
      </c>
      <c r="K39" s="15">
        <v>12</v>
      </c>
      <c r="L39" s="18">
        <v>15</v>
      </c>
      <c r="M39" s="15">
        <f t="shared" si="20"/>
        <v>-1800</v>
      </c>
      <c r="N39" s="6">
        <v>22.629869369567398</v>
      </c>
      <c r="O39" s="6">
        <v>0.97970590490881704</v>
      </c>
      <c r="P39" s="6">
        <v>3.0896875036237701E-3</v>
      </c>
      <c r="Q39" s="6">
        <v>0.61129061139301999</v>
      </c>
      <c r="R39" s="6">
        <v>-1.5721819894694199E-2</v>
      </c>
      <c r="S39" s="6">
        <v>-1.36399212638489</v>
      </c>
      <c r="T39" s="6">
        <v>1.18973728006576</v>
      </c>
      <c r="U39" s="16">
        <f t="shared" si="18"/>
        <v>2715.5843243480876</v>
      </c>
      <c r="V39" s="6">
        <v>2715.5843243480899</v>
      </c>
      <c r="W39" s="18">
        <v>0</v>
      </c>
      <c r="X39" s="6">
        <v>-1800</v>
      </c>
      <c r="Y39" s="6">
        <v>2715.5843243480899</v>
      </c>
      <c r="Z39" s="6">
        <v>915.58432434809299</v>
      </c>
      <c r="AA39" s="6">
        <v>-1800</v>
      </c>
      <c r="AB39" s="6">
        <v>2715.5843243480899</v>
      </c>
      <c r="AC39" s="6">
        <v>915.58432434809299</v>
      </c>
      <c r="AD39" s="9">
        <v>52.526219152836326</v>
      </c>
      <c r="AE39" s="9">
        <f t="shared" si="19"/>
        <v>120</v>
      </c>
      <c r="AF39" s="9" t="s">
        <v>96</v>
      </c>
      <c r="AG39" s="93">
        <f>(AD39-H39)*O39</f>
        <v>22.069069919303839</v>
      </c>
      <c r="AH39" s="94">
        <f>AG39*AE39</f>
        <v>2648.2883903164607</v>
      </c>
      <c r="AI39" s="99">
        <v>7.7513263576026503</v>
      </c>
      <c r="AJ39" s="91">
        <f t="shared" si="21"/>
        <v>20527.747602393076</v>
      </c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</row>
    <row r="40" spans="1:50" x14ac:dyDescent="0.25">
      <c r="B40" s="15" t="s">
        <v>75</v>
      </c>
      <c r="C40" s="15" t="s">
        <v>96</v>
      </c>
      <c r="D40" s="15" t="s">
        <v>89</v>
      </c>
      <c r="E40" s="31">
        <v>40871</v>
      </c>
      <c r="F40" s="31">
        <v>40871</v>
      </c>
      <c r="G40" s="27">
        <f>F40</f>
        <v>40871</v>
      </c>
      <c r="H40" s="15">
        <v>30</v>
      </c>
      <c r="I40" s="15" t="s">
        <v>3</v>
      </c>
      <c r="J40" s="18">
        <v>10</v>
      </c>
      <c r="K40" s="15">
        <v>12</v>
      </c>
      <c r="L40" s="18">
        <v>15</v>
      </c>
      <c r="M40" s="15">
        <f t="shared" si="20"/>
        <v>-1800</v>
      </c>
      <c r="N40" s="6">
        <v>20.953076495322499</v>
      </c>
      <c r="O40" s="6">
        <v>0.97152660952897296</v>
      </c>
      <c r="P40" s="6">
        <v>4.2005164046769296E-3</v>
      </c>
      <c r="Q40" s="6">
        <v>0.81047996013687895</v>
      </c>
      <c r="R40" s="6">
        <v>-2.0159718998274598E-2</v>
      </c>
      <c r="S40" s="6">
        <v>-1.32033084765046</v>
      </c>
      <c r="T40" s="6">
        <v>1.1869148168163</v>
      </c>
      <c r="U40" s="16">
        <f>N40*J40*K40</f>
        <v>2514.3691794387</v>
      </c>
      <c r="V40" s="6">
        <v>2514.3691794387</v>
      </c>
      <c r="W40" s="18">
        <v>0</v>
      </c>
      <c r="X40" s="6">
        <v>-1800</v>
      </c>
      <c r="Y40" s="6">
        <v>2514.3691794387</v>
      </c>
      <c r="Z40" s="6">
        <v>714.36917943870003</v>
      </c>
      <c r="AA40" s="6">
        <v>-1800</v>
      </c>
      <c r="AB40" s="6">
        <v>2514.3691794387</v>
      </c>
      <c r="AC40" s="6">
        <v>714.36917943870003</v>
      </c>
      <c r="AD40" s="9">
        <v>50.791675151236525</v>
      </c>
      <c r="AE40" s="9">
        <f t="shared" si="19"/>
        <v>120</v>
      </c>
      <c r="AF40" s="9" t="s">
        <v>96</v>
      </c>
      <c r="AG40" s="93">
        <f>(AD40-H40)*O40</f>
        <v>20.199665666108618</v>
      </c>
      <c r="AH40" s="94">
        <f>AG40*AE40</f>
        <v>2423.9598799330342</v>
      </c>
      <c r="AI40" s="99">
        <v>7.7516379030417397</v>
      </c>
      <c r="AJ40" s="91">
        <f t="shared" si="21"/>
        <v>18789.659280741413</v>
      </c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</row>
    <row r="41" spans="1:50" x14ac:dyDescent="0.25">
      <c r="B41" s="15" t="s">
        <v>75</v>
      </c>
      <c r="C41" s="15" t="s">
        <v>96</v>
      </c>
      <c r="D41" s="15" t="s">
        <v>97</v>
      </c>
      <c r="E41" s="31">
        <v>40872</v>
      </c>
      <c r="F41" s="31">
        <v>40872</v>
      </c>
      <c r="G41" s="27">
        <f>F41</f>
        <v>40872</v>
      </c>
      <c r="H41" s="15">
        <v>30</v>
      </c>
      <c r="I41" s="15" t="s">
        <v>3</v>
      </c>
      <c r="J41" s="18">
        <v>10</v>
      </c>
      <c r="K41" s="15">
        <v>12</v>
      </c>
      <c r="L41" s="18">
        <v>15</v>
      </c>
      <c r="M41" s="15">
        <f t="shared" si="20"/>
        <v>-1800</v>
      </c>
      <c r="N41" s="6">
        <v>19.776826813024002</v>
      </c>
      <c r="O41" s="6">
        <v>0.96361683706955903</v>
      </c>
      <c r="P41" s="6">
        <v>5.1966006670428602E-3</v>
      </c>
      <c r="Q41" s="6">
        <v>0.99359414016164904</v>
      </c>
      <c r="R41" s="6">
        <v>-2.3794619686898499E-2</v>
      </c>
      <c r="S41" s="6">
        <v>-1.3003940918152801</v>
      </c>
      <c r="T41" s="6">
        <v>1.18406293098157</v>
      </c>
      <c r="U41" s="16">
        <f>N41*J41*K41</f>
        <v>2373.2192175628802</v>
      </c>
      <c r="V41" s="6">
        <v>2373.2192175628902</v>
      </c>
      <c r="W41" s="18">
        <v>0</v>
      </c>
      <c r="X41" s="6">
        <v>-1800</v>
      </c>
      <c r="Y41" s="6">
        <v>2373.2192175628902</v>
      </c>
      <c r="Z41" s="6">
        <v>573.21921756288498</v>
      </c>
      <c r="AA41" s="6">
        <v>-1800</v>
      </c>
      <c r="AB41" s="6">
        <v>2373.2192175628902</v>
      </c>
      <c r="AC41" s="6">
        <v>573.21921756288498</v>
      </c>
      <c r="AD41" s="9">
        <v>49.556229696209861</v>
      </c>
      <c r="AE41" s="9">
        <f t="shared" si="19"/>
        <v>120</v>
      </c>
      <c r="AF41" s="9" t="s">
        <v>96</v>
      </c>
      <c r="AG41" s="93">
        <f>(AD41-H41)*O41</f>
        <v>18.84471220486753</v>
      </c>
      <c r="AH41" s="94">
        <f>AG41*AE41</f>
        <v>2261.3654645841038</v>
      </c>
      <c r="AI41" s="99">
        <v>7.7519504320239898</v>
      </c>
      <c r="AJ41" s="91">
        <f t="shared" si="21"/>
        <v>17529.992990146875</v>
      </c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</row>
    <row r="42" spans="1:50" s="19" customFormat="1" x14ac:dyDescent="0.25">
      <c r="B42" s="38"/>
      <c r="C42" s="39"/>
      <c r="D42" s="38"/>
      <c r="E42" s="32"/>
      <c r="F42" s="32"/>
      <c r="G42" s="40"/>
      <c r="H42" s="38"/>
      <c r="I42" s="38"/>
      <c r="J42" s="39"/>
      <c r="K42" s="39"/>
      <c r="L42" s="39"/>
      <c r="M42" s="38"/>
      <c r="U42" s="41"/>
      <c r="W42" s="39"/>
      <c r="AF42" s="39"/>
      <c r="AG42" s="93"/>
      <c r="AH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</row>
    <row r="43" spans="1:50" x14ac:dyDescent="0.25">
      <c r="A43" s="53" t="s">
        <v>103</v>
      </c>
      <c r="B43" s="15" t="s">
        <v>75</v>
      </c>
      <c r="C43" s="15" t="s">
        <v>83</v>
      </c>
      <c r="D43" s="15" t="s">
        <v>86</v>
      </c>
      <c r="E43" s="31">
        <v>40544</v>
      </c>
      <c r="F43" s="31">
        <v>40633</v>
      </c>
      <c r="G43" s="27">
        <f>F43</f>
        <v>40633</v>
      </c>
      <c r="H43" s="15">
        <v>30</v>
      </c>
      <c r="I43" s="15" t="s">
        <v>7</v>
      </c>
      <c r="J43" s="15">
        <v>10</v>
      </c>
      <c r="K43" s="15">
        <v>768</v>
      </c>
      <c r="L43" s="15">
        <v>15</v>
      </c>
      <c r="M43" s="15">
        <f>-L43*K43*J43</f>
        <v>-115200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16">
        <f t="shared" ref="U43:U45" si="22">N43*J43*K43</f>
        <v>0</v>
      </c>
      <c r="V43" s="6">
        <v>0</v>
      </c>
      <c r="W43" s="15">
        <v>0</v>
      </c>
      <c r="X43" s="6">
        <v>173449.9</v>
      </c>
      <c r="Y43" s="6">
        <v>0</v>
      </c>
      <c r="Z43" s="6">
        <v>173449.9</v>
      </c>
      <c r="AA43" s="6">
        <v>173449.9</v>
      </c>
      <c r="AB43" s="6">
        <v>0</v>
      </c>
      <c r="AC43" s="6">
        <v>173449.9</v>
      </c>
      <c r="AD43" s="10">
        <v>0</v>
      </c>
      <c r="AE43" s="9">
        <f>J43*K43</f>
        <v>7680</v>
      </c>
      <c r="AF43" s="9" t="s">
        <v>83</v>
      </c>
      <c r="AG43" s="93">
        <v>67.584622395833307</v>
      </c>
      <c r="AH43" s="42">
        <f>AG43*AE43</f>
        <v>519049.89999999979</v>
      </c>
      <c r="AI43" s="42">
        <f>30*AE43</f>
        <v>230400</v>
      </c>
      <c r="AJ43" s="91">
        <f>AH43-AI43</f>
        <v>288649.89999999979</v>
      </c>
      <c r="AK43" s="91">
        <f t="shared" ref="AK43:AK45" si="23">AJ43*$AK$10</f>
        <v>2235715.2183995834</v>
      </c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</row>
    <row r="44" spans="1:50" x14ac:dyDescent="0.25">
      <c r="B44" s="15" t="s">
        <v>75</v>
      </c>
      <c r="C44" s="15" t="s">
        <v>83</v>
      </c>
      <c r="D44" s="15" t="s">
        <v>87</v>
      </c>
      <c r="E44" s="31">
        <v>40634</v>
      </c>
      <c r="F44" s="31">
        <v>40724</v>
      </c>
      <c r="G44" s="27">
        <f t="shared" ref="G44:G46" si="24">F44</f>
        <v>40724</v>
      </c>
      <c r="H44" s="15">
        <v>30</v>
      </c>
      <c r="I44" s="15" t="s">
        <v>7</v>
      </c>
      <c r="J44" s="15">
        <v>10</v>
      </c>
      <c r="K44" s="15">
        <v>780</v>
      </c>
      <c r="L44" s="15">
        <v>15</v>
      </c>
      <c r="M44" s="15">
        <f t="shared" ref="M44:M46" si="25">-L44*K44*J44</f>
        <v>-117000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16">
        <f t="shared" si="22"/>
        <v>0</v>
      </c>
      <c r="V44" s="6">
        <v>0</v>
      </c>
      <c r="W44" s="15">
        <v>0</v>
      </c>
      <c r="X44" s="6">
        <v>85171.899999999194</v>
      </c>
      <c r="Y44" s="6">
        <v>0</v>
      </c>
      <c r="Z44" s="6">
        <v>85171.899999999194</v>
      </c>
      <c r="AA44" s="6">
        <v>85171.899999999194</v>
      </c>
      <c r="AB44" s="6">
        <v>0</v>
      </c>
      <c r="AC44" s="6">
        <v>85171.899999999194</v>
      </c>
      <c r="AD44" s="10">
        <v>0</v>
      </c>
      <c r="AE44" s="9">
        <f t="shared" ref="AE44:AE46" si="26">J44*K44</f>
        <v>7800</v>
      </c>
      <c r="AF44" s="9" t="s">
        <v>83</v>
      </c>
      <c r="AG44" s="93">
        <v>55.919474358974398</v>
      </c>
      <c r="AH44" s="42">
        <f>AG44*AE44</f>
        <v>436171.90000000031</v>
      </c>
      <c r="AI44" s="42">
        <f>30*AE44</f>
        <v>234000</v>
      </c>
      <c r="AJ44" s="91">
        <f t="shared" ref="AJ44:AJ45" si="27">AH44-AI44</f>
        <v>202171.90000000031</v>
      </c>
      <c r="AK44" s="91">
        <f t="shared" si="23"/>
        <v>1565906.6348637564</v>
      </c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</row>
    <row r="45" spans="1:50" x14ac:dyDescent="0.25">
      <c r="B45" s="15" t="s">
        <v>75</v>
      </c>
      <c r="C45" s="15" t="s">
        <v>83</v>
      </c>
      <c r="D45" s="15" t="s">
        <v>88</v>
      </c>
      <c r="E45" s="31">
        <v>40725</v>
      </c>
      <c r="F45" s="31">
        <v>40816</v>
      </c>
      <c r="G45" s="27">
        <f t="shared" si="24"/>
        <v>40816</v>
      </c>
      <c r="H45" s="15">
        <v>30</v>
      </c>
      <c r="I45" s="15" t="s">
        <v>7</v>
      </c>
      <c r="J45" s="15">
        <v>10</v>
      </c>
      <c r="K45" s="15">
        <v>792</v>
      </c>
      <c r="L45" s="15">
        <v>15</v>
      </c>
      <c r="M45" s="15">
        <f t="shared" si="25"/>
        <v>-118800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16">
        <f t="shared" si="22"/>
        <v>0</v>
      </c>
      <c r="V45" s="6">
        <v>0</v>
      </c>
      <c r="W45" s="15">
        <v>0</v>
      </c>
      <c r="X45" s="6">
        <v>-32591.3999999997</v>
      </c>
      <c r="Y45" s="6">
        <v>0</v>
      </c>
      <c r="Z45" s="6">
        <v>-32591.3999999997</v>
      </c>
      <c r="AA45" s="6">
        <v>-32591.3999999997</v>
      </c>
      <c r="AB45" s="6">
        <v>0</v>
      </c>
      <c r="AC45" s="6">
        <v>-32591.3999999997</v>
      </c>
      <c r="AD45" s="10">
        <v>0</v>
      </c>
      <c r="AE45" s="9">
        <f t="shared" si="26"/>
        <v>7920</v>
      </c>
      <c r="AF45" s="9" t="s">
        <v>83</v>
      </c>
      <c r="AG45" s="93">
        <v>40.884924242424198</v>
      </c>
      <c r="AH45" s="42">
        <f>AG45*AE45</f>
        <v>323808.59999999963</v>
      </c>
      <c r="AI45" s="42">
        <f>30*AE45</f>
        <v>237600</v>
      </c>
      <c r="AJ45" s="91">
        <f t="shared" si="27"/>
        <v>86208.599999999627</v>
      </c>
      <c r="AK45" s="91">
        <f t="shared" si="23"/>
        <v>667721.96691189439</v>
      </c>
      <c r="AL45" s="42"/>
      <c r="AM45" s="42"/>
      <c r="AN45" s="42"/>
      <c r="AO45" s="42"/>
      <c r="AP45" s="42"/>
      <c r="AQ45" s="42"/>
      <c r="AR45" s="42" t="s">
        <v>155</v>
      </c>
      <c r="AS45" s="42" t="s">
        <v>156</v>
      </c>
      <c r="AT45" s="42"/>
      <c r="AU45" s="42"/>
      <c r="AV45" s="42"/>
      <c r="AW45" s="42"/>
      <c r="AX45" s="42"/>
    </row>
    <row r="46" spans="1:50" x14ac:dyDescent="0.25">
      <c r="B46" s="15" t="s">
        <v>75</v>
      </c>
      <c r="C46" s="15" t="s">
        <v>83</v>
      </c>
      <c r="D46" s="15" t="s">
        <v>89</v>
      </c>
      <c r="E46" s="31">
        <v>40817</v>
      </c>
      <c r="F46" s="31">
        <v>40908</v>
      </c>
      <c r="G46" s="27">
        <f t="shared" si="24"/>
        <v>40908</v>
      </c>
      <c r="H46" s="15">
        <v>30</v>
      </c>
      <c r="I46" s="15" t="s">
        <v>3</v>
      </c>
      <c r="J46" s="15">
        <v>10</v>
      </c>
      <c r="K46" s="15">
        <v>780</v>
      </c>
      <c r="L46" s="15">
        <v>15</v>
      </c>
      <c r="M46" s="15">
        <f t="shared" si="25"/>
        <v>-117000</v>
      </c>
      <c r="N46" s="6">
        <v>15.440862134253701</v>
      </c>
      <c r="O46" s="6">
        <v>0.65373679337627399</v>
      </c>
      <c r="P46" s="6">
        <v>1.1858053021294101E-3</v>
      </c>
      <c r="Q46" s="6">
        <v>0.34946248933414398</v>
      </c>
      <c r="R46" s="6">
        <v>-1.29643316749548E-3</v>
      </c>
      <c r="S46" s="6">
        <v>-2.5382239124800701</v>
      </c>
      <c r="T46" s="6">
        <v>0.66353721104510899</v>
      </c>
      <c r="U46" s="16">
        <f>N46*J46*K46</f>
        <v>120438.72464717887</v>
      </c>
      <c r="V46" s="6">
        <v>120438.724647179</v>
      </c>
      <c r="W46" s="15">
        <v>0</v>
      </c>
      <c r="X46" s="6">
        <v>-117000</v>
      </c>
      <c r="Y46" s="6">
        <v>120438.724647179</v>
      </c>
      <c r="Z46" s="6">
        <v>3438.72464717909</v>
      </c>
      <c r="AA46" s="6">
        <v>-117000</v>
      </c>
      <c r="AB46" s="6">
        <v>120438.724647179</v>
      </c>
      <c r="AC46" s="6">
        <v>3438.72464717909</v>
      </c>
      <c r="AD46" s="9">
        <v>51.9794589528789</v>
      </c>
      <c r="AE46" s="9">
        <f t="shared" si="26"/>
        <v>7800</v>
      </c>
      <c r="AF46" s="9" t="s">
        <v>83</v>
      </c>
      <c r="AG46" s="93">
        <v>32.68</v>
      </c>
      <c r="AH46" s="97">
        <f>(AG46-30)*AL46*10*AK46</f>
        <v>6991.7606147029746</v>
      </c>
      <c r="AI46" s="93"/>
      <c r="AJ46" s="42"/>
      <c r="AK46" s="93">
        <f>O46*K46/AM46</f>
        <v>0.9882067806850654</v>
      </c>
      <c r="AL46" s="96">
        <f>K46-AM46</f>
        <v>264</v>
      </c>
      <c r="AM46" s="93">
        <f>43*12</f>
        <v>516</v>
      </c>
      <c r="AN46" s="96">
        <f>AM46*10</f>
        <v>5160</v>
      </c>
      <c r="AO46" s="96">
        <f>AD46-30</f>
        <v>21.9794589528789</v>
      </c>
      <c r="AP46" s="97">
        <f>AO46*AN46*AK46</f>
        <v>112076.49192480382</v>
      </c>
      <c r="AQ46" s="94">
        <f>AP46+AH46</f>
        <v>119068.25253950679</v>
      </c>
      <c r="AR46" s="99">
        <v>7.76323215120002</v>
      </c>
      <c r="AS46" s="94">
        <f>AR46*AQ46</f>
        <v>924354.48630190257</v>
      </c>
      <c r="AT46" s="42"/>
      <c r="AU46" s="42"/>
      <c r="AV46" s="42"/>
      <c r="AW46" s="42"/>
      <c r="AX46" s="42"/>
    </row>
    <row r="47" spans="1:50" s="19" customFormat="1" x14ac:dyDescent="0.25">
      <c r="B47" s="38"/>
      <c r="C47" s="38"/>
      <c r="D47" s="38"/>
      <c r="E47" s="32"/>
      <c r="F47" s="32"/>
      <c r="G47" s="40"/>
      <c r="H47" s="38"/>
      <c r="I47" s="38"/>
      <c r="J47" s="38"/>
      <c r="K47" s="38"/>
      <c r="L47" s="38"/>
      <c r="M47" s="38"/>
      <c r="U47" s="41"/>
      <c r="W47" s="38"/>
      <c r="AG47" s="44"/>
      <c r="AH47" s="44"/>
      <c r="AI47" s="44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</row>
    <row r="48" spans="1:50" s="19" customFormat="1" x14ac:dyDescent="0.25">
      <c r="B48" s="38"/>
      <c r="C48" s="39"/>
      <c r="D48" s="38"/>
      <c r="E48" s="32"/>
      <c r="F48" s="32"/>
      <c r="G48" s="40"/>
      <c r="H48" s="38"/>
      <c r="I48" s="38"/>
      <c r="J48" s="39"/>
      <c r="K48" s="39"/>
      <c r="L48" s="39"/>
      <c r="M48" s="38"/>
      <c r="U48" s="41"/>
      <c r="W48" s="39"/>
      <c r="AG48" s="44"/>
      <c r="AH48" s="44"/>
      <c r="AI48" s="44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</row>
    <row r="54" spans="2:50" s="19" customFormat="1" x14ac:dyDescent="0.25">
      <c r="B54" s="38"/>
      <c r="C54" s="39"/>
      <c r="D54" s="38"/>
      <c r="E54" s="32"/>
      <c r="F54" s="32"/>
      <c r="G54" s="40"/>
      <c r="H54" s="38"/>
      <c r="I54" s="38"/>
      <c r="J54" s="39"/>
      <c r="K54" s="39"/>
      <c r="L54" s="39"/>
      <c r="M54" s="38"/>
      <c r="U54" s="41"/>
      <c r="W54" s="39"/>
      <c r="AG54" s="44"/>
      <c r="AH54" s="44"/>
      <c r="AI54" s="44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</row>
    <row r="62" spans="2:50" s="19" customFormat="1" x14ac:dyDescent="0.25">
      <c r="B62" s="38"/>
      <c r="C62" s="39"/>
      <c r="D62" s="38"/>
      <c r="E62" s="32"/>
      <c r="F62" s="32"/>
      <c r="G62" s="40"/>
      <c r="H62" s="38"/>
      <c r="I62" s="38"/>
      <c r="J62" s="39"/>
      <c r="K62" s="39"/>
      <c r="L62" s="39"/>
      <c r="M62" s="38"/>
      <c r="U62" s="41"/>
      <c r="W62" s="39"/>
      <c r="AF62" s="39"/>
      <c r="AG62" s="44"/>
      <c r="AH62" s="44"/>
      <c r="AI62" s="44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</row>
    <row r="63" spans="2:50" s="19" customFormat="1" x14ac:dyDescent="0.25">
      <c r="B63" s="38"/>
      <c r="C63" s="39"/>
      <c r="D63" s="39"/>
      <c r="E63" s="45"/>
      <c r="F63" s="45"/>
      <c r="G63" s="40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G63" s="44"/>
      <c r="AH63" s="44"/>
      <c r="AI63" s="44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</row>
    <row r="67" spans="30:30" x14ac:dyDescent="0.25">
      <c r="AD67" s="19"/>
    </row>
    <row r="68" spans="30:30" x14ac:dyDescent="0.25">
      <c r="AD68" s="19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57"/>
  <sheetViews>
    <sheetView topLeftCell="B1" workbookViewId="0">
      <selection activeCell="K16" sqref="K16"/>
    </sheetView>
  </sheetViews>
  <sheetFormatPr defaultRowHeight="15" x14ac:dyDescent="0.25"/>
  <cols>
    <col min="1" max="1" width="34.28515625" bestFit="1" customWidth="1"/>
    <col min="2" max="2" width="26.140625" customWidth="1"/>
    <col min="3" max="3" width="10.85546875" bestFit="1" customWidth="1"/>
    <col min="4" max="5" width="10.140625" bestFit="1" customWidth="1"/>
    <col min="6" max="6" width="12" style="51" bestFit="1" customWidth="1"/>
    <col min="7" max="7" width="11.5703125" style="53" customWidth="1"/>
    <col min="8" max="8" width="16.28515625" bestFit="1" customWidth="1"/>
    <col min="9" max="9" width="14.85546875" style="53" customWidth="1"/>
    <col min="10" max="10" width="14.28515625" customWidth="1"/>
    <col min="11" max="11" width="8.28515625" customWidth="1"/>
    <col min="12" max="12" width="12" bestFit="1" customWidth="1"/>
    <col min="13" max="13" width="12.7109375" bestFit="1" customWidth="1"/>
    <col min="14" max="14" width="7.5703125" customWidth="1"/>
    <col min="15" max="15" width="14.7109375" bestFit="1" customWidth="1"/>
    <col min="16" max="16" width="12.140625" bestFit="1" customWidth="1"/>
    <col min="17" max="17" width="15.7109375" bestFit="1" customWidth="1"/>
    <col min="18" max="19" width="14.28515625" bestFit="1" customWidth="1"/>
    <col min="20" max="20" width="15.140625" bestFit="1" customWidth="1"/>
  </cols>
  <sheetData>
    <row r="1" spans="1:37" s="56" customFormat="1" x14ac:dyDescent="0.25">
      <c r="A1" s="67" t="s">
        <v>102</v>
      </c>
      <c r="B1" s="57" t="s">
        <v>17</v>
      </c>
      <c r="C1" s="57" t="s">
        <v>9</v>
      </c>
      <c r="D1" s="57" t="s">
        <v>10</v>
      </c>
      <c r="E1" s="57" t="s">
        <v>11</v>
      </c>
      <c r="F1" s="57" t="s">
        <v>110</v>
      </c>
      <c r="G1" s="57" t="s">
        <v>118</v>
      </c>
      <c r="H1" s="57" t="s">
        <v>117</v>
      </c>
      <c r="I1" s="57" t="s">
        <v>119</v>
      </c>
      <c r="J1" s="57" t="s">
        <v>120</v>
      </c>
      <c r="K1" s="58" t="s">
        <v>109</v>
      </c>
      <c r="L1" s="58" t="s">
        <v>19</v>
      </c>
      <c r="M1" s="58" t="s">
        <v>5</v>
      </c>
      <c r="N1" s="58" t="s">
        <v>20</v>
      </c>
      <c r="O1" s="58" t="s">
        <v>111</v>
      </c>
      <c r="P1" s="58" t="s">
        <v>112</v>
      </c>
      <c r="Q1" s="58" t="s">
        <v>113</v>
      </c>
      <c r="R1" s="58" t="s">
        <v>114</v>
      </c>
      <c r="S1" s="58" t="s">
        <v>115</v>
      </c>
      <c r="T1" s="58" t="s">
        <v>116</v>
      </c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s="52" customFormat="1" x14ac:dyDescent="0.25">
      <c r="A2" s="61" t="s">
        <v>106</v>
      </c>
      <c r="B2" s="61" t="s">
        <v>98</v>
      </c>
      <c r="C2" s="69" t="s">
        <v>86</v>
      </c>
      <c r="D2" s="70">
        <v>40868</v>
      </c>
      <c r="E2" s="70">
        <v>40868</v>
      </c>
      <c r="F2" s="61">
        <v>10</v>
      </c>
      <c r="G2" s="61">
        <v>24</v>
      </c>
      <c r="H2" s="61">
        <v>24</v>
      </c>
      <c r="I2" s="61">
        <f>G2*F2</f>
        <v>240</v>
      </c>
      <c r="J2" s="71">
        <f t="shared" ref="J2:J30" si="0">F2*H2</f>
        <v>240</v>
      </c>
      <c r="K2" s="61">
        <v>0.98504416121263205</v>
      </c>
      <c r="L2" s="61">
        <v>3.4408625700995499E-3</v>
      </c>
      <c r="M2" s="61">
        <v>-8.9233974198054504E-3</v>
      </c>
      <c r="N2" s="61">
        <v>0.403346183677256</v>
      </c>
      <c r="O2" s="52">
        <f t="shared" ref="O2:O30" si="1">K2*I2</f>
        <v>236.41059869103168</v>
      </c>
      <c r="Q2" s="52">
        <f t="shared" ref="Q2:Q29" si="2">L2*I2</f>
        <v>0.82580701682389202</v>
      </c>
      <c r="S2" s="52">
        <f t="shared" ref="S2:S30" si="3">M2*I2</f>
        <v>-2.1416153807533083</v>
      </c>
      <c r="T2" s="52">
        <f t="shared" ref="T2:T30" si="4">N2*I2/100</f>
        <v>0.96803084082541446</v>
      </c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</row>
    <row r="3" spans="1:37" s="52" customFormat="1" x14ac:dyDescent="0.25">
      <c r="A3" s="61"/>
      <c r="B3" s="61" t="s">
        <v>98</v>
      </c>
      <c r="C3" s="69" t="s">
        <v>87</v>
      </c>
      <c r="D3" s="70">
        <v>40869</v>
      </c>
      <c r="E3" s="70">
        <v>40869</v>
      </c>
      <c r="F3" s="61">
        <v>10</v>
      </c>
      <c r="G3" s="61">
        <v>24</v>
      </c>
      <c r="H3" s="61">
        <v>24</v>
      </c>
      <c r="I3" s="61">
        <f t="shared" ref="I3:I30" si="5">G3*F3</f>
        <v>240</v>
      </c>
      <c r="J3" s="71">
        <f t="shared" si="0"/>
        <v>240</v>
      </c>
      <c r="K3" s="61">
        <v>0.98396956123715296</v>
      </c>
      <c r="L3" s="61">
        <v>3.5828560824027701E-3</v>
      </c>
      <c r="M3" s="61">
        <v>-9.2182716592726192E-3</v>
      </c>
      <c r="N3" s="61">
        <v>0.43971099095479099</v>
      </c>
      <c r="O3" s="52">
        <f t="shared" si="1"/>
        <v>236.15269469691671</v>
      </c>
      <c r="Q3" s="52">
        <f t="shared" si="2"/>
        <v>0.85988545977666486</v>
      </c>
      <c r="S3" s="52">
        <f t="shared" si="3"/>
        <v>-2.2123851982254288</v>
      </c>
      <c r="T3" s="52">
        <f t="shared" si="4"/>
        <v>1.0553063782914984</v>
      </c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</row>
    <row r="4" spans="1:37" s="52" customFormat="1" x14ac:dyDescent="0.25">
      <c r="A4" s="61"/>
      <c r="B4" s="61" t="s">
        <v>98</v>
      </c>
      <c r="C4" s="69" t="s">
        <v>88</v>
      </c>
      <c r="D4" s="70">
        <v>40870</v>
      </c>
      <c r="E4" s="70">
        <v>40870</v>
      </c>
      <c r="F4" s="61">
        <v>10</v>
      </c>
      <c r="G4" s="61">
        <v>24</v>
      </c>
      <c r="H4" s="61">
        <v>24</v>
      </c>
      <c r="I4" s="61">
        <f t="shared" si="5"/>
        <v>240</v>
      </c>
      <c r="J4" s="71">
        <f t="shared" si="0"/>
        <v>240</v>
      </c>
      <c r="K4" s="61">
        <v>0.98393447796516398</v>
      </c>
      <c r="L4" s="61">
        <v>3.4949139543762799E-3</v>
      </c>
      <c r="M4" s="61">
        <v>-8.9831914092549803E-3</v>
      </c>
      <c r="N4" s="61">
        <v>0.45329604560220599</v>
      </c>
      <c r="O4" s="52">
        <f t="shared" si="1"/>
        <v>236.14427471163935</v>
      </c>
      <c r="Q4" s="52">
        <f t="shared" si="2"/>
        <v>0.83877934905030715</v>
      </c>
      <c r="S4" s="52">
        <f t="shared" si="3"/>
        <v>-2.1559659382211951</v>
      </c>
      <c r="T4" s="52">
        <f t="shared" si="4"/>
        <v>1.0879105094452943</v>
      </c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</row>
    <row r="5" spans="1:37" s="52" customFormat="1" x14ac:dyDescent="0.25">
      <c r="A5" s="61"/>
      <c r="B5" s="61" t="s">
        <v>98</v>
      </c>
      <c r="C5" s="69" t="s">
        <v>89</v>
      </c>
      <c r="D5" s="70">
        <v>40871</v>
      </c>
      <c r="E5" s="70">
        <v>40871</v>
      </c>
      <c r="F5" s="61">
        <v>10</v>
      </c>
      <c r="G5" s="61">
        <v>24</v>
      </c>
      <c r="H5" s="61">
        <v>24</v>
      </c>
      <c r="I5" s="61">
        <f t="shared" si="5"/>
        <v>240</v>
      </c>
      <c r="J5" s="71">
        <f t="shared" si="0"/>
        <v>240</v>
      </c>
      <c r="K5" s="61">
        <v>0.97900660634958103</v>
      </c>
      <c r="L5" s="61">
        <v>4.4422862203968901E-3</v>
      </c>
      <c r="M5" s="61">
        <v>-1.10165894059586E-2</v>
      </c>
      <c r="N5" s="61">
        <v>0.57623572277735902</v>
      </c>
      <c r="O5" s="52">
        <f t="shared" si="1"/>
        <v>234.96158552389946</v>
      </c>
      <c r="Q5" s="52">
        <f t="shared" si="2"/>
        <v>1.0661486928952537</v>
      </c>
      <c r="S5" s="52">
        <f t="shared" si="3"/>
        <v>-2.6439814574300642</v>
      </c>
      <c r="T5" s="52">
        <f t="shared" si="4"/>
        <v>1.3829657346656616</v>
      </c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</row>
    <row r="6" spans="1:37" s="52" customFormat="1" x14ac:dyDescent="0.25">
      <c r="A6" s="61"/>
      <c r="B6" s="61" t="s">
        <v>98</v>
      </c>
      <c r="C6" s="69" t="s">
        <v>97</v>
      </c>
      <c r="D6" s="70">
        <v>40872</v>
      </c>
      <c r="E6" s="70">
        <v>40872</v>
      </c>
      <c r="F6" s="61">
        <v>10</v>
      </c>
      <c r="G6" s="61">
        <v>24</v>
      </c>
      <c r="H6" s="61">
        <v>24</v>
      </c>
      <c r="I6" s="61">
        <f t="shared" si="5"/>
        <v>240</v>
      </c>
      <c r="J6" s="71">
        <f t="shared" si="0"/>
        <v>240</v>
      </c>
      <c r="K6" s="61">
        <v>0.97224586693196802</v>
      </c>
      <c r="L6" s="61">
        <v>5.6995024154150404E-3</v>
      </c>
      <c r="M6" s="61">
        <v>-1.3513821156689801E-2</v>
      </c>
      <c r="N6" s="61">
        <v>0.73320763370195696</v>
      </c>
      <c r="O6" s="52">
        <f t="shared" si="1"/>
        <v>233.33900806367234</v>
      </c>
      <c r="Q6" s="52">
        <f t="shared" si="2"/>
        <v>1.3678805796996096</v>
      </c>
      <c r="S6" s="52">
        <f t="shared" si="3"/>
        <v>-3.243317077605552</v>
      </c>
      <c r="T6" s="52">
        <f t="shared" si="4"/>
        <v>1.7596983208846968</v>
      </c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</row>
    <row r="7" spans="1:37" s="52" customFormat="1" x14ac:dyDescent="0.25">
      <c r="A7" s="61"/>
      <c r="B7" s="61" t="s">
        <v>98</v>
      </c>
      <c r="C7" s="69" t="s">
        <v>99</v>
      </c>
      <c r="D7" s="70">
        <v>40873</v>
      </c>
      <c r="E7" s="70">
        <v>40873</v>
      </c>
      <c r="F7" s="61">
        <v>10</v>
      </c>
      <c r="G7" s="61">
        <v>24</v>
      </c>
      <c r="H7" s="61">
        <v>24</v>
      </c>
      <c r="I7" s="61">
        <f t="shared" si="5"/>
        <v>240</v>
      </c>
      <c r="J7" s="71">
        <f t="shared" si="0"/>
        <v>240</v>
      </c>
      <c r="K7" s="61">
        <v>0.95395106538878804</v>
      </c>
      <c r="L7" s="61">
        <v>9.0412904015448707E-3</v>
      </c>
      <c r="M7" s="61">
        <v>-1.9457587232826999E-2</v>
      </c>
      <c r="N7" s="61">
        <v>1.08829618273937</v>
      </c>
      <c r="O7" s="52">
        <f t="shared" si="1"/>
        <v>228.94825569330914</v>
      </c>
      <c r="Q7" s="52">
        <f t="shared" si="2"/>
        <v>2.1699096963707691</v>
      </c>
      <c r="S7" s="52">
        <f t="shared" si="3"/>
        <v>-4.6698209358784801</v>
      </c>
      <c r="T7" s="52">
        <f t="shared" si="4"/>
        <v>2.611910838574488</v>
      </c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</row>
    <row r="8" spans="1:37" s="55" customFormat="1" x14ac:dyDescent="0.25">
      <c r="A8" s="61"/>
      <c r="B8" s="61" t="s">
        <v>98</v>
      </c>
      <c r="C8" s="69" t="s">
        <v>100</v>
      </c>
      <c r="D8" s="70">
        <v>40874</v>
      </c>
      <c r="E8" s="70">
        <v>40874</v>
      </c>
      <c r="F8" s="61">
        <v>10</v>
      </c>
      <c r="G8" s="61">
        <v>24</v>
      </c>
      <c r="H8" s="61">
        <v>24</v>
      </c>
      <c r="I8" s="61">
        <f t="shared" si="5"/>
        <v>240</v>
      </c>
      <c r="J8" s="71">
        <f t="shared" si="0"/>
        <v>240</v>
      </c>
      <c r="K8" s="61">
        <v>0.94431377665699201</v>
      </c>
      <c r="L8" s="61">
        <v>1.0590263192160601E-2</v>
      </c>
      <c r="M8" s="61">
        <v>-2.1805283320828601E-2</v>
      </c>
      <c r="N8" s="61">
        <v>1.27124716383748</v>
      </c>
      <c r="O8" s="52">
        <f t="shared" si="1"/>
        <v>226.63530639767808</v>
      </c>
      <c r="P8" s="52"/>
      <c r="Q8" s="52">
        <f t="shared" si="2"/>
        <v>2.541663166118544</v>
      </c>
      <c r="R8" s="52"/>
      <c r="S8" s="52">
        <f t="shared" si="3"/>
        <v>-5.2332679969988645</v>
      </c>
      <c r="T8" s="52">
        <f t="shared" si="4"/>
        <v>3.0509931932099521</v>
      </c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</row>
    <row r="9" spans="1:37" s="54" customFormat="1" x14ac:dyDescent="0.25">
      <c r="A9" s="74" t="s">
        <v>104</v>
      </c>
      <c r="B9" s="72" t="s">
        <v>95</v>
      </c>
      <c r="C9" s="72" t="s">
        <v>86</v>
      </c>
      <c r="D9" s="73">
        <v>40544</v>
      </c>
      <c r="E9" s="73">
        <v>40633</v>
      </c>
      <c r="F9" s="72">
        <v>10</v>
      </c>
      <c r="G9" s="72">
        <v>0</v>
      </c>
      <c r="H9" s="72">
        <v>0</v>
      </c>
      <c r="I9" s="74">
        <f t="shared" si="5"/>
        <v>0</v>
      </c>
      <c r="J9" s="75">
        <f t="shared" si="0"/>
        <v>0</v>
      </c>
      <c r="K9" s="74">
        <v>0</v>
      </c>
      <c r="L9" s="74">
        <v>0</v>
      </c>
      <c r="M9" s="74">
        <v>0</v>
      </c>
      <c r="N9" s="74">
        <v>0</v>
      </c>
      <c r="O9" s="54">
        <f t="shared" si="1"/>
        <v>0</v>
      </c>
      <c r="Q9" s="54">
        <f t="shared" si="2"/>
        <v>0</v>
      </c>
      <c r="S9" s="54">
        <f t="shared" si="3"/>
        <v>0</v>
      </c>
      <c r="T9" s="54">
        <f t="shared" si="4"/>
        <v>0</v>
      </c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</row>
    <row r="10" spans="1:37" s="54" customFormat="1" x14ac:dyDescent="0.25">
      <c r="A10" s="74"/>
      <c r="B10" s="74" t="s">
        <v>95</v>
      </c>
      <c r="C10" s="72" t="s">
        <v>87</v>
      </c>
      <c r="D10" s="73">
        <v>40634</v>
      </c>
      <c r="E10" s="73">
        <v>40724</v>
      </c>
      <c r="F10" s="72">
        <v>10</v>
      </c>
      <c r="G10" s="72">
        <v>0</v>
      </c>
      <c r="H10" s="72">
        <v>0</v>
      </c>
      <c r="I10" s="74">
        <f t="shared" si="5"/>
        <v>0</v>
      </c>
      <c r="J10" s="75">
        <f t="shared" si="0"/>
        <v>0</v>
      </c>
      <c r="K10" s="74">
        <v>0</v>
      </c>
      <c r="L10" s="74">
        <v>0</v>
      </c>
      <c r="M10" s="74">
        <v>0</v>
      </c>
      <c r="N10" s="74">
        <v>0</v>
      </c>
      <c r="O10" s="54">
        <f t="shared" si="1"/>
        <v>0</v>
      </c>
      <c r="Q10" s="54">
        <f t="shared" si="2"/>
        <v>0</v>
      </c>
      <c r="S10" s="54">
        <f t="shared" si="3"/>
        <v>0</v>
      </c>
      <c r="T10" s="54">
        <f t="shared" si="4"/>
        <v>0</v>
      </c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</row>
    <row r="11" spans="1:37" s="54" customFormat="1" x14ac:dyDescent="0.25">
      <c r="A11" s="74"/>
      <c r="B11" s="74" t="s">
        <v>95</v>
      </c>
      <c r="C11" s="72" t="s">
        <v>88</v>
      </c>
      <c r="D11" s="73">
        <v>40725</v>
      </c>
      <c r="E11" s="73">
        <v>40816</v>
      </c>
      <c r="F11" s="74">
        <v>10</v>
      </c>
      <c r="G11" s="74">
        <v>0</v>
      </c>
      <c r="H11" s="74">
        <v>0</v>
      </c>
      <c r="I11" s="74">
        <f t="shared" si="5"/>
        <v>0</v>
      </c>
      <c r="J11" s="75">
        <f t="shared" si="0"/>
        <v>0</v>
      </c>
      <c r="K11" s="74">
        <v>0</v>
      </c>
      <c r="L11" s="74">
        <v>0</v>
      </c>
      <c r="M11" s="74">
        <v>0</v>
      </c>
      <c r="N11" s="74">
        <v>0</v>
      </c>
      <c r="O11" s="54">
        <f t="shared" si="1"/>
        <v>0</v>
      </c>
      <c r="Q11" s="54">
        <f t="shared" si="2"/>
        <v>0</v>
      </c>
      <c r="S11" s="54">
        <f t="shared" si="3"/>
        <v>0</v>
      </c>
      <c r="T11" s="54">
        <f t="shared" si="4"/>
        <v>0</v>
      </c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</row>
    <row r="12" spans="1:37" s="76" customFormat="1" x14ac:dyDescent="0.25">
      <c r="A12" s="74"/>
      <c r="B12" s="74" t="s">
        <v>95</v>
      </c>
      <c r="C12" s="72" t="s">
        <v>89</v>
      </c>
      <c r="D12" s="73">
        <v>40817</v>
      </c>
      <c r="E12" s="73">
        <v>40908</v>
      </c>
      <c r="F12" s="74">
        <v>10</v>
      </c>
      <c r="G12" s="74">
        <f>92*24+1</f>
        <v>2209</v>
      </c>
      <c r="H12" s="74">
        <f>60*24</f>
        <v>1440</v>
      </c>
      <c r="I12" s="74">
        <f t="shared" si="5"/>
        <v>22090</v>
      </c>
      <c r="J12" s="75">
        <f t="shared" si="0"/>
        <v>14400</v>
      </c>
      <c r="K12" s="74">
        <v>0.638210394712311</v>
      </c>
      <c r="L12" s="74">
        <v>3.3111366851428601E-3</v>
      </c>
      <c r="M12" s="74">
        <v>-1.79945447738443E-3</v>
      </c>
      <c r="N12" s="74">
        <v>0.54552236026477796</v>
      </c>
      <c r="O12" s="54">
        <f t="shared" si="1"/>
        <v>14098.06761919495</v>
      </c>
      <c r="P12" s="54"/>
      <c r="Q12" s="54">
        <f t="shared" si="2"/>
        <v>73.143009374805786</v>
      </c>
      <c r="R12" s="54"/>
      <c r="S12" s="54">
        <f t="shared" si="3"/>
        <v>-39.749949405422058</v>
      </c>
      <c r="T12" s="54">
        <f t="shared" si="4"/>
        <v>120.50588938248946</v>
      </c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</row>
    <row r="13" spans="1:37" s="52" customFormat="1" x14ac:dyDescent="0.25">
      <c r="A13" s="61" t="s">
        <v>107</v>
      </c>
      <c r="B13" s="61" t="s">
        <v>98</v>
      </c>
      <c r="C13" s="69" t="s">
        <v>86</v>
      </c>
      <c r="D13" s="70">
        <v>40868</v>
      </c>
      <c r="E13" s="70">
        <v>40868</v>
      </c>
      <c r="F13" s="61">
        <v>10</v>
      </c>
      <c r="G13" s="61">
        <v>24</v>
      </c>
      <c r="H13" s="61">
        <v>24</v>
      </c>
      <c r="I13" s="61">
        <f t="shared" si="5"/>
        <v>240</v>
      </c>
      <c r="J13" s="71">
        <f t="shared" si="0"/>
        <v>240</v>
      </c>
      <c r="K13" s="61">
        <v>0.98504416121263205</v>
      </c>
      <c r="L13" s="61">
        <v>3.4408625700995499E-3</v>
      </c>
      <c r="M13" s="61">
        <v>-8.9233974198054504E-3</v>
      </c>
      <c r="N13" s="61">
        <v>0.403346183677256</v>
      </c>
      <c r="O13" s="52">
        <f t="shared" si="1"/>
        <v>236.41059869103168</v>
      </c>
      <c r="Q13" s="52">
        <f t="shared" si="2"/>
        <v>0.82580701682389202</v>
      </c>
      <c r="S13" s="52">
        <f t="shared" si="3"/>
        <v>-2.1416153807533083</v>
      </c>
      <c r="T13" s="52">
        <f t="shared" si="4"/>
        <v>0.96803084082541446</v>
      </c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</row>
    <row r="14" spans="1:37" s="52" customFormat="1" x14ac:dyDescent="0.25">
      <c r="A14" s="61"/>
      <c r="B14" s="61" t="s">
        <v>98</v>
      </c>
      <c r="C14" s="69" t="s">
        <v>87</v>
      </c>
      <c r="D14" s="70">
        <v>40869</v>
      </c>
      <c r="E14" s="70">
        <v>40869</v>
      </c>
      <c r="F14" s="61">
        <v>11</v>
      </c>
      <c r="G14" s="61">
        <v>24</v>
      </c>
      <c r="H14" s="61">
        <v>24</v>
      </c>
      <c r="I14" s="61">
        <f t="shared" si="5"/>
        <v>264</v>
      </c>
      <c r="J14" s="71">
        <f t="shared" si="0"/>
        <v>264</v>
      </c>
      <c r="K14" s="61">
        <v>0.98396956123715296</v>
      </c>
      <c r="L14" s="61">
        <v>3.5828560824027701E-3</v>
      </c>
      <c r="M14" s="61">
        <v>-9.2182716592726192E-3</v>
      </c>
      <c r="N14" s="61">
        <v>0.43971099095479099</v>
      </c>
      <c r="O14" s="52">
        <f t="shared" si="1"/>
        <v>259.76796416660841</v>
      </c>
      <c r="Q14" s="52">
        <f t="shared" si="2"/>
        <v>0.94587400575433134</v>
      </c>
      <c r="S14" s="52">
        <f t="shared" si="3"/>
        <v>-2.4336237180479716</v>
      </c>
      <c r="T14" s="52">
        <f t="shared" si="4"/>
        <v>1.1608370161206483</v>
      </c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</row>
    <row r="15" spans="1:37" s="52" customFormat="1" x14ac:dyDescent="0.25">
      <c r="A15" s="61"/>
      <c r="B15" s="61" t="s">
        <v>98</v>
      </c>
      <c r="C15" s="69" t="s">
        <v>88</v>
      </c>
      <c r="D15" s="70">
        <v>40870</v>
      </c>
      <c r="E15" s="70">
        <v>40870</v>
      </c>
      <c r="F15" s="61">
        <v>12</v>
      </c>
      <c r="G15" s="61">
        <v>24</v>
      </c>
      <c r="H15" s="61">
        <v>24</v>
      </c>
      <c r="I15" s="61">
        <f t="shared" si="5"/>
        <v>288</v>
      </c>
      <c r="J15" s="71">
        <f t="shared" si="0"/>
        <v>288</v>
      </c>
      <c r="K15" s="61">
        <v>0.98393447796516398</v>
      </c>
      <c r="L15" s="61">
        <v>3.4949139543762799E-3</v>
      </c>
      <c r="M15" s="61">
        <v>-8.9831914092549803E-3</v>
      </c>
      <c r="N15" s="61">
        <v>0.45329604560220599</v>
      </c>
      <c r="O15" s="52">
        <f t="shared" si="1"/>
        <v>283.37312965396723</v>
      </c>
      <c r="Q15" s="52">
        <f t="shared" si="2"/>
        <v>1.0065352188603687</v>
      </c>
      <c r="S15" s="52">
        <f t="shared" si="3"/>
        <v>-2.5871591258654343</v>
      </c>
      <c r="T15" s="52">
        <f t="shared" si="4"/>
        <v>1.3054926113343532</v>
      </c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</row>
    <row r="16" spans="1:37" s="52" customFormat="1" x14ac:dyDescent="0.25">
      <c r="A16" s="61"/>
      <c r="B16" s="61" t="s">
        <v>98</v>
      </c>
      <c r="C16" s="69" t="s">
        <v>89</v>
      </c>
      <c r="D16" s="70">
        <v>40871</v>
      </c>
      <c r="E16" s="70">
        <v>40871</v>
      </c>
      <c r="F16" s="61">
        <v>13</v>
      </c>
      <c r="G16" s="61">
        <v>24</v>
      </c>
      <c r="H16" s="61">
        <v>24</v>
      </c>
      <c r="I16" s="61">
        <f t="shared" si="5"/>
        <v>312</v>
      </c>
      <c r="J16" s="71">
        <f t="shared" si="0"/>
        <v>312</v>
      </c>
      <c r="K16" s="61">
        <v>0.97900660634958103</v>
      </c>
      <c r="L16" s="61">
        <v>4.4422862203968901E-3</v>
      </c>
      <c r="M16" s="61">
        <v>-1.10165894059586E-2</v>
      </c>
      <c r="N16" s="61">
        <v>0.57623572277735902</v>
      </c>
      <c r="O16" s="52">
        <f t="shared" si="1"/>
        <v>305.45006118106926</v>
      </c>
      <c r="Q16" s="52">
        <f t="shared" si="2"/>
        <v>1.3859933007638296</v>
      </c>
      <c r="S16" s="52">
        <f t="shared" si="3"/>
        <v>-3.4371758946590831</v>
      </c>
      <c r="T16" s="52">
        <f t="shared" si="4"/>
        <v>1.79785545506536</v>
      </c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</row>
    <row r="17" spans="1:37" s="52" customFormat="1" x14ac:dyDescent="0.25">
      <c r="A17" s="61"/>
      <c r="B17" s="61" t="s">
        <v>98</v>
      </c>
      <c r="C17" s="69" t="s">
        <v>97</v>
      </c>
      <c r="D17" s="70">
        <v>40872</v>
      </c>
      <c r="E17" s="70">
        <v>40872</v>
      </c>
      <c r="F17" s="61">
        <v>14</v>
      </c>
      <c r="G17" s="61">
        <v>24</v>
      </c>
      <c r="H17" s="61">
        <v>24</v>
      </c>
      <c r="I17" s="61">
        <f t="shared" si="5"/>
        <v>336</v>
      </c>
      <c r="J17" s="71">
        <f t="shared" si="0"/>
        <v>336</v>
      </c>
      <c r="K17" s="61">
        <v>0.97224586693196802</v>
      </c>
      <c r="L17" s="61">
        <v>5.6995024154150404E-3</v>
      </c>
      <c r="M17" s="61">
        <v>-1.3513821156689801E-2</v>
      </c>
      <c r="N17" s="61">
        <v>0.73320763370195696</v>
      </c>
      <c r="O17" s="52">
        <f t="shared" si="1"/>
        <v>326.67461128914124</v>
      </c>
      <c r="Q17" s="52">
        <f t="shared" si="2"/>
        <v>1.9150328115794535</v>
      </c>
      <c r="S17" s="52">
        <f t="shared" si="3"/>
        <v>-4.5406439086477732</v>
      </c>
      <c r="T17" s="52">
        <f t="shared" si="4"/>
        <v>2.4635776492385753</v>
      </c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</row>
    <row r="18" spans="1:37" s="52" customFormat="1" x14ac:dyDescent="0.25">
      <c r="A18" s="61"/>
      <c r="B18" s="61" t="s">
        <v>98</v>
      </c>
      <c r="C18" s="69" t="s">
        <v>99</v>
      </c>
      <c r="D18" s="70">
        <v>40873</v>
      </c>
      <c r="E18" s="70">
        <v>40873</v>
      </c>
      <c r="F18" s="61">
        <v>15</v>
      </c>
      <c r="G18" s="61">
        <v>24</v>
      </c>
      <c r="H18" s="61">
        <v>24</v>
      </c>
      <c r="I18" s="61">
        <f t="shared" si="5"/>
        <v>360</v>
      </c>
      <c r="J18" s="71">
        <f t="shared" si="0"/>
        <v>360</v>
      </c>
      <c r="K18" s="61">
        <v>0.95395106538878804</v>
      </c>
      <c r="L18" s="61">
        <v>9.0412904015448707E-3</v>
      </c>
      <c r="M18" s="61">
        <v>-1.9457587232826999E-2</v>
      </c>
      <c r="N18" s="61">
        <v>1.08829618273937</v>
      </c>
      <c r="O18" s="52">
        <f t="shared" si="1"/>
        <v>343.42238353996368</v>
      </c>
      <c r="Q18" s="52">
        <f t="shared" si="2"/>
        <v>3.2548645445561535</v>
      </c>
      <c r="S18" s="52">
        <f t="shared" si="3"/>
        <v>-7.0047314038177193</v>
      </c>
      <c r="T18" s="52">
        <f t="shared" si="4"/>
        <v>3.917866257861732</v>
      </c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</row>
    <row r="19" spans="1:37" s="55" customFormat="1" x14ac:dyDescent="0.25">
      <c r="A19" s="61"/>
      <c r="B19" s="61" t="s">
        <v>98</v>
      </c>
      <c r="C19" s="69" t="s">
        <v>100</v>
      </c>
      <c r="D19" s="70">
        <v>40874</v>
      </c>
      <c r="E19" s="70">
        <v>40874</v>
      </c>
      <c r="F19" s="61">
        <v>16</v>
      </c>
      <c r="G19" s="61">
        <v>24</v>
      </c>
      <c r="H19" s="61">
        <v>24</v>
      </c>
      <c r="I19" s="61">
        <f t="shared" si="5"/>
        <v>384</v>
      </c>
      <c r="J19" s="71">
        <f t="shared" si="0"/>
        <v>384</v>
      </c>
      <c r="K19" s="61">
        <v>0.94431377665699201</v>
      </c>
      <c r="L19" s="61">
        <v>1.0590263192160601E-2</v>
      </c>
      <c r="M19" s="61">
        <v>-2.1805283320828601E-2</v>
      </c>
      <c r="N19" s="61">
        <v>1.27124716383748</v>
      </c>
      <c r="O19" s="52">
        <f t="shared" si="1"/>
        <v>362.6164902362849</v>
      </c>
      <c r="P19" s="52"/>
      <c r="Q19" s="52">
        <f t="shared" si="2"/>
        <v>4.0666610657896705</v>
      </c>
      <c r="R19" s="52"/>
      <c r="S19" s="52">
        <f t="shared" si="3"/>
        <v>-8.3732287951981839</v>
      </c>
      <c r="T19" s="52">
        <f t="shared" si="4"/>
        <v>4.8815891091359234</v>
      </c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</row>
    <row r="20" spans="1:37" s="54" customFormat="1" x14ac:dyDescent="0.25">
      <c r="A20" s="74" t="s">
        <v>108</v>
      </c>
      <c r="B20" s="74" t="s">
        <v>101</v>
      </c>
      <c r="C20" s="72" t="s">
        <v>86</v>
      </c>
      <c r="D20" s="73">
        <v>40909</v>
      </c>
      <c r="E20" s="73">
        <v>40999</v>
      </c>
      <c r="F20" s="74">
        <f>(31*24*10+29*24*11+(31*24-1)*12)/G20</f>
        <v>10.999541914796152</v>
      </c>
      <c r="G20" s="74">
        <f>(91*24)-1</f>
        <v>2183</v>
      </c>
      <c r="H20" s="74">
        <f>91*24-1</f>
        <v>2183</v>
      </c>
      <c r="I20" s="74">
        <f t="shared" si="5"/>
        <v>24012</v>
      </c>
      <c r="J20" s="75">
        <f t="shared" si="0"/>
        <v>24012</v>
      </c>
      <c r="K20" s="54">
        <v>0.94189470447117996</v>
      </c>
      <c r="L20" s="54">
        <v>7.4912696874583897E-3</v>
      </c>
      <c r="M20" s="54">
        <v>-4.0491241870087404E-3</v>
      </c>
      <c r="N20" s="54">
        <v>3.1466364246349201</v>
      </c>
      <c r="O20" s="54">
        <f t="shared" si="1"/>
        <v>22616.775643761972</v>
      </c>
      <c r="Q20" s="54">
        <f t="shared" si="2"/>
        <v>179.88036773525084</v>
      </c>
      <c r="S20" s="54">
        <f t="shared" si="3"/>
        <v>-97.227569978453872</v>
      </c>
      <c r="T20" s="54">
        <f t="shared" si="4"/>
        <v>755.57033828333704</v>
      </c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</row>
    <row r="21" spans="1:37" s="76" customFormat="1" x14ac:dyDescent="0.25">
      <c r="A21" s="74"/>
      <c r="B21" s="74" t="s">
        <v>101</v>
      </c>
      <c r="C21" s="72" t="s">
        <v>87</v>
      </c>
      <c r="D21" s="73">
        <v>41000</v>
      </c>
      <c r="E21" s="73">
        <v>41090</v>
      </c>
      <c r="F21" s="74">
        <f>(30*24*13+31*24*14+30*24*15)/H21</f>
        <v>14</v>
      </c>
      <c r="G21" s="74">
        <f>91*24</f>
        <v>2184</v>
      </c>
      <c r="H21" s="74">
        <f>91*24</f>
        <v>2184</v>
      </c>
      <c r="I21" s="74">
        <f t="shared" si="5"/>
        <v>30576</v>
      </c>
      <c r="J21" s="75">
        <f t="shared" si="0"/>
        <v>30576</v>
      </c>
      <c r="K21" s="54">
        <v>0.84935575373779704</v>
      </c>
      <c r="L21" s="54">
        <v>1.55215669415515E-2</v>
      </c>
      <c r="M21" s="54">
        <v>-5.77671885293333E-3</v>
      </c>
      <c r="N21" s="54">
        <v>7.3340321105735899</v>
      </c>
      <c r="O21" s="54">
        <f t="shared" si="1"/>
        <v>25969.901526286882</v>
      </c>
      <c r="P21" s="54"/>
      <c r="Q21" s="54">
        <f t="shared" si="2"/>
        <v>474.58743080487869</v>
      </c>
      <c r="R21" s="54"/>
      <c r="S21" s="54">
        <f t="shared" si="3"/>
        <v>-176.6289556472895</v>
      </c>
      <c r="T21" s="54">
        <f t="shared" si="4"/>
        <v>2242.4536581289808</v>
      </c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</row>
    <row r="22" spans="1:37" s="52" customFormat="1" x14ac:dyDescent="0.25">
      <c r="A22" s="61" t="s">
        <v>105</v>
      </c>
      <c r="B22" s="69" t="s">
        <v>96</v>
      </c>
      <c r="C22" s="69" t="s">
        <v>86</v>
      </c>
      <c r="D22" s="70">
        <v>40868</v>
      </c>
      <c r="E22" s="70">
        <v>40868</v>
      </c>
      <c r="F22" s="69">
        <v>10</v>
      </c>
      <c r="G22" s="69">
        <v>12</v>
      </c>
      <c r="H22" s="69">
        <v>12</v>
      </c>
      <c r="I22" s="61">
        <f t="shared" si="5"/>
        <v>120</v>
      </c>
      <c r="J22" s="71">
        <f t="shared" si="0"/>
        <v>120</v>
      </c>
      <c r="K22" s="61">
        <v>0.98249209078048505</v>
      </c>
      <c r="L22" s="61">
        <v>2.8541820922026802E-3</v>
      </c>
      <c r="M22" s="61">
        <v>-1.44764440250088E-2</v>
      </c>
      <c r="N22" s="61">
        <v>0.51074994942192198</v>
      </c>
      <c r="O22" s="52">
        <f t="shared" si="1"/>
        <v>117.8990508936582</v>
      </c>
      <c r="Q22" s="52">
        <f t="shared" si="2"/>
        <v>0.34250185106432163</v>
      </c>
      <c r="S22" s="52">
        <f t="shared" si="3"/>
        <v>-1.737173283001056</v>
      </c>
      <c r="T22" s="52">
        <f t="shared" si="4"/>
        <v>0.61289993930630637</v>
      </c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</row>
    <row r="23" spans="1:37" s="52" customFormat="1" x14ac:dyDescent="0.25">
      <c r="A23" s="61"/>
      <c r="B23" s="69" t="s">
        <v>96</v>
      </c>
      <c r="C23" s="69" t="s">
        <v>87</v>
      </c>
      <c r="D23" s="70">
        <v>40869</v>
      </c>
      <c r="E23" s="70">
        <v>40869</v>
      </c>
      <c r="F23" s="69">
        <v>10</v>
      </c>
      <c r="G23" s="69">
        <v>12</v>
      </c>
      <c r="H23" s="69">
        <v>12</v>
      </c>
      <c r="I23" s="61">
        <f t="shared" si="5"/>
        <v>120</v>
      </c>
      <c r="J23" s="71">
        <f t="shared" si="0"/>
        <v>120</v>
      </c>
      <c r="K23" s="61">
        <v>0.98094941303579297</v>
      </c>
      <c r="L23" s="61">
        <v>2.99864639259486E-3</v>
      </c>
      <c r="M23" s="61">
        <v>-1.52171073259878E-2</v>
      </c>
      <c r="N23" s="61">
        <v>0.56393181079983201</v>
      </c>
      <c r="O23" s="52">
        <f t="shared" si="1"/>
        <v>117.71392956429516</v>
      </c>
      <c r="Q23" s="52">
        <f t="shared" si="2"/>
        <v>0.35983756711138321</v>
      </c>
      <c r="S23" s="52">
        <f t="shared" si="3"/>
        <v>-1.826052879118536</v>
      </c>
      <c r="T23" s="52">
        <f t="shared" si="4"/>
        <v>0.6767181729597983</v>
      </c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</row>
    <row r="24" spans="1:37" s="52" customFormat="1" x14ac:dyDescent="0.25">
      <c r="A24" s="61"/>
      <c r="B24" s="69" t="s">
        <v>96</v>
      </c>
      <c r="C24" s="69" t="s">
        <v>88</v>
      </c>
      <c r="D24" s="70">
        <v>40870</v>
      </c>
      <c r="E24" s="70">
        <v>40870</v>
      </c>
      <c r="F24" s="61">
        <v>10</v>
      </c>
      <c r="G24" s="69">
        <v>12</v>
      </c>
      <c r="H24" s="69">
        <v>12</v>
      </c>
      <c r="I24" s="61">
        <f t="shared" si="5"/>
        <v>120</v>
      </c>
      <c r="J24" s="71">
        <f t="shared" si="0"/>
        <v>120</v>
      </c>
      <c r="K24" s="61">
        <v>0.97970590490881704</v>
      </c>
      <c r="L24" s="61">
        <v>3.0896875036237701E-3</v>
      </c>
      <c r="M24" s="61">
        <v>-1.5721819894694199E-2</v>
      </c>
      <c r="N24" s="61">
        <v>0.61129061139301999</v>
      </c>
      <c r="O24" s="52">
        <f t="shared" si="1"/>
        <v>117.56470858905804</v>
      </c>
      <c r="Q24" s="52">
        <f t="shared" si="2"/>
        <v>0.37076250043485243</v>
      </c>
      <c r="S24" s="52">
        <f t="shared" si="3"/>
        <v>-1.8866183873633038</v>
      </c>
      <c r="T24" s="52">
        <f t="shared" si="4"/>
        <v>0.73354873367162399</v>
      </c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</row>
    <row r="25" spans="1:37" s="52" customFormat="1" x14ac:dyDescent="0.25">
      <c r="A25" s="61"/>
      <c r="B25" s="69" t="s">
        <v>96</v>
      </c>
      <c r="C25" s="69" t="s">
        <v>89</v>
      </c>
      <c r="D25" s="70">
        <v>40871</v>
      </c>
      <c r="E25" s="70">
        <v>40871</v>
      </c>
      <c r="F25" s="61">
        <v>10</v>
      </c>
      <c r="G25" s="69">
        <v>12</v>
      </c>
      <c r="H25" s="69">
        <v>12</v>
      </c>
      <c r="I25" s="61">
        <f t="shared" si="5"/>
        <v>120</v>
      </c>
      <c r="J25" s="71">
        <f t="shared" si="0"/>
        <v>120</v>
      </c>
      <c r="K25" s="61">
        <v>0.97152660952897296</v>
      </c>
      <c r="L25" s="61">
        <v>4.2005164046769296E-3</v>
      </c>
      <c r="M25" s="61">
        <v>-2.0159718998274598E-2</v>
      </c>
      <c r="N25" s="61">
        <v>0.81047996013687895</v>
      </c>
      <c r="O25" s="52">
        <f t="shared" si="1"/>
        <v>116.58319314347676</v>
      </c>
      <c r="Q25" s="52">
        <f t="shared" si="2"/>
        <v>0.50406196856123153</v>
      </c>
      <c r="S25" s="52">
        <f t="shared" si="3"/>
        <v>-2.4191662797929516</v>
      </c>
      <c r="T25" s="52">
        <f t="shared" si="4"/>
        <v>0.97257595216425474</v>
      </c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</row>
    <row r="26" spans="1:37" s="55" customFormat="1" x14ac:dyDescent="0.25">
      <c r="A26" s="61"/>
      <c r="B26" s="69" t="s">
        <v>96</v>
      </c>
      <c r="C26" s="69" t="s">
        <v>97</v>
      </c>
      <c r="D26" s="70">
        <v>40872</v>
      </c>
      <c r="E26" s="70">
        <v>40872</v>
      </c>
      <c r="F26" s="61">
        <v>10</v>
      </c>
      <c r="G26" s="69">
        <v>12</v>
      </c>
      <c r="H26" s="69">
        <v>12</v>
      </c>
      <c r="I26" s="61">
        <f t="shared" si="5"/>
        <v>120</v>
      </c>
      <c r="J26" s="71">
        <f t="shared" si="0"/>
        <v>120</v>
      </c>
      <c r="K26" s="61">
        <v>0.96361683706955903</v>
      </c>
      <c r="L26" s="61">
        <v>5.1966006670428602E-3</v>
      </c>
      <c r="M26" s="61">
        <v>-2.3794619686898499E-2</v>
      </c>
      <c r="N26" s="61">
        <v>0.99359414016164904</v>
      </c>
      <c r="O26" s="52">
        <f t="shared" si="1"/>
        <v>115.63402044834709</v>
      </c>
      <c r="P26" s="52"/>
      <c r="Q26" s="52">
        <f t="shared" si="2"/>
        <v>0.62359208004514322</v>
      </c>
      <c r="R26" s="52"/>
      <c r="S26" s="52">
        <f t="shared" si="3"/>
        <v>-2.8553543624278199</v>
      </c>
      <c r="T26" s="52">
        <f t="shared" si="4"/>
        <v>1.1923129681939788</v>
      </c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</row>
    <row r="27" spans="1:37" s="54" customFormat="1" x14ac:dyDescent="0.25">
      <c r="A27" s="74" t="s">
        <v>103</v>
      </c>
      <c r="B27" s="72" t="s">
        <v>83</v>
      </c>
      <c r="C27" s="72" t="s">
        <v>86</v>
      </c>
      <c r="D27" s="73">
        <v>40544</v>
      </c>
      <c r="E27" s="73">
        <v>40633</v>
      </c>
      <c r="F27" s="72">
        <v>10</v>
      </c>
      <c r="G27" s="72">
        <v>0</v>
      </c>
      <c r="H27" s="72">
        <v>0</v>
      </c>
      <c r="I27" s="74">
        <f t="shared" si="5"/>
        <v>0</v>
      </c>
      <c r="J27" s="75">
        <f t="shared" si="0"/>
        <v>0</v>
      </c>
      <c r="K27" s="74">
        <v>0</v>
      </c>
      <c r="L27" s="74">
        <v>0</v>
      </c>
      <c r="M27" s="74">
        <v>0</v>
      </c>
      <c r="N27" s="74">
        <v>0</v>
      </c>
      <c r="O27" s="54">
        <f t="shared" si="1"/>
        <v>0</v>
      </c>
      <c r="Q27" s="54">
        <f t="shared" si="2"/>
        <v>0</v>
      </c>
      <c r="S27" s="54">
        <f t="shared" si="3"/>
        <v>0</v>
      </c>
      <c r="T27" s="54">
        <f t="shared" si="4"/>
        <v>0</v>
      </c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</row>
    <row r="28" spans="1:37" s="54" customFormat="1" x14ac:dyDescent="0.25">
      <c r="A28" s="74"/>
      <c r="B28" s="72" t="s">
        <v>83</v>
      </c>
      <c r="C28" s="72" t="s">
        <v>87</v>
      </c>
      <c r="D28" s="73">
        <v>40634</v>
      </c>
      <c r="E28" s="73">
        <v>40724</v>
      </c>
      <c r="F28" s="72">
        <v>10</v>
      </c>
      <c r="G28" s="72">
        <v>0</v>
      </c>
      <c r="H28" s="72">
        <v>0</v>
      </c>
      <c r="I28" s="74">
        <f t="shared" si="5"/>
        <v>0</v>
      </c>
      <c r="J28" s="75">
        <f t="shared" si="0"/>
        <v>0</v>
      </c>
      <c r="K28" s="74">
        <v>0</v>
      </c>
      <c r="L28" s="74">
        <v>0</v>
      </c>
      <c r="M28" s="74">
        <v>0</v>
      </c>
      <c r="N28" s="74">
        <v>0</v>
      </c>
      <c r="O28" s="54">
        <f t="shared" si="1"/>
        <v>0</v>
      </c>
      <c r="Q28" s="54">
        <f t="shared" si="2"/>
        <v>0</v>
      </c>
      <c r="S28" s="54">
        <f t="shared" si="3"/>
        <v>0</v>
      </c>
      <c r="T28" s="54">
        <f t="shared" si="4"/>
        <v>0</v>
      </c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</row>
    <row r="29" spans="1:37" s="54" customFormat="1" x14ac:dyDescent="0.25">
      <c r="A29" s="74"/>
      <c r="B29" s="72" t="s">
        <v>83</v>
      </c>
      <c r="C29" s="72" t="s">
        <v>88</v>
      </c>
      <c r="D29" s="73">
        <v>40725</v>
      </c>
      <c r="E29" s="73">
        <v>40816</v>
      </c>
      <c r="F29" s="72">
        <v>10</v>
      </c>
      <c r="G29" s="72">
        <v>0</v>
      </c>
      <c r="H29" s="72">
        <v>0</v>
      </c>
      <c r="I29" s="74">
        <f t="shared" si="5"/>
        <v>0</v>
      </c>
      <c r="J29" s="75">
        <f t="shared" si="0"/>
        <v>0</v>
      </c>
      <c r="K29" s="74">
        <v>0</v>
      </c>
      <c r="L29" s="74">
        <v>0</v>
      </c>
      <c r="M29" s="74">
        <v>0</v>
      </c>
      <c r="N29" s="74">
        <v>0</v>
      </c>
      <c r="O29" s="54">
        <f t="shared" si="1"/>
        <v>0</v>
      </c>
      <c r="Q29" s="54">
        <f t="shared" si="2"/>
        <v>0</v>
      </c>
      <c r="S29" s="54">
        <f t="shared" si="3"/>
        <v>0</v>
      </c>
      <c r="T29" s="54">
        <f t="shared" si="4"/>
        <v>0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</row>
    <row r="30" spans="1:37" s="76" customFormat="1" x14ac:dyDescent="0.25">
      <c r="A30" s="74"/>
      <c r="B30" s="72" t="s">
        <v>83</v>
      </c>
      <c r="C30" s="72" t="s">
        <v>89</v>
      </c>
      <c r="D30" s="73">
        <v>40817</v>
      </c>
      <c r="E30" s="73">
        <v>40908</v>
      </c>
      <c r="F30" s="72">
        <v>10</v>
      </c>
      <c r="G30" s="72">
        <f>65*12</f>
        <v>780</v>
      </c>
      <c r="H30" s="72">
        <f>43*12</f>
        <v>516</v>
      </c>
      <c r="I30" s="74">
        <f t="shared" si="5"/>
        <v>7800</v>
      </c>
      <c r="J30" s="75">
        <f t="shared" si="0"/>
        <v>5160</v>
      </c>
      <c r="K30" s="74">
        <v>0.65373679337627399</v>
      </c>
      <c r="L30" s="74">
        <v>1.1858053021294101E-3</v>
      </c>
      <c r="M30" s="74">
        <v>-1.29643316749548E-3</v>
      </c>
      <c r="N30" s="74">
        <v>0.34946248933414398</v>
      </c>
      <c r="O30" s="54">
        <f t="shared" si="1"/>
        <v>5099.1469883349373</v>
      </c>
      <c r="P30" s="54"/>
      <c r="Q30" s="54">
        <f>L30*I30</f>
        <v>9.2492813566093979</v>
      </c>
      <c r="R30" s="54"/>
      <c r="S30" s="54">
        <f t="shared" si="3"/>
        <v>-10.112178706464745</v>
      </c>
      <c r="T30" s="54">
        <f t="shared" si="4"/>
        <v>27.258074168063231</v>
      </c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</row>
    <row r="31" spans="1:37" s="53" customFormat="1" x14ac:dyDescent="0.25">
      <c r="A31" s="63"/>
      <c r="B31" s="64"/>
      <c r="C31" s="64"/>
      <c r="D31" s="68"/>
      <c r="E31" s="68"/>
      <c r="F31" s="64"/>
      <c r="G31" s="64"/>
      <c r="H31" s="64"/>
      <c r="I31" s="64"/>
      <c r="J31" s="62"/>
      <c r="K31" s="59"/>
      <c r="L31" s="59"/>
      <c r="M31" s="59"/>
      <c r="N31" s="59"/>
      <c r="O31" s="59"/>
      <c r="P31" s="59"/>
      <c r="Q31" s="59"/>
      <c r="R31" s="59"/>
      <c r="S31" s="63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</row>
    <row r="32" spans="1:37" x14ac:dyDescent="0.25">
      <c r="A32" s="67" t="s">
        <v>102</v>
      </c>
      <c r="B32" s="57" t="s">
        <v>17</v>
      </c>
      <c r="C32" s="57" t="s">
        <v>9</v>
      </c>
      <c r="D32" s="57" t="s">
        <v>10</v>
      </c>
      <c r="E32" s="57" t="s">
        <v>11</v>
      </c>
      <c r="F32" s="57" t="s">
        <v>110</v>
      </c>
      <c r="G32" s="57" t="s">
        <v>118</v>
      </c>
      <c r="H32" s="57" t="s">
        <v>117</v>
      </c>
      <c r="I32" s="57" t="s">
        <v>119</v>
      </c>
      <c r="J32" s="57" t="s">
        <v>120</v>
      </c>
      <c r="K32" s="58"/>
      <c r="L32" s="58" t="s">
        <v>124</v>
      </c>
      <c r="M32" s="57" t="s">
        <v>128</v>
      </c>
      <c r="N32" s="58" t="s">
        <v>125</v>
      </c>
      <c r="O32" s="58" t="s">
        <v>111</v>
      </c>
      <c r="P32" s="58" t="s">
        <v>112</v>
      </c>
      <c r="Q32" s="58" t="s">
        <v>113</v>
      </c>
      <c r="R32" s="58" t="s">
        <v>114</v>
      </c>
      <c r="S32" s="58" t="s">
        <v>115</v>
      </c>
      <c r="T32" s="58" t="s">
        <v>116</v>
      </c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</row>
    <row r="33" spans="1:37" s="52" customFormat="1" x14ac:dyDescent="0.25">
      <c r="A33" s="61" t="s">
        <v>106</v>
      </c>
      <c r="B33" s="61" t="s">
        <v>98</v>
      </c>
      <c r="C33" s="69"/>
      <c r="D33" s="70"/>
      <c r="E33" s="70"/>
      <c r="F33" s="61"/>
      <c r="G33" s="61">
        <f>30*24</f>
        <v>720</v>
      </c>
      <c r="H33" s="61">
        <f>29*24</f>
        <v>696</v>
      </c>
      <c r="I33" s="61"/>
      <c r="J33" s="71"/>
      <c r="K33" s="61"/>
      <c r="L33" s="77">
        <v>40848</v>
      </c>
      <c r="M33" s="61">
        <f>29*24</f>
        <v>696</v>
      </c>
      <c r="N33" s="61">
        <f>30*24</f>
        <v>720</v>
      </c>
      <c r="O33" s="85">
        <f>SUM(O2:O8)</f>
        <v>1632.5917237781468</v>
      </c>
      <c r="P33" s="85">
        <f t="shared" ref="P33:P43" si="6">O33/M33</f>
        <v>2.3456777640490616</v>
      </c>
      <c r="Q33" s="85">
        <f>SUM(Q2:Q8)</f>
        <v>9.6700739607350403</v>
      </c>
      <c r="R33" s="85">
        <f>Q33/N33</f>
        <v>1.3430658278798666E-2</v>
      </c>
      <c r="S33" s="85">
        <f>SUM(S2:S8)</f>
        <v>-22.300353985112896</v>
      </c>
      <c r="T33" s="85">
        <f>SUM(T2:T8)</f>
        <v>11.916815815897007</v>
      </c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</row>
    <row r="34" spans="1:37" s="54" customFormat="1" x14ac:dyDescent="0.25">
      <c r="A34" s="74" t="s">
        <v>104</v>
      </c>
      <c r="B34" s="72" t="s">
        <v>95</v>
      </c>
      <c r="C34" s="72"/>
      <c r="D34" s="73"/>
      <c r="E34" s="73"/>
      <c r="F34" s="72"/>
      <c r="G34" s="74">
        <f>30*24</f>
        <v>720</v>
      </c>
      <c r="H34" s="74">
        <f>29*24</f>
        <v>696</v>
      </c>
      <c r="I34" s="74"/>
      <c r="J34" s="75"/>
      <c r="K34" s="74"/>
      <c r="L34" s="78">
        <v>40848</v>
      </c>
      <c r="M34" s="74">
        <f>29*24</f>
        <v>696</v>
      </c>
      <c r="N34" s="74">
        <f>30*24</f>
        <v>720</v>
      </c>
      <c r="O34" s="86">
        <f>K12*I12/J12*L48*F12</f>
        <v>6814.0660159442259</v>
      </c>
      <c r="P34" s="86">
        <f t="shared" si="6"/>
        <v>9.7903247355520495</v>
      </c>
      <c r="Q34" s="86">
        <f>$L$12*$I$12/$J$12*$L48*$F$12</f>
        <v>35.352454531156134</v>
      </c>
      <c r="R34" s="86">
        <f t="shared" ref="R34:R43" si="7">Q34/N34</f>
        <v>4.9100631293272405E-2</v>
      </c>
      <c r="S34" s="86">
        <f>$M$12*$I$12/$J$12*$L48*$F$12</f>
        <v>-19.212475545953996</v>
      </c>
      <c r="T34" s="86">
        <f>$N$12*$I$12/$J$12*$L48*$F$12/100</f>
        <v>58.244513201536563</v>
      </c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</row>
    <row r="35" spans="1:37" s="54" customFormat="1" x14ac:dyDescent="0.25">
      <c r="A35" s="74"/>
      <c r="B35" s="74"/>
      <c r="C35" s="72"/>
      <c r="D35" s="73"/>
      <c r="E35" s="73"/>
      <c r="F35" s="72"/>
      <c r="G35" s="74">
        <f>31*24</f>
        <v>744</v>
      </c>
      <c r="H35" s="54">
        <f>G35</f>
        <v>744</v>
      </c>
      <c r="I35" s="74"/>
      <c r="J35" s="75"/>
      <c r="K35" s="74"/>
      <c r="L35" s="78">
        <v>40878</v>
      </c>
      <c r="M35" s="54">
        <f t="shared" ref="M35:M45" si="8">N35</f>
        <v>744</v>
      </c>
      <c r="N35" s="74">
        <f>31*24</f>
        <v>744</v>
      </c>
      <c r="O35" s="86">
        <f>K12*I12/J12*L49*F12</f>
        <v>7284.0016032507247</v>
      </c>
      <c r="P35" s="86">
        <f t="shared" si="6"/>
        <v>9.7903247355520495</v>
      </c>
      <c r="Q35" s="86">
        <f>$L$12*$I$12/$J$12*$L49*$F$12</f>
        <v>37.790554843649659</v>
      </c>
      <c r="R35" s="86">
        <f t="shared" si="7"/>
        <v>5.0793756510281798E-2</v>
      </c>
      <c r="S35" s="86">
        <f>$M$12*$I$12/$J$12*$L49*$F$12</f>
        <v>-20.537473859468065</v>
      </c>
      <c r="T35" s="86">
        <f>$N$12*$I$12/$J$12*$L49*$F$12/100</f>
        <v>62.261376180952887</v>
      </c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</row>
    <row r="36" spans="1:37" s="52" customFormat="1" x14ac:dyDescent="0.25">
      <c r="A36" s="61" t="s">
        <v>107</v>
      </c>
      <c r="B36" s="61" t="s">
        <v>98</v>
      </c>
      <c r="C36" s="69"/>
      <c r="D36" s="70"/>
      <c r="E36" s="70"/>
      <c r="F36" s="61"/>
      <c r="G36" s="61">
        <f>30*24</f>
        <v>720</v>
      </c>
      <c r="H36" s="61">
        <f>29*24</f>
        <v>696</v>
      </c>
      <c r="I36" s="61"/>
      <c r="J36" s="71"/>
      <c r="K36" s="61"/>
      <c r="L36" s="77">
        <v>40848</v>
      </c>
      <c r="M36" s="61">
        <f>29*24</f>
        <v>696</v>
      </c>
      <c r="N36" s="61">
        <f>30*24</f>
        <v>720</v>
      </c>
      <c r="O36" s="85">
        <f>SUM(O13:O19)</f>
        <v>2117.7152387580663</v>
      </c>
      <c r="P36" s="85">
        <f>O36/M36</f>
        <v>3.0426943085604403</v>
      </c>
      <c r="Q36" s="85">
        <f>SUM(Q13:Q19)</f>
        <v>13.400767964127699</v>
      </c>
      <c r="R36" s="85">
        <f t="shared" si="7"/>
        <v>1.8612177727955138E-2</v>
      </c>
      <c r="S36" s="85">
        <f>SUM(S13:S19)</f>
        <v>-30.518178226989473</v>
      </c>
      <c r="T36" s="85">
        <f>SUM(T13:T19)</f>
        <v>16.495248939582005</v>
      </c>
    </row>
    <row r="37" spans="1:37" s="54" customFormat="1" x14ac:dyDescent="0.25">
      <c r="A37" s="74" t="s">
        <v>108</v>
      </c>
      <c r="B37" s="74" t="s">
        <v>101</v>
      </c>
      <c r="C37" s="72"/>
      <c r="D37" s="73"/>
      <c r="E37" s="73"/>
      <c r="F37" s="74">
        <v>10</v>
      </c>
      <c r="G37" s="74">
        <f>31*24</f>
        <v>744</v>
      </c>
      <c r="H37" s="54">
        <f>G37</f>
        <v>744</v>
      </c>
      <c r="I37" s="74"/>
      <c r="J37" s="75"/>
      <c r="L37" s="79">
        <v>40909</v>
      </c>
      <c r="M37" s="54">
        <f t="shared" si="8"/>
        <v>744</v>
      </c>
      <c r="N37" s="74">
        <f>31*24</f>
        <v>744</v>
      </c>
      <c r="O37" s="86">
        <f>$K$20*M37*F37</f>
        <v>7007.6966012655794</v>
      </c>
      <c r="P37" s="86">
        <f t="shared" si="6"/>
        <v>9.4189470447117998</v>
      </c>
      <c r="Q37" s="86">
        <f>$L$20*M37*F37</f>
        <v>55.735046474690421</v>
      </c>
      <c r="R37" s="86">
        <f t="shared" si="7"/>
        <v>7.4912696874583892E-2</v>
      </c>
      <c r="S37" s="86">
        <f>$M$20*$M37*$F37</f>
        <v>-30.125483951345025</v>
      </c>
      <c r="T37" s="86">
        <f>$N$20*$M37*$F37/100</f>
        <v>234.10974999283809</v>
      </c>
    </row>
    <row r="38" spans="1:37" s="54" customFormat="1" x14ac:dyDescent="0.25">
      <c r="A38" s="74"/>
      <c r="B38" s="74"/>
      <c r="C38" s="72"/>
      <c r="D38" s="73"/>
      <c r="E38" s="73"/>
      <c r="F38" s="74">
        <v>11</v>
      </c>
      <c r="G38" s="74">
        <f>29*24</f>
        <v>696</v>
      </c>
      <c r="H38" s="54">
        <f t="shared" ref="H38:H42" si="9">G38</f>
        <v>696</v>
      </c>
      <c r="I38" s="74"/>
      <c r="J38" s="75"/>
      <c r="L38" s="79">
        <v>40940</v>
      </c>
      <c r="M38" s="54">
        <f t="shared" si="8"/>
        <v>696</v>
      </c>
      <c r="N38" s="74">
        <f>29*24</f>
        <v>696</v>
      </c>
      <c r="O38" s="86">
        <f t="shared" ref="O38:O39" si="10">$K$20*M38*F38</f>
        <v>7211.1458574313538</v>
      </c>
      <c r="P38" s="86">
        <f t="shared" si="6"/>
        <v>10.360841749182979</v>
      </c>
      <c r="Q38" s="86">
        <f t="shared" ref="Q38:Q39" si="11">$L$20*M38*F38</f>
        <v>57.353160727181432</v>
      </c>
      <c r="R38" s="86">
        <f t="shared" si="7"/>
        <v>8.2403966562042283E-2</v>
      </c>
      <c r="S38" s="86">
        <f t="shared" ref="S38:S39" si="12">$M$20*$M38*$F38</f>
        <v>-31.000094775738916</v>
      </c>
      <c r="T38" s="86">
        <f t="shared" ref="T38:T39" si="13">$N$20*$M38*$F38/100</f>
        <v>240.90648467004948</v>
      </c>
    </row>
    <row r="39" spans="1:37" s="54" customFormat="1" x14ac:dyDescent="0.25">
      <c r="A39" s="74"/>
      <c r="B39" s="74"/>
      <c r="C39" s="72"/>
      <c r="D39" s="73"/>
      <c r="E39" s="73"/>
      <c r="F39" s="74">
        <v>12</v>
      </c>
      <c r="G39" s="74">
        <f>31*24-1</f>
        <v>743</v>
      </c>
      <c r="H39" s="54">
        <f t="shared" si="9"/>
        <v>743</v>
      </c>
      <c r="I39" s="74"/>
      <c r="J39" s="75"/>
      <c r="L39" s="79">
        <v>40969</v>
      </c>
      <c r="M39" s="54">
        <f t="shared" si="8"/>
        <v>743</v>
      </c>
      <c r="N39" s="74">
        <f>31*24-1</f>
        <v>743</v>
      </c>
      <c r="O39" s="86">
        <f t="shared" si="10"/>
        <v>8397.9331850650415</v>
      </c>
      <c r="P39" s="86">
        <f t="shared" si="6"/>
        <v>11.302736453654161</v>
      </c>
      <c r="Q39" s="86">
        <f t="shared" si="11"/>
        <v>66.792160533379004</v>
      </c>
      <c r="R39" s="86">
        <f t="shared" si="7"/>
        <v>8.9895236249500673E-2</v>
      </c>
      <c r="S39" s="86">
        <f t="shared" si="12"/>
        <v>-36.101991251369931</v>
      </c>
      <c r="T39" s="86">
        <f t="shared" si="13"/>
        <v>280.55410362044944</v>
      </c>
    </row>
    <row r="40" spans="1:37" s="54" customFormat="1" x14ac:dyDescent="0.25">
      <c r="A40" s="74"/>
      <c r="B40" s="74"/>
      <c r="C40" s="72"/>
      <c r="D40" s="73"/>
      <c r="E40" s="73"/>
      <c r="F40" s="74">
        <v>13</v>
      </c>
      <c r="G40" s="74">
        <f>30*24</f>
        <v>720</v>
      </c>
      <c r="H40" s="54">
        <f t="shared" si="9"/>
        <v>720</v>
      </c>
      <c r="I40" s="74"/>
      <c r="J40" s="75"/>
      <c r="L40" s="79">
        <v>41000</v>
      </c>
      <c r="M40" s="54">
        <f t="shared" si="8"/>
        <v>720</v>
      </c>
      <c r="N40" s="74">
        <f>30*24</f>
        <v>720</v>
      </c>
      <c r="O40" s="86">
        <f>$K$21*M40*F40</f>
        <v>7949.9698549857803</v>
      </c>
      <c r="P40" s="86">
        <f t="shared" si="6"/>
        <v>11.041624798591361</v>
      </c>
      <c r="Q40" s="86">
        <f>$L$21*M40*F40</f>
        <v>145.28186657292204</v>
      </c>
      <c r="R40" s="86">
        <f t="shared" si="7"/>
        <v>0.20178037024016951</v>
      </c>
      <c r="S40" s="86">
        <f>$M$21*$M40*$F40</f>
        <v>-54.070088463455974</v>
      </c>
      <c r="T40" s="86">
        <f>$N$21*$M40*$F40/100</f>
        <v>686.46540554968806</v>
      </c>
    </row>
    <row r="41" spans="1:37" s="54" customFormat="1" x14ac:dyDescent="0.25">
      <c r="A41" s="74"/>
      <c r="B41" s="74"/>
      <c r="C41" s="72"/>
      <c r="D41" s="73"/>
      <c r="E41" s="73"/>
      <c r="F41" s="74">
        <v>14</v>
      </c>
      <c r="G41" s="74">
        <f>31*24</f>
        <v>744</v>
      </c>
      <c r="H41" s="54">
        <f t="shared" si="9"/>
        <v>744</v>
      </c>
      <c r="I41" s="74"/>
      <c r="J41" s="75"/>
      <c r="L41" s="79">
        <v>41030</v>
      </c>
      <c r="M41" s="54">
        <f t="shared" si="8"/>
        <v>744</v>
      </c>
      <c r="N41" s="74">
        <f>31*24</f>
        <v>744</v>
      </c>
      <c r="O41" s="86">
        <f t="shared" ref="O41:O42" si="14">$K$21*M41*F41</f>
        <v>8846.8895309328946</v>
      </c>
      <c r="P41" s="86">
        <f t="shared" si="6"/>
        <v>11.890980552329159</v>
      </c>
      <c r="Q41" s="86">
        <f t="shared" ref="Q41:Q42" si="15">$L$21*M41*F41</f>
        <v>161.67264126320043</v>
      </c>
      <c r="R41" s="86">
        <f t="shared" si="7"/>
        <v>0.217301937181721</v>
      </c>
      <c r="S41" s="86">
        <f t="shared" ref="S41:S42" si="16">$M$21*$M41*$F41</f>
        <v>-60.170303572153571</v>
      </c>
      <c r="T41" s="86">
        <f t="shared" ref="T41:T42" si="17">$N$21*$M41*$F41/100</f>
        <v>763.91278463734523</v>
      </c>
    </row>
    <row r="42" spans="1:37" s="54" customFormat="1" x14ac:dyDescent="0.25">
      <c r="A42" s="74"/>
      <c r="B42" s="74"/>
      <c r="C42" s="72"/>
      <c r="D42" s="73"/>
      <c r="E42" s="73"/>
      <c r="F42" s="74">
        <v>15</v>
      </c>
      <c r="G42" s="74">
        <f>30*24</f>
        <v>720</v>
      </c>
      <c r="H42" s="54">
        <f t="shared" si="9"/>
        <v>720</v>
      </c>
      <c r="I42" s="74"/>
      <c r="J42" s="75"/>
      <c r="L42" s="79">
        <v>41061</v>
      </c>
      <c r="M42" s="54">
        <f t="shared" si="8"/>
        <v>720</v>
      </c>
      <c r="N42" s="74">
        <f>30*24</f>
        <v>720</v>
      </c>
      <c r="O42" s="86">
        <f t="shared" si="14"/>
        <v>9173.0421403682085</v>
      </c>
      <c r="P42" s="86">
        <f t="shared" si="6"/>
        <v>12.740336306066956</v>
      </c>
      <c r="Q42" s="86">
        <f t="shared" si="15"/>
        <v>167.63292296875619</v>
      </c>
      <c r="R42" s="86">
        <f t="shared" si="7"/>
        <v>0.23282350412327249</v>
      </c>
      <c r="S42" s="86">
        <f t="shared" si="16"/>
        <v>-62.38856361167997</v>
      </c>
      <c r="T42" s="86">
        <f t="shared" si="17"/>
        <v>792.07546794194775</v>
      </c>
    </row>
    <row r="43" spans="1:37" s="52" customFormat="1" x14ac:dyDescent="0.25">
      <c r="A43" s="61" t="s">
        <v>105</v>
      </c>
      <c r="B43" s="69" t="s">
        <v>96</v>
      </c>
      <c r="C43" s="69"/>
      <c r="D43" s="70"/>
      <c r="E43" s="70"/>
      <c r="F43" s="69">
        <v>10</v>
      </c>
      <c r="G43" s="61">
        <f>30*24</f>
        <v>720</v>
      </c>
      <c r="H43" s="61">
        <f>29*24</f>
        <v>696</v>
      </c>
      <c r="I43" s="61"/>
      <c r="J43" s="71"/>
      <c r="K43" s="61"/>
      <c r="L43" s="77">
        <v>40848</v>
      </c>
      <c r="M43" s="61">
        <f>29*24</f>
        <v>696</v>
      </c>
      <c r="N43" s="61">
        <f>30*24</f>
        <v>720</v>
      </c>
      <c r="O43" s="85">
        <f>SUM(O22:O26)</f>
        <v>585.39490263883522</v>
      </c>
      <c r="P43" s="85">
        <f t="shared" si="6"/>
        <v>0.84108463022821156</v>
      </c>
      <c r="Q43" s="85">
        <f>SUM(Q22:Q26)</f>
        <v>2.2007559672169319</v>
      </c>
      <c r="R43" s="85">
        <f t="shared" si="7"/>
        <v>3.0566055100235165E-3</v>
      </c>
      <c r="S43" s="85">
        <f>SUM(S22:S26)</f>
        <v>-10.724365191703667</v>
      </c>
      <c r="T43" s="85">
        <f>SUM(T22:T26)</f>
        <v>4.1880557662959621</v>
      </c>
    </row>
    <row r="44" spans="1:37" s="54" customFormat="1" x14ac:dyDescent="0.25">
      <c r="A44" s="74" t="s">
        <v>103</v>
      </c>
      <c r="B44" s="72" t="s">
        <v>83</v>
      </c>
      <c r="C44" s="72"/>
      <c r="D44" s="73"/>
      <c r="E44" s="73"/>
      <c r="F44" s="72">
        <v>10</v>
      </c>
      <c r="G44" s="74">
        <f>22*12</f>
        <v>264</v>
      </c>
      <c r="H44" s="74">
        <f>21*12</f>
        <v>252</v>
      </c>
      <c r="I44" s="74">
        <f>F44*G44</f>
        <v>2640</v>
      </c>
      <c r="J44" s="75">
        <f>F44*H44</f>
        <v>2520</v>
      </c>
      <c r="K44" s="74"/>
      <c r="L44" s="78">
        <v>40848</v>
      </c>
      <c r="M44" s="74">
        <f>21*12</f>
        <v>252</v>
      </c>
      <c r="N44" s="74">
        <f>22*12</f>
        <v>264</v>
      </c>
      <c r="O44" s="86">
        <f>K30*I30/J30*M44*F44</f>
        <v>2490.2810873263647</v>
      </c>
      <c r="P44" s="86">
        <f>O44/M36</f>
        <v>3.5779900679976504</v>
      </c>
      <c r="Q44" s="86">
        <f>L30*I30/J30*M44*F44</f>
        <v>4.5170908950883106</v>
      </c>
      <c r="R44" s="86">
        <f>Q44/M34</f>
        <v>6.4900731251268827E-3</v>
      </c>
      <c r="S44" s="86">
        <f>M30*I30/J30*M44*F44</f>
        <v>-4.9385058799013866</v>
      </c>
      <c r="T44" s="86">
        <f>N30*I30/J30*M44*F44/100</f>
        <v>13.312082733240183</v>
      </c>
    </row>
    <row r="45" spans="1:37" s="54" customFormat="1" x14ac:dyDescent="0.25">
      <c r="A45" s="74"/>
      <c r="B45" s="72"/>
      <c r="C45" s="72"/>
      <c r="D45" s="73"/>
      <c r="E45" s="73"/>
      <c r="F45" s="72">
        <v>10</v>
      </c>
      <c r="G45" s="74">
        <f>22*12</f>
        <v>264</v>
      </c>
      <c r="H45" s="54">
        <f>G45</f>
        <v>264</v>
      </c>
      <c r="I45" s="74">
        <f>F45*G45</f>
        <v>2640</v>
      </c>
      <c r="J45" s="75">
        <f>F45*H45</f>
        <v>2640</v>
      </c>
      <c r="K45" s="74"/>
      <c r="L45" s="78">
        <v>40878</v>
      </c>
      <c r="M45" s="54">
        <f t="shared" si="8"/>
        <v>264</v>
      </c>
      <c r="N45" s="74">
        <f>22*12</f>
        <v>264</v>
      </c>
      <c r="O45" s="86">
        <f>K30*I30/J30*M45*F45</f>
        <v>2608.865901008573</v>
      </c>
      <c r="P45" s="86">
        <f>O45/M35</f>
        <v>3.506540189527652</v>
      </c>
      <c r="Q45" s="86">
        <f>L30*I30/J30*M45*F45</f>
        <v>4.7321904615210872</v>
      </c>
      <c r="R45" s="86">
        <f>Q45/M35</f>
        <v>6.360471050431569E-3</v>
      </c>
      <c r="S45" s="86">
        <f>M30*I30/J30*M45*F45</f>
        <v>-5.1736728265633571</v>
      </c>
      <c r="T45" s="86">
        <f>N30*I30/J30*M45*F45/100</f>
        <v>13.94599143482305</v>
      </c>
    </row>
    <row r="46" spans="1:37" s="19" customFormat="1" x14ac:dyDescent="0.25">
      <c r="A46" s="80"/>
      <c r="B46" s="81"/>
      <c r="C46" s="81"/>
      <c r="D46" s="82"/>
      <c r="E46" s="82"/>
      <c r="F46" s="81"/>
      <c r="G46" s="81"/>
      <c r="H46" s="81"/>
      <c r="I46" s="80"/>
      <c r="J46" s="83"/>
      <c r="K46" s="80"/>
      <c r="L46" s="80"/>
      <c r="M46" s="80"/>
      <c r="N46" s="80"/>
      <c r="O46" s="84"/>
      <c r="P46" s="84"/>
      <c r="Q46" s="84"/>
      <c r="R46" s="84"/>
      <c r="S46" s="84"/>
      <c r="T46" s="84"/>
    </row>
    <row r="47" spans="1:37" x14ac:dyDescent="0.25">
      <c r="A47" s="63"/>
      <c r="B47" s="63"/>
      <c r="C47" s="63"/>
      <c r="D47" s="63"/>
      <c r="E47" s="63"/>
      <c r="F47" s="64"/>
      <c r="G47" s="64"/>
      <c r="H47" s="64"/>
      <c r="I47" s="64"/>
      <c r="L47" s="59" t="s">
        <v>127</v>
      </c>
      <c r="M47" s="59" t="s">
        <v>126</v>
      </c>
      <c r="N47" s="59"/>
      <c r="O47" s="59"/>
      <c r="P47" s="59"/>
      <c r="Q47" s="59"/>
      <c r="R47" s="59"/>
      <c r="S47" s="59"/>
      <c r="T47" s="59"/>
    </row>
    <row r="48" spans="1:37" x14ac:dyDescent="0.25">
      <c r="A48" s="63"/>
      <c r="B48" s="63"/>
      <c r="C48" s="63"/>
      <c r="D48" s="63"/>
      <c r="E48" s="63"/>
      <c r="F48" s="63"/>
      <c r="G48" s="63"/>
      <c r="H48" s="63"/>
      <c r="I48" s="63" t="s">
        <v>121</v>
      </c>
      <c r="J48" s="59">
        <f>92*24+1</f>
        <v>2209</v>
      </c>
      <c r="L48" s="59">
        <f>29*24</f>
        <v>696</v>
      </c>
      <c r="M48" s="59">
        <f>30*24</f>
        <v>720</v>
      </c>
      <c r="N48" s="66">
        <v>40848</v>
      </c>
      <c r="O48" s="87">
        <f>O33+O34+O36+O43+O44</f>
        <v>13640.048968445639</v>
      </c>
      <c r="P48" s="60">
        <f>O48/L48</f>
        <v>19.597771506387414</v>
      </c>
      <c r="Q48" s="87">
        <f>Q33+Q34+Q36+Q43+Q44</f>
        <v>65.141143318324126</v>
      </c>
      <c r="R48" s="60">
        <f>Q48/L48</f>
        <v>9.3593596721730066E-2</v>
      </c>
      <c r="S48" s="87">
        <f>S33+S34+S36+S43+S44</f>
        <v>-87.693878829661415</v>
      </c>
      <c r="T48" s="87">
        <f>T33+T34+T36+T43+T44</f>
        <v>104.15671645655172</v>
      </c>
    </row>
    <row r="49" spans="1:20" x14ac:dyDescent="0.25">
      <c r="A49" s="59"/>
      <c r="B49" s="59"/>
      <c r="C49" s="59"/>
      <c r="D49" s="59"/>
      <c r="E49" s="59"/>
      <c r="F49" s="59"/>
      <c r="G49" s="59"/>
      <c r="H49" s="59"/>
      <c r="I49" s="65" t="s">
        <v>122</v>
      </c>
      <c r="J49">
        <f>91*24-1</f>
        <v>2183</v>
      </c>
      <c r="L49" s="59">
        <f>M49</f>
        <v>744</v>
      </c>
      <c r="M49" s="59">
        <f>31*24</f>
        <v>744</v>
      </c>
      <c r="N49" s="66">
        <v>40878</v>
      </c>
      <c r="O49" s="87">
        <f>O35+O45</f>
        <v>9892.8675042592986</v>
      </c>
      <c r="P49" s="60">
        <f t="shared" ref="P49:P55" si="18">O49/L49</f>
        <v>13.296864925079703</v>
      </c>
      <c r="Q49" s="87">
        <f>Q35+Q45</f>
        <v>42.522745305170744</v>
      </c>
      <c r="R49" s="60">
        <f t="shared" ref="R49:R55" si="19">Q49/L49</f>
        <v>5.7154227560713367E-2</v>
      </c>
      <c r="S49" s="87">
        <f>S35+S45</f>
        <v>-25.711146686031423</v>
      </c>
      <c r="T49" s="87">
        <f>T35+T45</f>
        <v>76.207367615775937</v>
      </c>
    </row>
    <row r="50" spans="1:20" x14ac:dyDescent="0.25">
      <c r="A50" s="59"/>
      <c r="B50" s="59"/>
      <c r="C50" s="59"/>
      <c r="D50" s="59"/>
      <c r="E50" s="59"/>
      <c r="F50" s="59"/>
      <c r="G50" s="59"/>
      <c r="H50" s="59"/>
      <c r="I50" s="65" t="s">
        <v>123</v>
      </c>
      <c r="J50" s="59">
        <f>91*24</f>
        <v>2184</v>
      </c>
      <c r="L50" s="59">
        <f t="shared" ref="L50:L55" si="20">M50</f>
        <v>744</v>
      </c>
      <c r="M50" s="59">
        <f>31*24</f>
        <v>744</v>
      </c>
      <c r="N50" s="66">
        <v>40909</v>
      </c>
      <c r="O50" s="87">
        <f t="shared" ref="O50:O55" si="21">O37</f>
        <v>7007.6966012655794</v>
      </c>
      <c r="P50" s="60">
        <f t="shared" si="18"/>
        <v>9.4189470447117998</v>
      </c>
      <c r="Q50" s="87">
        <f t="shared" ref="Q50:Q55" si="22">Q37</f>
        <v>55.735046474690421</v>
      </c>
      <c r="R50" s="60">
        <f t="shared" si="19"/>
        <v>7.4912696874583892E-2</v>
      </c>
      <c r="S50" s="87">
        <f t="shared" ref="S50:T55" si="23">S37</f>
        <v>-30.125483951345025</v>
      </c>
      <c r="T50" s="87">
        <f t="shared" si="23"/>
        <v>234.10974999283809</v>
      </c>
    </row>
    <row r="51" spans="1:20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65"/>
      <c r="K51" s="59"/>
      <c r="L51" s="59">
        <f t="shared" si="20"/>
        <v>696</v>
      </c>
      <c r="M51" s="59">
        <f>29*24</f>
        <v>696</v>
      </c>
      <c r="N51" s="66">
        <v>40940</v>
      </c>
      <c r="O51" s="88">
        <f t="shared" si="21"/>
        <v>7211.1458574313538</v>
      </c>
      <c r="P51" s="60">
        <f t="shared" si="18"/>
        <v>10.360841749182979</v>
      </c>
      <c r="Q51" s="88">
        <f t="shared" si="22"/>
        <v>57.353160727181432</v>
      </c>
      <c r="R51" s="60">
        <f t="shared" si="19"/>
        <v>8.2403966562042283E-2</v>
      </c>
      <c r="S51" s="88">
        <f t="shared" si="23"/>
        <v>-31.000094775738916</v>
      </c>
      <c r="T51" s="88">
        <f t="shared" si="23"/>
        <v>240.90648467004948</v>
      </c>
    </row>
    <row r="52" spans="1:20" x14ac:dyDescent="0.25">
      <c r="I52" s="59"/>
      <c r="J52" s="65"/>
      <c r="K52" s="59"/>
      <c r="L52" s="59">
        <f t="shared" si="20"/>
        <v>743</v>
      </c>
      <c r="M52" s="59">
        <f>31*24-1</f>
        <v>743</v>
      </c>
      <c r="N52" s="66">
        <v>40969</v>
      </c>
      <c r="O52" s="88">
        <f t="shared" si="21"/>
        <v>8397.9331850650415</v>
      </c>
      <c r="P52" s="60">
        <f t="shared" si="18"/>
        <v>11.302736453654161</v>
      </c>
      <c r="Q52" s="88">
        <f t="shared" si="22"/>
        <v>66.792160533379004</v>
      </c>
      <c r="R52" s="60">
        <f t="shared" si="19"/>
        <v>8.9895236249500673E-2</v>
      </c>
      <c r="S52" s="88">
        <f t="shared" si="23"/>
        <v>-36.101991251369931</v>
      </c>
      <c r="T52" s="88">
        <f t="shared" si="23"/>
        <v>280.55410362044944</v>
      </c>
    </row>
    <row r="53" spans="1:20" x14ac:dyDescent="0.25">
      <c r="I53" s="59"/>
      <c r="J53" s="65"/>
      <c r="K53" s="59"/>
      <c r="L53" s="59">
        <f t="shared" si="20"/>
        <v>720</v>
      </c>
      <c r="M53" s="59">
        <f>30*24</f>
        <v>720</v>
      </c>
      <c r="N53" s="66">
        <v>41000</v>
      </c>
      <c r="O53" s="88">
        <f t="shared" si="21"/>
        <v>7949.9698549857803</v>
      </c>
      <c r="P53" s="60">
        <f t="shared" si="18"/>
        <v>11.041624798591361</v>
      </c>
      <c r="Q53" s="88">
        <f t="shared" si="22"/>
        <v>145.28186657292204</v>
      </c>
      <c r="R53" s="60">
        <f t="shared" si="19"/>
        <v>0.20178037024016951</v>
      </c>
      <c r="S53" s="88">
        <f t="shared" si="23"/>
        <v>-54.070088463455974</v>
      </c>
      <c r="T53" s="88">
        <f t="shared" si="23"/>
        <v>686.46540554968806</v>
      </c>
    </row>
    <row r="54" spans="1:20" x14ac:dyDescent="0.25">
      <c r="I54" s="59"/>
      <c r="J54" s="65"/>
      <c r="K54" s="59"/>
      <c r="L54" s="59">
        <f t="shared" si="20"/>
        <v>744</v>
      </c>
      <c r="M54" s="59">
        <f>31*24</f>
        <v>744</v>
      </c>
      <c r="N54" s="66">
        <v>41030</v>
      </c>
      <c r="O54" s="88">
        <f t="shared" si="21"/>
        <v>8846.8895309328946</v>
      </c>
      <c r="P54" s="60">
        <f t="shared" si="18"/>
        <v>11.890980552329159</v>
      </c>
      <c r="Q54" s="88">
        <f t="shared" si="22"/>
        <v>161.67264126320043</v>
      </c>
      <c r="R54" s="60">
        <f t="shared" si="19"/>
        <v>0.217301937181721</v>
      </c>
      <c r="S54" s="88">
        <f t="shared" si="23"/>
        <v>-60.170303572153571</v>
      </c>
      <c r="T54" s="88">
        <f t="shared" si="23"/>
        <v>763.91278463734523</v>
      </c>
    </row>
    <row r="55" spans="1:20" x14ac:dyDescent="0.25">
      <c r="I55" s="59"/>
      <c r="J55" s="65"/>
      <c r="K55" s="59"/>
      <c r="L55" s="59">
        <f t="shared" si="20"/>
        <v>720</v>
      </c>
      <c r="M55" s="59">
        <f>30*24</f>
        <v>720</v>
      </c>
      <c r="N55" s="66">
        <v>41061</v>
      </c>
      <c r="O55" s="87">
        <f t="shared" si="21"/>
        <v>9173.0421403682085</v>
      </c>
      <c r="P55" s="60">
        <f t="shared" si="18"/>
        <v>12.740336306066956</v>
      </c>
      <c r="Q55" s="87">
        <f t="shared" si="22"/>
        <v>167.63292296875619</v>
      </c>
      <c r="R55" s="60">
        <f t="shared" si="19"/>
        <v>0.23282350412327249</v>
      </c>
      <c r="S55" s="87">
        <f t="shared" si="23"/>
        <v>-62.38856361167997</v>
      </c>
      <c r="T55" s="87">
        <f t="shared" si="23"/>
        <v>792.07546794194775</v>
      </c>
    </row>
    <row r="56" spans="1:20" x14ac:dyDescent="0.25">
      <c r="I56" s="59"/>
      <c r="J56" s="65"/>
      <c r="K56" s="59"/>
      <c r="L56" s="59"/>
      <c r="M56" s="59"/>
      <c r="N56" s="59"/>
      <c r="O56" s="59"/>
      <c r="P56" s="59"/>
      <c r="Q56" s="59"/>
      <c r="R56" s="59"/>
      <c r="S56" s="59"/>
      <c r="T56" s="59"/>
    </row>
    <row r="57" spans="1:20" x14ac:dyDescent="0.25">
      <c r="J57" s="50"/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8"/>
  <sheetViews>
    <sheetView topLeftCell="B1" workbookViewId="0">
      <selection activeCell="L59" sqref="L59"/>
    </sheetView>
  </sheetViews>
  <sheetFormatPr defaultRowHeight="15" x14ac:dyDescent="0.25"/>
  <cols>
    <col min="1" max="1" width="34.28515625" style="53" bestFit="1" customWidth="1"/>
    <col min="2" max="2" width="26.140625" style="53" customWidth="1"/>
    <col min="3" max="3" width="10.85546875" style="53" bestFit="1" customWidth="1"/>
    <col min="4" max="5" width="10.140625" style="53" bestFit="1" customWidth="1"/>
    <col min="6" max="6" width="12" style="53" bestFit="1" customWidth="1"/>
    <col min="7" max="7" width="11.5703125" style="53" customWidth="1"/>
    <col min="8" max="8" width="16.28515625" style="53" bestFit="1" customWidth="1"/>
    <col min="9" max="9" width="13.5703125" style="53" bestFit="1" customWidth="1"/>
    <col min="10" max="10" width="13.7109375" style="53" bestFit="1" customWidth="1"/>
    <col min="11" max="11" width="19.7109375" style="53" bestFit="1" customWidth="1"/>
    <col min="12" max="12" width="12.42578125" style="53" bestFit="1" customWidth="1"/>
    <col min="13" max="13" width="15.42578125" style="53" bestFit="1" customWidth="1"/>
    <col min="14" max="14" width="15.140625" style="53" customWidth="1"/>
    <col min="15" max="15" width="14.140625" style="53" bestFit="1" customWidth="1"/>
    <col min="16" max="18" width="17" style="53" bestFit="1" customWidth="1"/>
    <col min="19" max="16384" width="9.140625" style="53"/>
  </cols>
  <sheetData>
    <row r="1" spans="1:32" s="56" customFormat="1" x14ac:dyDescent="0.25">
      <c r="A1" s="67" t="s">
        <v>102</v>
      </c>
      <c r="B1" s="57" t="s">
        <v>17</v>
      </c>
      <c r="C1" s="57" t="s">
        <v>9</v>
      </c>
      <c r="D1" s="57" t="s">
        <v>10</v>
      </c>
      <c r="E1" s="57" t="s">
        <v>11</v>
      </c>
      <c r="F1" s="57" t="s">
        <v>110</v>
      </c>
      <c r="G1" s="57" t="s">
        <v>118</v>
      </c>
      <c r="H1" s="57" t="s">
        <v>117</v>
      </c>
      <c r="I1" s="57" t="s">
        <v>132</v>
      </c>
      <c r="J1" s="57" t="s">
        <v>133</v>
      </c>
      <c r="K1" s="57" t="s">
        <v>119</v>
      </c>
      <c r="L1" s="57" t="s">
        <v>137</v>
      </c>
      <c r="M1" s="57" t="s">
        <v>138</v>
      </c>
      <c r="N1" s="57" t="s">
        <v>120</v>
      </c>
      <c r="O1" s="58" t="s">
        <v>109</v>
      </c>
      <c r="P1" s="58" t="s">
        <v>129</v>
      </c>
      <c r="Q1" s="58" t="s">
        <v>130</v>
      </c>
      <c r="R1" s="58" t="s">
        <v>131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</row>
    <row r="2" spans="1:32" s="52" customFormat="1" x14ac:dyDescent="0.25">
      <c r="A2" s="61" t="s">
        <v>106</v>
      </c>
      <c r="B2" s="61" t="s">
        <v>98</v>
      </c>
      <c r="C2" s="69" t="s">
        <v>86</v>
      </c>
      <c r="D2" s="70">
        <v>40868</v>
      </c>
      <c r="E2" s="70">
        <v>40868</v>
      </c>
      <c r="F2" s="61">
        <v>10</v>
      </c>
      <c r="G2" s="61">
        <v>24</v>
      </c>
      <c r="H2" s="61">
        <v>24</v>
      </c>
      <c r="I2" s="61">
        <v>12</v>
      </c>
      <c r="J2" s="61">
        <f>G2-I2</f>
        <v>12</v>
      </c>
      <c r="K2" s="61">
        <f>G2*$F2</f>
        <v>240</v>
      </c>
      <c r="L2" s="61">
        <f>I2*$F2</f>
        <v>120</v>
      </c>
      <c r="M2" s="61">
        <f>J2*$F2</f>
        <v>120</v>
      </c>
      <c r="N2" s="71">
        <f t="shared" ref="N2:N20" si="0">F2*H2</f>
        <v>240</v>
      </c>
      <c r="O2" s="61">
        <v>0.98504416121263205</v>
      </c>
      <c r="P2" s="52">
        <f>$O2*K2</f>
        <v>236.41059869103168</v>
      </c>
      <c r="Q2" s="52">
        <f t="shared" ref="Q2:R17" si="1">$O2*L2</f>
        <v>118.20529934551584</v>
      </c>
      <c r="R2" s="52">
        <f t="shared" si="1"/>
        <v>118.20529934551584</v>
      </c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</row>
    <row r="3" spans="1:32" s="52" customFormat="1" x14ac:dyDescent="0.25">
      <c r="A3" s="61"/>
      <c r="B3" s="61" t="s">
        <v>98</v>
      </c>
      <c r="C3" s="69" t="s">
        <v>87</v>
      </c>
      <c r="D3" s="70">
        <v>40869</v>
      </c>
      <c r="E3" s="70">
        <v>40869</v>
      </c>
      <c r="F3" s="61">
        <v>10</v>
      </c>
      <c r="G3" s="61">
        <v>24</v>
      </c>
      <c r="H3" s="61">
        <v>24</v>
      </c>
      <c r="I3" s="61">
        <v>12</v>
      </c>
      <c r="J3" s="61">
        <f t="shared" ref="J3:J30" si="2">G3-I3</f>
        <v>12</v>
      </c>
      <c r="K3" s="61">
        <f t="shared" ref="K3:K30" si="3">G3*F3</f>
        <v>240</v>
      </c>
      <c r="L3" s="61">
        <f t="shared" ref="L3:L30" si="4">I3*$F3</f>
        <v>120</v>
      </c>
      <c r="M3" s="61">
        <f t="shared" ref="M3:M30" si="5">J3*$F3</f>
        <v>120</v>
      </c>
      <c r="N3" s="71">
        <f t="shared" si="0"/>
        <v>240</v>
      </c>
      <c r="O3" s="61">
        <v>0.98396956123715296</v>
      </c>
      <c r="P3" s="52">
        <f t="shared" ref="P3:P30" si="6">O3*K3</f>
        <v>236.15269469691671</v>
      </c>
      <c r="Q3" s="52">
        <f t="shared" si="1"/>
        <v>118.07634734845836</v>
      </c>
      <c r="R3" s="52">
        <f t="shared" si="1"/>
        <v>118.07634734845836</v>
      </c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</row>
    <row r="4" spans="1:32" s="52" customFormat="1" x14ac:dyDescent="0.25">
      <c r="A4" s="61"/>
      <c r="B4" s="61" t="s">
        <v>98</v>
      </c>
      <c r="C4" s="69" t="s">
        <v>88</v>
      </c>
      <c r="D4" s="70">
        <v>40870</v>
      </c>
      <c r="E4" s="70">
        <v>40870</v>
      </c>
      <c r="F4" s="61">
        <v>10</v>
      </c>
      <c r="G4" s="61">
        <v>24</v>
      </c>
      <c r="H4" s="61">
        <v>24</v>
      </c>
      <c r="I4" s="61">
        <v>12</v>
      </c>
      <c r="J4" s="61">
        <f t="shared" si="2"/>
        <v>12</v>
      </c>
      <c r="K4" s="61">
        <f t="shared" si="3"/>
        <v>240</v>
      </c>
      <c r="L4" s="61">
        <f t="shared" si="4"/>
        <v>120</v>
      </c>
      <c r="M4" s="61">
        <f t="shared" si="5"/>
        <v>120</v>
      </c>
      <c r="N4" s="71">
        <f t="shared" si="0"/>
        <v>240</v>
      </c>
      <c r="O4" s="61">
        <v>0.98393447796516398</v>
      </c>
      <c r="P4" s="52">
        <f t="shared" si="6"/>
        <v>236.14427471163935</v>
      </c>
      <c r="Q4" s="52">
        <f t="shared" si="1"/>
        <v>118.07213735581968</v>
      </c>
      <c r="R4" s="52">
        <f t="shared" si="1"/>
        <v>118.07213735581968</v>
      </c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</row>
    <row r="5" spans="1:32" s="52" customFormat="1" x14ac:dyDescent="0.25">
      <c r="A5" s="61"/>
      <c r="B5" s="61" t="s">
        <v>98</v>
      </c>
      <c r="C5" s="69" t="s">
        <v>89</v>
      </c>
      <c r="D5" s="70">
        <v>40871</v>
      </c>
      <c r="E5" s="70">
        <v>40871</v>
      </c>
      <c r="F5" s="61">
        <v>10</v>
      </c>
      <c r="G5" s="61">
        <v>24</v>
      </c>
      <c r="H5" s="61">
        <v>24</v>
      </c>
      <c r="I5" s="61">
        <v>12</v>
      </c>
      <c r="J5" s="61">
        <f t="shared" si="2"/>
        <v>12</v>
      </c>
      <c r="K5" s="61">
        <f t="shared" si="3"/>
        <v>240</v>
      </c>
      <c r="L5" s="61">
        <f t="shared" si="4"/>
        <v>120</v>
      </c>
      <c r="M5" s="61">
        <f t="shared" si="5"/>
        <v>120</v>
      </c>
      <c r="N5" s="71">
        <f t="shared" si="0"/>
        <v>240</v>
      </c>
      <c r="O5" s="61">
        <v>0.97900660634958103</v>
      </c>
      <c r="P5" s="52">
        <f t="shared" si="6"/>
        <v>234.96158552389946</v>
      </c>
      <c r="Q5" s="52">
        <f t="shared" si="1"/>
        <v>117.48079276194973</v>
      </c>
      <c r="R5" s="52">
        <f t="shared" si="1"/>
        <v>117.48079276194973</v>
      </c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</row>
    <row r="6" spans="1:32" s="52" customFormat="1" x14ac:dyDescent="0.25">
      <c r="A6" s="61"/>
      <c r="B6" s="61" t="s">
        <v>98</v>
      </c>
      <c r="C6" s="69" t="s">
        <v>97</v>
      </c>
      <c r="D6" s="70">
        <v>40872</v>
      </c>
      <c r="E6" s="70">
        <v>40872</v>
      </c>
      <c r="F6" s="61">
        <v>10</v>
      </c>
      <c r="G6" s="61">
        <v>24</v>
      </c>
      <c r="H6" s="61">
        <v>24</v>
      </c>
      <c r="I6" s="61">
        <v>12</v>
      </c>
      <c r="J6" s="61">
        <f t="shared" si="2"/>
        <v>12</v>
      </c>
      <c r="K6" s="61">
        <f t="shared" si="3"/>
        <v>240</v>
      </c>
      <c r="L6" s="61">
        <f t="shared" si="4"/>
        <v>120</v>
      </c>
      <c r="M6" s="61">
        <f t="shared" si="5"/>
        <v>120</v>
      </c>
      <c r="N6" s="71">
        <f t="shared" si="0"/>
        <v>240</v>
      </c>
      <c r="O6" s="61">
        <v>0.97224586693196802</v>
      </c>
      <c r="P6" s="52">
        <f t="shared" si="6"/>
        <v>233.33900806367234</v>
      </c>
      <c r="Q6" s="52">
        <f t="shared" si="1"/>
        <v>116.66950403183617</v>
      </c>
      <c r="R6" s="52">
        <f t="shared" si="1"/>
        <v>116.66950403183617</v>
      </c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</row>
    <row r="7" spans="1:32" s="52" customFormat="1" x14ac:dyDescent="0.25">
      <c r="A7" s="61"/>
      <c r="B7" s="61" t="s">
        <v>98</v>
      </c>
      <c r="C7" s="69" t="s">
        <v>99</v>
      </c>
      <c r="D7" s="70">
        <v>40873</v>
      </c>
      <c r="E7" s="70">
        <v>40873</v>
      </c>
      <c r="F7" s="61">
        <v>10</v>
      </c>
      <c r="G7" s="61">
        <v>24</v>
      </c>
      <c r="H7" s="61">
        <v>24</v>
      </c>
      <c r="I7" s="61">
        <v>0</v>
      </c>
      <c r="J7" s="61">
        <f t="shared" si="2"/>
        <v>24</v>
      </c>
      <c r="K7" s="61">
        <f t="shared" si="3"/>
        <v>240</v>
      </c>
      <c r="L7" s="61">
        <f t="shared" si="4"/>
        <v>0</v>
      </c>
      <c r="M7" s="61">
        <f t="shared" si="5"/>
        <v>240</v>
      </c>
      <c r="N7" s="71">
        <f t="shared" si="0"/>
        <v>240</v>
      </c>
      <c r="O7" s="61">
        <v>0.95395106538878804</v>
      </c>
      <c r="P7" s="52">
        <f t="shared" si="6"/>
        <v>228.94825569330914</v>
      </c>
      <c r="Q7" s="52">
        <f t="shared" si="1"/>
        <v>0</v>
      </c>
      <c r="R7" s="52">
        <f t="shared" si="1"/>
        <v>228.94825569330914</v>
      </c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</row>
    <row r="8" spans="1:32" s="55" customFormat="1" x14ac:dyDescent="0.25">
      <c r="A8" s="61"/>
      <c r="B8" s="61" t="s">
        <v>98</v>
      </c>
      <c r="C8" s="69" t="s">
        <v>100</v>
      </c>
      <c r="D8" s="70">
        <v>40874</v>
      </c>
      <c r="E8" s="70">
        <v>40874</v>
      </c>
      <c r="F8" s="61">
        <v>10</v>
      </c>
      <c r="G8" s="61">
        <v>24</v>
      </c>
      <c r="H8" s="61">
        <v>24</v>
      </c>
      <c r="I8" s="61">
        <v>0</v>
      </c>
      <c r="J8" s="61">
        <f t="shared" si="2"/>
        <v>24</v>
      </c>
      <c r="K8" s="61">
        <f t="shared" si="3"/>
        <v>240</v>
      </c>
      <c r="L8" s="61">
        <f t="shared" si="4"/>
        <v>0</v>
      </c>
      <c r="M8" s="61">
        <f t="shared" si="5"/>
        <v>240</v>
      </c>
      <c r="N8" s="71">
        <f t="shared" si="0"/>
        <v>240</v>
      </c>
      <c r="O8" s="61">
        <v>0.94431377665699201</v>
      </c>
      <c r="P8" s="52">
        <f t="shared" si="6"/>
        <v>226.63530639767808</v>
      </c>
      <c r="Q8" s="52">
        <f t="shared" si="1"/>
        <v>0</v>
      </c>
      <c r="R8" s="52">
        <f t="shared" si="1"/>
        <v>226.63530639767808</v>
      </c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</row>
    <row r="9" spans="1:32" s="54" customFormat="1" x14ac:dyDescent="0.25">
      <c r="A9" s="74" t="s">
        <v>104</v>
      </c>
      <c r="B9" s="72" t="s">
        <v>95</v>
      </c>
      <c r="C9" s="72" t="s">
        <v>86</v>
      </c>
      <c r="D9" s="73">
        <v>40544</v>
      </c>
      <c r="E9" s="73">
        <v>40633</v>
      </c>
      <c r="F9" s="72">
        <v>10</v>
      </c>
      <c r="G9" s="72">
        <v>0</v>
      </c>
      <c r="H9" s="72">
        <v>0</v>
      </c>
      <c r="I9" s="74">
        <v>0</v>
      </c>
      <c r="J9" s="74">
        <f t="shared" si="2"/>
        <v>0</v>
      </c>
      <c r="K9" s="74">
        <f t="shared" si="3"/>
        <v>0</v>
      </c>
      <c r="L9" s="74">
        <f t="shared" si="4"/>
        <v>0</v>
      </c>
      <c r="M9" s="74">
        <f t="shared" si="5"/>
        <v>0</v>
      </c>
      <c r="N9" s="75">
        <f t="shared" si="0"/>
        <v>0</v>
      </c>
      <c r="O9" s="74">
        <v>0</v>
      </c>
      <c r="P9" s="54">
        <f t="shared" si="6"/>
        <v>0</v>
      </c>
      <c r="Q9" s="54">
        <f t="shared" si="1"/>
        <v>0</v>
      </c>
      <c r="R9" s="54">
        <f t="shared" si="1"/>
        <v>0</v>
      </c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</row>
    <row r="10" spans="1:32" s="54" customFormat="1" x14ac:dyDescent="0.25">
      <c r="A10" s="74"/>
      <c r="B10" s="74" t="s">
        <v>95</v>
      </c>
      <c r="C10" s="72" t="s">
        <v>87</v>
      </c>
      <c r="D10" s="73">
        <v>40634</v>
      </c>
      <c r="E10" s="73">
        <v>40724</v>
      </c>
      <c r="F10" s="72">
        <v>10</v>
      </c>
      <c r="G10" s="72">
        <v>0</v>
      </c>
      <c r="H10" s="72">
        <v>0</v>
      </c>
      <c r="I10" s="74">
        <v>0</v>
      </c>
      <c r="J10" s="74">
        <f t="shared" si="2"/>
        <v>0</v>
      </c>
      <c r="K10" s="74">
        <f t="shared" si="3"/>
        <v>0</v>
      </c>
      <c r="L10" s="74">
        <f t="shared" si="4"/>
        <v>0</v>
      </c>
      <c r="M10" s="74">
        <f t="shared" si="5"/>
        <v>0</v>
      </c>
      <c r="N10" s="75">
        <f t="shared" si="0"/>
        <v>0</v>
      </c>
      <c r="O10" s="74">
        <v>0</v>
      </c>
      <c r="P10" s="54">
        <f t="shared" si="6"/>
        <v>0</v>
      </c>
      <c r="Q10" s="54">
        <f t="shared" si="1"/>
        <v>0</v>
      </c>
      <c r="R10" s="54">
        <f t="shared" si="1"/>
        <v>0</v>
      </c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</row>
    <row r="11" spans="1:32" s="54" customFormat="1" x14ac:dyDescent="0.25">
      <c r="A11" s="74"/>
      <c r="B11" s="74" t="s">
        <v>95</v>
      </c>
      <c r="C11" s="72" t="s">
        <v>88</v>
      </c>
      <c r="D11" s="73">
        <v>40725</v>
      </c>
      <c r="E11" s="73">
        <v>40816</v>
      </c>
      <c r="F11" s="74">
        <v>10</v>
      </c>
      <c r="G11" s="74">
        <v>0</v>
      </c>
      <c r="H11" s="74">
        <v>0</v>
      </c>
      <c r="I11" s="74">
        <v>0</v>
      </c>
      <c r="J11" s="74">
        <f t="shared" si="2"/>
        <v>0</v>
      </c>
      <c r="K11" s="74">
        <f t="shared" si="3"/>
        <v>0</v>
      </c>
      <c r="L11" s="74">
        <f t="shared" si="4"/>
        <v>0</v>
      </c>
      <c r="M11" s="74">
        <f t="shared" si="5"/>
        <v>0</v>
      </c>
      <c r="N11" s="75">
        <f t="shared" si="0"/>
        <v>0</v>
      </c>
      <c r="O11" s="74">
        <v>0</v>
      </c>
      <c r="P11" s="54">
        <f t="shared" si="6"/>
        <v>0</v>
      </c>
      <c r="Q11" s="54">
        <f t="shared" si="1"/>
        <v>0</v>
      </c>
      <c r="R11" s="54">
        <f t="shared" si="1"/>
        <v>0</v>
      </c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</row>
    <row r="12" spans="1:32" s="76" customFormat="1" x14ac:dyDescent="0.25">
      <c r="A12" s="74"/>
      <c r="B12" s="74" t="s">
        <v>95</v>
      </c>
      <c r="C12" s="72" t="s">
        <v>89</v>
      </c>
      <c r="D12" s="73">
        <v>40817</v>
      </c>
      <c r="E12" s="73">
        <v>40908</v>
      </c>
      <c r="F12" s="74">
        <v>10</v>
      </c>
      <c r="G12" s="74">
        <f>92*24+1</f>
        <v>2209</v>
      </c>
      <c r="H12" s="74">
        <f>60*24</f>
        <v>1440</v>
      </c>
      <c r="I12" s="74">
        <f>66*12</f>
        <v>792</v>
      </c>
      <c r="J12" s="74">
        <f t="shared" si="2"/>
        <v>1417</v>
      </c>
      <c r="K12" s="74">
        <f t="shared" si="3"/>
        <v>22090</v>
      </c>
      <c r="L12" s="74">
        <f t="shared" si="4"/>
        <v>7920</v>
      </c>
      <c r="M12" s="74">
        <f t="shared" si="5"/>
        <v>14170</v>
      </c>
      <c r="N12" s="75">
        <f t="shared" si="0"/>
        <v>14400</v>
      </c>
      <c r="O12" s="74">
        <v>0.638210394712311</v>
      </c>
      <c r="P12" s="54">
        <f t="shared" si="6"/>
        <v>14098.06761919495</v>
      </c>
      <c r="Q12" s="54">
        <f t="shared" si="1"/>
        <v>5054.6263261215036</v>
      </c>
      <c r="R12" s="54">
        <f t="shared" si="1"/>
        <v>9043.441293073447</v>
      </c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</row>
    <row r="13" spans="1:32" s="52" customFormat="1" x14ac:dyDescent="0.25">
      <c r="A13" s="61" t="s">
        <v>107</v>
      </c>
      <c r="B13" s="61" t="s">
        <v>98</v>
      </c>
      <c r="C13" s="69" t="s">
        <v>86</v>
      </c>
      <c r="D13" s="70">
        <v>40868</v>
      </c>
      <c r="E13" s="70">
        <v>40868</v>
      </c>
      <c r="F13" s="61">
        <v>10</v>
      </c>
      <c r="G13" s="61">
        <v>24</v>
      </c>
      <c r="H13" s="61">
        <v>24</v>
      </c>
      <c r="I13" s="61">
        <v>12</v>
      </c>
      <c r="J13" s="61">
        <f t="shared" si="2"/>
        <v>12</v>
      </c>
      <c r="K13" s="61">
        <f t="shared" si="3"/>
        <v>240</v>
      </c>
      <c r="L13" s="61">
        <f t="shared" si="4"/>
        <v>120</v>
      </c>
      <c r="M13" s="61">
        <f t="shared" si="5"/>
        <v>120</v>
      </c>
      <c r="N13" s="71">
        <f t="shared" si="0"/>
        <v>240</v>
      </c>
      <c r="O13" s="61">
        <v>0.98504416121263205</v>
      </c>
      <c r="P13" s="52">
        <f t="shared" si="6"/>
        <v>236.41059869103168</v>
      </c>
      <c r="Q13" s="52">
        <f t="shared" si="1"/>
        <v>118.20529934551584</v>
      </c>
      <c r="R13" s="52">
        <f t="shared" si="1"/>
        <v>118.20529934551584</v>
      </c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</row>
    <row r="14" spans="1:32" s="52" customFormat="1" x14ac:dyDescent="0.25">
      <c r="A14" s="61"/>
      <c r="B14" s="61" t="s">
        <v>98</v>
      </c>
      <c r="C14" s="69" t="s">
        <v>87</v>
      </c>
      <c r="D14" s="70">
        <v>40869</v>
      </c>
      <c r="E14" s="70">
        <v>40869</v>
      </c>
      <c r="F14" s="61">
        <v>11</v>
      </c>
      <c r="G14" s="61">
        <v>24</v>
      </c>
      <c r="H14" s="61">
        <v>24</v>
      </c>
      <c r="I14" s="61">
        <v>12</v>
      </c>
      <c r="J14" s="61">
        <f t="shared" si="2"/>
        <v>12</v>
      </c>
      <c r="K14" s="61">
        <f t="shared" si="3"/>
        <v>264</v>
      </c>
      <c r="L14" s="61">
        <f t="shared" si="4"/>
        <v>132</v>
      </c>
      <c r="M14" s="61">
        <f t="shared" si="5"/>
        <v>132</v>
      </c>
      <c r="N14" s="71">
        <f t="shared" si="0"/>
        <v>264</v>
      </c>
      <c r="O14" s="61">
        <v>0.98396956123715296</v>
      </c>
      <c r="P14" s="52">
        <f t="shared" si="6"/>
        <v>259.76796416660841</v>
      </c>
      <c r="Q14" s="52">
        <f t="shared" si="1"/>
        <v>129.8839820833042</v>
      </c>
      <c r="R14" s="52">
        <f t="shared" si="1"/>
        <v>129.8839820833042</v>
      </c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</row>
    <row r="15" spans="1:32" s="52" customFormat="1" x14ac:dyDescent="0.25">
      <c r="A15" s="61"/>
      <c r="B15" s="61" t="s">
        <v>98</v>
      </c>
      <c r="C15" s="69" t="s">
        <v>88</v>
      </c>
      <c r="D15" s="70">
        <v>40870</v>
      </c>
      <c r="E15" s="70">
        <v>40870</v>
      </c>
      <c r="F15" s="61">
        <v>12</v>
      </c>
      <c r="G15" s="61">
        <v>24</v>
      </c>
      <c r="H15" s="61">
        <v>24</v>
      </c>
      <c r="I15" s="61">
        <v>12</v>
      </c>
      <c r="J15" s="61">
        <f t="shared" si="2"/>
        <v>12</v>
      </c>
      <c r="K15" s="61">
        <f t="shared" si="3"/>
        <v>288</v>
      </c>
      <c r="L15" s="61">
        <f t="shared" si="4"/>
        <v>144</v>
      </c>
      <c r="M15" s="61">
        <f t="shared" si="5"/>
        <v>144</v>
      </c>
      <c r="N15" s="71">
        <f t="shared" si="0"/>
        <v>288</v>
      </c>
      <c r="O15" s="61">
        <v>0.98393447796516398</v>
      </c>
      <c r="P15" s="52">
        <f t="shared" si="6"/>
        <v>283.37312965396723</v>
      </c>
      <c r="Q15" s="52">
        <f t="shared" si="1"/>
        <v>141.68656482698361</v>
      </c>
      <c r="R15" s="52">
        <f t="shared" si="1"/>
        <v>141.68656482698361</v>
      </c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</row>
    <row r="16" spans="1:32" s="52" customFormat="1" x14ac:dyDescent="0.25">
      <c r="A16" s="61"/>
      <c r="B16" s="61" t="s">
        <v>98</v>
      </c>
      <c r="C16" s="69" t="s">
        <v>89</v>
      </c>
      <c r="D16" s="70">
        <v>40871</v>
      </c>
      <c r="E16" s="70">
        <v>40871</v>
      </c>
      <c r="F16" s="61">
        <v>13</v>
      </c>
      <c r="G16" s="61">
        <v>24</v>
      </c>
      <c r="H16" s="61">
        <v>24</v>
      </c>
      <c r="I16" s="61">
        <v>12</v>
      </c>
      <c r="J16" s="61">
        <f t="shared" si="2"/>
        <v>12</v>
      </c>
      <c r="K16" s="61">
        <f t="shared" si="3"/>
        <v>312</v>
      </c>
      <c r="L16" s="61">
        <f t="shared" si="4"/>
        <v>156</v>
      </c>
      <c r="M16" s="61">
        <f t="shared" si="5"/>
        <v>156</v>
      </c>
      <c r="N16" s="71">
        <f t="shared" si="0"/>
        <v>312</v>
      </c>
      <c r="O16" s="61">
        <v>0.97900660634958103</v>
      </c>
      <c r="P16" s="52">
        <f t="shared" si="6"/>
        <v>305.45006118106926</v>
      </c>
      <c r="Q16" s="52">
        <f t="shared" si="1"/>
        <v>152.72503059053463</v>
      </c>
      <c r="R16" s="52">
        <f t="shared" si="1"/>
        <v>152.72503059053463</v>
      </c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</row>
    <row r="17" spans="1:32" s="52" customFormat="1" x14ac:dyDescent="0.25">
      <c r="A17" s="61"/>
      <c r="B17" s="61" t="s">
        <v>98</v>
      </c>
      <c r="C17" s="69" t="s">
        <v>97</v>
      </c>
      <c r="D17" s="70">
        <v>40872</v>
      </c>
      <c r="E17" s="70">
        <v>40872</v>
      </c>
      <c r="F17" s="61">
        <v>14</v>
      </c>
      <c r="G17" s="61">
        <v>24</v>
      </c>
      <c r="H17" s="61">
        <v>24</v>
      </c>
      <c r="I17" s="61">
        <v>12</v>
      </c>
      <c r="J17" s="61">
        <f t="shared" si="2"/>
        <v>12</v>
      </c>
      <c r="K17" s="61">
        <f t="shared" si="3"/>
        <v>336</v>
      </c>
      <c r="L17" s="61">
        <f t="shared" si="4"/>
        <v>168</v>
      </c>
      <c r="M17" s="61">
        <f t="shared" si="5"/>
        <v>168</v>
      </c>
      <c r="N17" s="71">
        <f t="shared" si="0"/>
        <v>336</v>
      </c>
      <c r="O17" s="61">
        <v>0.97224586693196802</v>
      </c>
      <c r="P17" s="52">
        <f t="shared" si="6"/>
        <v>326.67461128914124</v>
      </c>
      <c r="Q17" s="52">
        <f t="shared" si="1"/>
        <v>163.33730564457062</v>
      </c>
      <c r="R17" s="52">
        <f t="shared" si="1"/>
        <v>163.33730564457062</v>
      </c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</row>
    <row r="18" spans="1:32" s="52" customFormat="1" x14ac:dyDescent="0.25">
      <c r="A18" s="61"/>
      <c r="B18" s="61" t="s">
        <v>98</v>
      </c>
      <c r="C18" s="69" t="s">
        <v>99</v>
      </c>
      <c r="D18" s="70">
        <v>40873</v>
      </c>
      <c r="E18" s="70">
        <v>40873</v>
      </c>
      <c r="F18" s="61">
        <v>15</v>
      </c>
      <c r="G18" s="61">
        <v>24</v>
      </c>
      <c r="H18" s="61">
        <v>24</v>
      </c>
      <c r="I18" s="61">
        <v>0</v>
      </c>
      <c r="J18" s="61">
        <f t="shared" si="2"/>
        <v>24</v>
      </c>
      <c r="K18" s="61">
        <f t="shared" si="3"/>
        <v>360</v>
      </c>
      <c r="L18" s="61">
        <f t="shared" si="4"/>
        <v>0</v>
      </c>
      <c r="M18" s="61">
        <f t="shared" si="5"/>
        <v>360</v>
      </c>
      <c r="N18" s="71">
        <f t="shared" si="0"/>
        <v>360</v>
      </c>
      <c r="O18" s="61">
        <v>0.95395106538878804</v>
      </c>
      <c r="P18" s="52">
        <f t="shared" si="6"/>
        <v>343.42238353996368</v>
      </c>
      <c r="Q18" s="52">
        <f t="shared" ref="Q18:R30" si="7">$O18*L18</f>
        <v>0</v>
      </c>
      <c r="R18" s="52">
        <f t="shared" si="7"/>
        <v>343.42238353996368</v>
      </c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</row>
    <row r="19" spans="1:32" s="55" customFormat="1" x14ac:dyDescent="0.25">
      <c r="A19" s="61"/>
      <c r="B19" s="61" t="s">
        <v>98</v>
      </c>
      <c r="C19" s="69" t="s">
        <v>100</v>
      </c>
      <c r="D19" s="70">
        <v>40874</v>
      </c>
      <c r="E19" s="70">
        <v>40874</v>
      </c>
      <c r="F19" s="61">
        <v>16</v>
      </c>
      <c r="G19" s="61">
        <v>24</v>
      </c>
      <c r="H19" s="61">
        <v>24</v>
      </c>
      <c r="I19" s="61">
        <v>0</v>
      </c>
      <c r="J19" s="61">
        <f t="shared" si="2"/>
        <v>24</v>
      </c>
      <c r="K19" s="61">
        <f t="shared" si="3"/>
        <v>384</v>
      </c>
      <c r="L19" s="61">
        <f t="shared" si="4"/>
        <v>0</v>
      </c>
      <c r="M19" s="61">
        <f t="shared" si="5"/>
        <v>384</v>
      </c>
      <c r="N19" s="71">
        <f t="shared" si="0"/>
        <v>384</v>
      </c>
      <c r="O19" s="61">
        <v>0.94431377665699201</v>
      </c>
      <c r="P19" s="52">
        <f t="shared" si="6"/>
        <v>362.6164902362849</v>
      </c>
      <c r="Q19" s="52">
        <f t="shared" si="7"/>
        <v>0</v>
      </c>
      <c r="R19" s="52">
        <f t="shared" si="7"/>
        <v>362.6164902362849</v>
      </c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</row>
    <row r="20" spans="1:32" s="54" customFormat="1" x14ac:dyDescent="0.25">
      <c r="A20" s="74" t="s">
        <v>108</v>
      </c>
      <c r="B20" s="74" t="s">
        <v>101</v>
      </c>
      <c r="C20" s="72" t="s">
        <v>86</v>
      </c>
      <c r="D20" s="73">
        <v>40909</v>
      </c>
      <c r="E20" s="73">
        <v>40999</v>
      </c>
      <c r="F20" s="74">
        <f>(31*24*10+29*24*11+(31*24-1)*12)/G20</f>
        <v>10.999541914796152</v>
      </c>
      <c r="G20" s="74">
        <f>(91*24)-1</f>
        <v>2183</v>
      </c>
      <c r="H20" s="74">
        <f>91*24-1</f>
        <v>2183</v>
      </c>
      <c r="I20" s="74">
        <f>65*12</f>
        <v>780</v>
      </c>
      <c r="J20" s="74">
        <f t="shared" si="2"/>
        <v>1403</v>
      </c>
      <c r="K20" s="74">
        <f t="shared" si="3"/>
        <v>24012</v>
      </c>
      <c r="L20" s="74">
        <f t="shared" si="4"/>
        <v>8579.6426935409982</v>
      </c>
      <c r="M20" s="74">
        <f t="shared" si="5"/>
        <v>15432.357306459002</v>
      </c>
      <c r="N20" s="75">
        <f t="shared" si="0"/>
        <v>24012</v>
      </c>
      <c r="O20" s="54">
        <v>0.94189470447117996</v>
      </c>
      <c r="P20" s="54">
        <f t="shared" si="6"/>
        <v>22616.775643761972</v>
      </c>
      <c r="Q20" s="54">
        <f t="shared" si="7"/>
        <v>8081.1200193011173</v>
      </c>
      <c r="R20" s="54">
        <f t="shared" si="7"/>
        <v>14535.655624460856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</row>
    <row r="21" spans="1:32" s="76" customFormat="1" x14ac:dyDescent="0.25">
      <c r="A21" s="74"/>
      <c r="B21" s="74" t="s">
        <v>101</v>
      </c>
      <c r="C21" s="72" t="s">
        <v>87</v>
      </c>
      <c r="D21" s="73">
        <v>41000</v>
      </c>
      <c r="E21" s="73">
        <v>41090</v>
      </c>
      <c r="F21" s="74">
        <f>(30*24*13+31*24*14+30*24*15)/H21</f>
        <v>14</v>
      </c>
      <c r="G21" s="74">
        <f>91*24</f>
        <v>2184</v>
      </c>
      <c r="H21" s="74">
        <f>91*24</f>
        <v>2184</v>
      </c>
      <c r="I21" s="74">
        <f>65*12</f>
        <v>780</v>
      </c>
      <c r="J21" s="74">
        <f t="shared" si="2"/>
        <v>1404</v>
      </c>
      <c r="K21" s="74">
        <f t="shared" si="3"/>
        <v>30576</v>
      </c>
      <c r="L21" s="74">
        <f t="shared" si="4"/>
        <v>10920</v>
      </c>
      <c r="M21" s="74">
        <f t="shared" si="5"/>
        <v>19656</v>
      </c>
      <c r="N21" s="75">
        <f>F21*G21</f>
        <v>30576</v>
      </c>
      <c r="O21" s="54">
        <v>0.84935575373779704</v>
      </c>
      <c r="P21" s="54">
        <f t="shared" si="6"/>
        <v>25969.901526286882</v>
      </c>
      <c r="Q21" s="54">
        <f t="shared" si="7"/>
        <v>9274.9648308167434</v>
      </c>
      <c r="R21" s="54">
        <f t="shared" si="7"/>
        <v>16694.93669547014</v>
      </c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</row>
    <row r="22" spans="1:32" s="52" customFormat="1" x14ac:dyDescent="0.25">
      <c r="A22" s="61" t="s">
        <v>105</v>
      </c>
      <c r="B22" s="69" t="s">
        <v>96</v>
      </c>
      <c r="C22" s="69" t="s">
        <v>86</v>
      </c>
      <c r="D22" s="70">
        <v>40868</v>
      </c>
      <c r="E22" s="70">
        <v>40868</v>
      </c>
      <c r="F22" s="69">
        <v>10</v>
      </c>
      <c r="G22" s="69">
        <v>12</v>
      </c>
      <c r="H22" s="69">
        <v>12</v>
      </c>
      <c r="I22" s="61">
        <f>H22</f>
        <v>12</v>
      </c>
      <c r="J22" s="61">
        <f t="shared" si="2"/>
        <v>0</v>
      </c>
      <c r="K22" s="61">
        <f t="shared" si="3"/>
        <v>120</v>
      </c>
      <c r="L22" s="61">
        <f t="shared" si="4"/>
        <v>120</v>
      </c>
      <c r="M22" s="61">
        <f t="shared" si="5"/>
        <v>0</v>
      </c>
      <c r="N22" s="71">
        <f t="shared" ref="N22:N30" si="8">F22*H22</f>
        <v>120</v>
      </c>
      <c r="O22" s="61">
        <v>0.98249209078048505</v>
      </c>
      <c r="P22" s="52">
        <f t="shared" si="6"/>
        <v>117.8990508936582</v>
      </c>
      <c r="Q22" s="52">
        <f t="shared" si="7"/>
        <v>117.8990508936582</v>
      </c>
      <c r="R22" s="52">
        <f t="shared" si="7"/>
        <v>0</v>
      </c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</row>
    <row r="23" spans="1:32" s="52" customFormat="1" x14ac:dyDescent="0.25">
      <c r="A23" s="61"/>
      <c r="B23" s="69" t="s">
        <v>96</v>
      </c>
      <c r="C23" s="69" t="s">
        <v>87</v>
      </c>
      <c r="D23" s="70">
        <v>40869</v>
      </c>
      <c r="E23" s="70">
        <v>40869</v>
      </c>
      <c r="F23" s="69">
        <v>10</v>
      </c>
      <c r="G23" s="69">
        <v>12</v>
      </c>
      <c r="H23" s="69">
        <v>12</v>
      </c>
      <c r="I23" s="61">
        <f t="shared" ref="I23:I30" si="9">H23</f>
        <v>12</v>
      </c>
      <c r="J23" s="61">
        <f t="shared" si="2"/>
        <v>0</v>
      </c>
      <c r="K23" s="61">
        <f t="shared" si="3"/>
        <v>120</v>
      </c>
      <c r="L23" s="61">
        <f t="shared" si="4"/>
        <v>120</v>
      </c>
      <c r="M23" s="61">
        <f t="shared" si="5"/>
        <v>0</v>
      </c>
      <c r="N23" s="71">
        <f t="shared" si="8"/>
        <v>120</v>
      </c>
      <c r="O23" s="61">
        <v>0.98094941303579297</v>
      </c>
      <c r="P23" s="52">
        <f t="shared" si="6"/>
        <v>117.71392956429516</v>
      </c>
      <c r="Q23" s="52">
        <f t="shared" si="7"/>
        <v>117.71392956429516</v>
      </c>
      <c r="R23" s="52">
        <f t="shared" si="7"/>
        <v>0</v>
      </c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</row>
    <row r="24" spans="1:32" s="52" customFormat="1" x14ac:dyDescent="0.25">
      <c r="A24" s="61"/>
      <c r="B24" s="69" t="s">
        <v>96</v>
      </c>
      <c r="C24" s="69" t="s">
        <v>88</v>
      </c>
      <c r="D24" s="70">
        <v>40870</v>
      </c>
      <c r="E24" s="70">
        <v>40870</v>
      </c>
      <c r="F24" s="61">
        <v>10</v>
      </c>
      <c r="G24" s="69">
        <v>12</v>
      </c>
      <c r="H24" s="69">
        <v>12</v>
      </c>
      <c r="I24" s="61">
        <f t="shared" si="9"/>
        <v>12</v>
      </c>
      <c r="J24" s="61">
        <f t="shared" si="2"/>
        <v>0</v>
      </c>
      <c r="K24" s="61">
        <f t="shared" si="3"/>
        <v>120</v>
      </c>
      <c r="L24" s="61">
        <f t="shared" si="4"/>
        <v>120</v>
      </c>
      <c r="M24" s="61">
        <f t="shared" si="5"/>
        <v>0</v>
      </c>
      <c r="N24" s="71">
        <f t="shared" si="8"/>
        <v>120</v>
      </c>
      <c r="O24" s="61">
        <v>0.97970590490881704</v>
      </c>
      <c r="P24" s="52">
        <f t="shared" si="6"/>
        <v>117.56470858905804</v>
      </c>
      <c r="Q24" s="52">
        <f t="shared" si="7"/>
        <v>117.56470858905804</v>
      </c>
      <c r="R24" s="52">
        <f t="shared" si="7"/>
        <v>0</v>
      </c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</row>
    <row r="25" spans="1:32" s="52" customFormat="1" x14ac:dyDescent="0.25">
      <c r="A25" s="61"/>
      <c r="B25" s="69" t="s">
        <v>96</v>
      </c>
      <c r="C25" s="69" t="s">
        <v>89</v>
      </c>
      <c r="D25" s="70">
        <v>40871</v>
      </c>
      <c r="E25" s="70">
        <v>40871</v>
      </c>
      <c r="F25" s="61">
        <v>10</v>
      </c>
      <c r="G25" s="69">
        <v>12</v>
      </c>
      <c r="H25" s="69">
        <v>12</v>
      </c>
      <c r="I25" s="61">
        <f t="shared" si="9"/>
        <v>12</v>
      </c>
      <c r="J25" s="61">
        <f t="shared" si="2"/>
        <v>0</v>
      </c>
      <c r="K25" s="61">
        <f t="shared" si="3"/>
        <v>120</v>
      </c>
      <c r="L25" s="61">
        <f t="shared" si="4"/>
        <v>120</v>
      </c>
      <c r="M25" s="61">
        <f t="shared" si="5"/>
        <v>0</v>
      </c>
      <c r="N25" s="71">
        <f t="shared" si="8"/>
        <v>120</v>
      </c>
      <c r="O25" s="61">
        <v>0.97152660952897296</v>
      </c>
      <c r="P25" s="52">
        <f t="shared" si="6"/>
        <v>116.58319314347676</v>
      </c>
      <c r="Q25" s="52">
        <f t="shared" si="7"/>
        <v>116.58319314347676</v>
      </c>
      <c r="R25" s="52">
        <f t="shared" si="7"/>
        <v>0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</row>
    <row r="26" spans="1:32" s="55" customFormat="1" x14ac:dyDescent="0.25">
      <c r="A26" s="61"/>
      <c r="B26" s="69" t="s">
        <v>96</v>
      </c>
      <c r="C26" s="69" t="s">
        <v>97</v>
      </c>
      <c r="D26" s="70">
        <v>40872</v>
      </c>
      <c r="E26" s="70">
        <v>40872</v>
      </c>
      <c r="F26" s="61">
        <v>10</v>
      </c>
      <c r="G26" s="69">
        <v>12</v>
      </c>
      <c r="H26" s="69">
        <v>12</v>
      </c>
      <c r="I26" s="61">
        <f t="shared" si="9"/>
        <v>12</v>
      </c>
      <c r="J26" s="61">
        <f t="shared" si="2"/>
        <v>0</v>
      </c>
      <c r="K26" s="61">
        <f t="shared" si="3"/>
        <v>120</v>
      </c>
      <c r="L26" s="61">
        <f t="shared" si="4"/>
        <v>120</v>
      </c>
      <c r="M26" s="61">
        <f t="shared" si="5"/>
        <v>0</v>
      </c>
      <c r="N26" s="71">
        <f t="shared" si="8"/>
        <v>120</v>
      </c>
      <c r="O26" s="61">
        <v>0.96361683706955903</v>
      </c>
      <c r="P26" s="52">
        <f t="shared" si="6"/>
        <v>115.63402044834709</v>
      </c>
      <c r="Q26" s="52">
        <f t="shared" si="7"/>
        <v>115.63402044834709</v>
      </c>
      <c r="R26" s="52">
        <f t="shared" si="7"/>
        <v>0</v>
      </c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</row>
    <row r="27" spans="1:32" s="54" customFormat="1" x14ac:dyDescent="0.25">
      <c r="A27" s="74" t="s">
        <v>103</v>
      </c>
      <c r="B27" s="72" t="s">
        <v>83</v>
      </c>
      <c r="C27" s="72" t="s">
        <v>86</v>
      </c>
      <c r="D27" s="73">
        <v>40544</v>
      </c>
      <c r="E27" s="73">
        <v>40633</v>
      </c>
      <c r="F27" s="72">
        <v>10</v>
      </c>
      <c r="G27" s="72">
        <v>0</v>
      </c>
      <c r="H27" s="72">
        <v>0</v>
      </c>
      <c r="I27" s="74">
        <f t="shared" si="9"/>
        <v>0</v>
      </c>
      <c r="J27" s="74">
        <f t="shared" si="2"/>
        <v>0</v>
      </c>
      <c r="K27" s="74">
        <f t="shared" si="3"/>
        <v>0</v>
      </c>
      <c r="L27" s="74">
        <f t="shared" si="4"/>
        <v>0</v>
      </c>
      <c r="M27" s="74">
        <f t="shared" si="5"/>
        <v>0</v>
      </c>
      <c r="N27" s="75">
        <f t="shared" si="8"/>
        <v>0</v>
      </c>
      <c r="O27" s="74">
        <v>0</v>
      </c>
      <c r="P27" s="54">
        <f t="shared" si="6"/>
        <v>0</v>
      </c>
      <c r="Q27" s="54">
        <f t="shared" si="7"/>
        <v>0</v>
      </c>
      <c r="R27" s="54">
        <f t="shared" si="7"/>
        <v>0</v>
      </c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</row>
    <row r="28" spans="1:32" s="54" customFormat="1" x14ac:dyDescent="0.25">
      <c r="A28" s="74"/>
      <c r="B28" s="72" t="s">
        <v>83</v>
      </c>
      <c r="C28" s="72" t="s">
        <v>87</v>
      </c>
      <c r="D28" s="73">
        <v>40634</v>
      </c>
      <c r="E28" s="73">
        <v>40724</v>
      </c>
      <c r="F28" s="72">
        <v>10</v>
      </c>
      <c r="G28" s="72">
        <v>0</v>
      </c>
      <c r="H28" s="72">
        <v>0</v>
      </c>
      <c r="I28" s="74">
        <f t="shared" si="9"/>
        <v>0</v>
      </c>
      <c r="J28" s="74">
        <f t="shared" si="2"/>
        <v>0</v>
      </c>
      <c r="K28" s="74">
        <f t="shared" si="3"/>
        <v>0</v>
      </c>
      <c r="L28" s="74">
        <f t="shared" si="4"/>
        <v>0</v>
      </c>
      <c r="M28" s="74">
        <f t="shared" si="5"/>
        <v>0</v>
      </c>
      <c r="N28" s="75">
        <f t="shared" si="8"/>
        <v>0</v>
      </c>
      <c r="O28" s="74">
        <v>0</v>
      </c>
      <c r="P28" s="54">
        <f t="shared" si="6"/>
        <v>0</v>
      </c>
      <c r="Q28" s="54">
        <f t="shared" si="7"/>
        <v>0</v>
      </c>
      <c r="R28" s="54">
        <f t="shared" si="7"/>
        <v>0</v>
      </c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</row>
    <row r="29" spans="1:32" s="54" customFormat="1" x14ac:dyDescent="0.25">
      <c r="A29" s="74"/>
      <c r="B29" s="72" t="s">
        <v>83</v>
      </c>
      <c r="C29" s="72" t="s">
        <v>88</v>
      </c>
      <c r="D29" s="73">
        <v>40725</v>
      </c>
      <c r="E29" s="73">
        <v>40816</v>
      </c>
      <c r="F29" s="72">
        <v>10</v>
      </c>
      <c r="G29" s="72">
        <v>0</v>
      </c>
      <c r="H29" s="72">
        <v>0</v>
      </c>
      <c r="I29" s="74">
        <f t="shared" si="9"/>
        <v>0</v>
      </c>
      <c r="J29" s="74">
        <f t="shared" si="2"/>
        <v>0</v>
      </c>
      <c r="K29" s="74">
        <f t="shared" si="3"/>
        <v>0</v>
      </c>
      <c r="L29" s="74">
        <f t="shared" si="4"/>
        <v>0</v>
      </c>
      <c r="M29" s="74">
        <f t="shared" si="5"/>
        <v>0</v>
      </c>
      <c r="N29" s="75">
        <f t="shared" si="8"/>
        <v>0</v>
      </c>
      <c r="O29" s="74">
        <v>0</v>
      </c>
      <c r="P29" s="54">
        <f t="shared" si="6"/>
        <v>0</v>
      </c>
      <c r="Q29" s="54">
        <f t="shared" si="7"/>
        <v>0</v>
      </c>
      <c r="R29" s="54">
        <f t="shared" si="7"/>
        <v>0</v>
      </c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</row>
    <row r="30" spans="1:32" s="76" customFormat="1" x14ac:dyDescent="0.25">
      <c r="A30" s="74"/>
      <c r="B30" s="72" t="s">
        <v>83</v>
      </c>
      <c r="C30" s="72" t="s">
        <v>89</v>
      </c>
      <c r="D30" s="73">
        <v>40817</v>
      </c>
      <c r="E30" s="73">
        <v>40908</v>
      </c>
      <c r="F30" s="72">
        <v>10</v>
      </c>
      <c r="G30" s="72">
        <f>65*12</f>
        <v>780</v>
      </c>
      <c r="H30" s="72">
        <f>43*12</f>
        <v>516</v>
      </c>
      <c r="I30" s="74">
        <f t="shared" si="9"/>
        <v>516</v>
      </c>
      <c r="J30" s="74">
        <f t="shared" si="2"/>
        <v>264</v>
      </c>
      <c r="K30" s="74">
        <f t="shared" si="3"/>
        <v>7800</v>
      </c>
      <c r="L30" s="74">
        <f t="shared" si="4"/>
        <v>5160</v>
      </c>
      <c r="M30" s="74">
        <f t="shared" si="5"/>
        <v>2640</v>
      </c>
      <c r="N30" s="75">
        <f t="shared" si="8"/>
        <v>5160</v>
      </c>
      <c r="O30" s="74">
        <v>0.65373679337627399</v>
      </c>
      <c r="P30" s="54">
        <f t="shared" si="6"/>
        <v>5099.1469883349373</v>
      </c>
      <c r="Q30" s="54">
        <f t="shared" si="7"/>
        <v>3373.2818538215738</v>
      </c>
      <c r="R30" s="54">
        <f t="shared" si="7"/>
        <v>1725.8651345133633</v>
      </c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</row>
    <row r="31" spans="1:32" s="80" customFormat="1" x14ac:dyDescent="0.25">
      <c r="B31" s="81"/>
      <c r="C31" s="81"/>
      <c r="D31" s="82"/>
      <c r="E31" s="82"/>
      <c r="F31" s="81"/>
      <c r="G31" s="81"/>
      <c r="H31" s="81"/>
      <c r="J31" s="83"/>
      <c r="L31" s="84"/>
    </row>
    <row r="32" spans="1:32" x14ac:dyDescent="0.25">
      <c r="A32" s="63"/>
      <c r="B32" s="64"/>
      <c r="C32" s="64"/>
      <c r="D32" s="68"/>
      <c r="E32" s="68"/>
      <c r="F32" s="64"/>
      <c r="G32" s="64"/>
      <c r="H32" s="57" t="s">
        <v>118</v>
      </c>
      <c r="I32" s="64"/>
      <c r="J32" s="62"/>
      <c r="K32" s="90" t="s">
        <v>117</v>
      </c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</row>
    <row r="33" spans="1:32" x14ac:dyDescent="0.25">
      <c r="A33" s="67" t="s">
        <v>102</v>
      </c>
      <c r="B33" s="57" t="s">
        <v>17</v>
      </c>
      <c r="C33" s="57" t="s">
        <v>9</v>
      </c>
      <c r="D33" s="57" t="s">
        <v>10</v>
      </c>
      <c r="E33" s="57" t="s">
        <v>11</v>
      </c>
      <c r="F33" s="57" t="s">
        <v>110</v>
      </c>
      <c r="G33" s="58" t="s">
        <v>124</v>
      </c>
      <c r="H33" s="57" t="s">
        <v>134</v>
      </c>
      <c r="I33" s="57" t="s">
        <v>135</v>
      </c>
      <c r="J33" s="57" t="s">
        <v>136</v>
      </c>
      <c r="K33" s="57" t="s">
        <v>134</v>
      </c>
      <c r="L33" s="57" t="s">
        <v>135</v>
      </c>
      <c r="M33" s="57" t="s">
        <v>136</v>
      </c>
      <c r="N33" s="58" t="s">
        <v>129</v>
      </c>
      <c r="O33" s="89" t="s">
        <v>130</v>
      </c>
      <c r="P33" s="89" t="s">
        <v>131</v>
      </c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</row>
    <row r="34" spans="1:32" s="52" customFormat="1" x14ac:dyDescent="0.25">
      <c r="A34" s="61" t="s">
        <v>106</v>
      </c>
      <c r="B34" s="61" t="s">
        <v>98</v>
      </c>
      <c r="C34" s="69"/>
      <c r="D34" s="70"/>
      <c r="E34" s="70"/>
      <c r="F34" s="61"/>
      <c r="G34" s="77">
        <v>40848</v>
      </c>
      <c r="H34" s="61">
        <f>30*24</f>
        <v>720</v>
      </c>
      <c r="I34" s="52">
        <f>22*12</f>
        <v>264</v>
      </c>
      <c r="J34" s="52">
        <f>H34-I34</f>
        <v>456</v>
      </c>
      <c r="K34" s="61">
        <f>29*24</f>
        <v>696</v>
      </c>
      <c r="L34" s="52">
        <f>21*12</f>
        <v>252</v>
      </c>
      <c r="M34" s="52">
        <f>K34-L34</f>
        <v>444</v>
      </c>
      <c r="N34" s="85">
        <f>SUM(P2:P8)</f>
        <v>1632.5917237781468</v>
      </c>
      <c r="O34" s="85">
        <f t="shared" ref="O34:P34" si="10">SUM(Q2:Q8)</f>
        <v>588.5040808435798</v>
      </c>
      <c r="P34" s="85">
        <f t="shared" si="10"/>
        <v>1044.0876429345669</v>
      </c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</row>
    <row r="35" spans="1:32" s="54" customFormat="1" x14ac:dyDescent="0.25">
      <c r="A35" s="74" t="s">
        <v>104</v>
      </c>
      <c r="B35" s="72" t="s">
        <v>95</v>
      </c>
      <c r="C35" s="72"/>
      <c r="D35" s="73"/>
      <c r="E35" s="73"/>
      <c r="F35" s="72"/>
      <c r="G35" s="78">
        <v>40848</v>
      </c>
      <c r="H35" s="74">
        <f>30*24</f>
        <v>720</v>
      </c>
      <c r="I35" s="54">
        <f>22*12</f>
        <v>264</v>
      </c>
      <c r="J35" s="54">
        <f t="shared" ref="J35:J46" si="11">H35-I35</f>
        <v>456</v>
      </c>
      <c r="K35" s="74">
        <f>29*24</f>
        <v>696</v>
      </c>
      <c r="L35" s="54">
        <f>21*12</f>
        <v>252</v>
      </c>
      <c r="M35" s="54">
        <f t="shared" ref="M35:M46" si="12">K35-L35</f>
        <v>444</v>
      </c>
      <c r="N35" s="86">
        <f>O12*K12/N12*K35*F12</f>
        <v>6814.0660159442259</v>
      </c>
      <c r="O35" s="74">
        <f>O12*K12/N12*L35*F12</f>
        <v>2467.1618333591159</v>
      </c>
      <c r="P35" s="74">
        <f>O12*K12/N12*M35*F12</f>
        <v>4346.9041825851091</v>
      </c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</row>
    <row r="36" spans="1:32" s="54" customFormat="1" x14ac:dyDescent="0.25">
      <c r="A36" s="74"/>
      <c r="B36" s="74"/>
      <c r="C36" s="72"/>
      <c r="D36" s="73"/>
      <c r="E36" s="73"/>
      <c r="F36" s="72"/>
      <c r="G36" s="78">
        <v>40878</v>
      </c>
      <c r="H36" s="74">
        <f>31*24</f>
        <v>744</v>
      </c>
      <c r="I36" s="54">
        <f>22*12</f>
        <v>264</v>
      </c>
      <c r="J36" s="54">
        <f t="shared" si="11"/>
        <v>480</v>
      </c>
      <c r="K36" s="54">
        <f>H36</f>
        <v>744</v>
      </c>
      <c r="L36" s="54">
        <f t="shared" ref="L36:L46" si="13">I36</f>
        <v>264</v>
      </c>
      <c r="M36" s="54">
        <f t="shared" si="12"/>
        <v>480</v>
      </c>
      <c r="N36" s="86">
        <f>O12*K12/N12*K36*F12</f>
        <v>7284.0016032507247</v>
      </c>
      <c r="O36" s="74">
        <f>O12*K12/N12*L36*F12</f>
        <v>2584.6457301857408</v>
      </c>
      <c r="P36" s="74">
        <f>O12*K12/N12*M36*F12</f>
        <v>4699.3558730649838</v>
      </c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</row>
    <row r="37" spans="1:32" s="52" customFormat="1" x14ac:dyDescent="0.25">
      <c r="A37" s="61" t="s">
        <v>107</v>
      </c>
      <c r="B37" s="61" t="s">
        <v>98</v>
      </c>
      <c r="C37" s="69"/>
      <c r="D37" s="70"/>
      <c r="E37" s="70"/>
      <c r="F37" s="61"/>
      <c r="G37" s="77">
        <v>40848</v>
      </c>
      <c r="H37" s="61">
        <f>30*24</f>
        <v>720</v>
      </c>
      <c r="I37" s="52">
        <f>22*12</f>
        <v>264</v>
      </c>
      <c r="J37" s="52">
        <f t="shared" si="11"/>
        <v>456</v>
      </c>
      <c r="K37" s="61">
        <f>29*24</f>
        <v>696</v>
      </c>
      <c r="L37" s="52">
        <f t="shared" si="13"/>
        <v>264</v>
      </c>
      <c r="M37" s="52">
        <f t="shared" si="12"/>
        <v>432</v>
      </c>
      <c r="N37" s="85">
        <f>SUM(P13:P19)</f>
        <v>2117.7152387580663</v>
      </c>
      <c r="O37" s="85">
        <f t="shared" ref="O37:P37" si="14">SUM(Q13:Q19)</f>
        <v>705.83818249090893</v>
      </c>
      <c r="P37" s="85">
        <f t="shared" si="14"/>
        <v>1411.8770562671575</v>
      </c>
    </row>
    <row r="38" spans="1:32" s="54" customFormat="1" x14ac:dyDescent="0.25">
      <c r="A38" s="74" t="s">
        <v>108</v>
      </c>
      <c r="B38" s="74" t="s">
        <v>101</v>
      </c>
      <c r="C38" s="72"/>
      <c r="D38" s="73"/>
      <c r="E38" s="73"/>
      <c r="F38" s="74">
        <v>10</v>
      </c>
      <c r="G38" s="79">
        <v>40909</v>
      </c>
      <c r="H38" s="74">
        <f>31*24</f>
        <v>744</v>
      </c>
      <c r="I38" s="54">
        <f>22*12</f>
        <v>264</v>
      </c>
      <c r="J38" s="54">
        <f t="shared" si="11"/>
        <v>480</v>
      </c>
      <c r="K38" s="54">
        <f t="shared" ref="K38:K43" si="15">H38</f>
        <v>744</v>
      </c>
      <c r="L38" s="54">
        <f t="shared" si="13"/>
        <v>264</v>
      </c>
      <c r="M38" s="54">
        <f t="shared" si="12"/>
        <v>480</v>
      </c>
      <c r="N38" s="86">
        <f>$O$20*K38*$F38</f>
        <v>7007.6966012655794</v>
      </c>
      <c r="O38" s="86">
        <f t="shared" ref="O38:P40" si="16">$O$20*L38*$F38</f>
        <v>2486.602019803915</v>
      </c>
      <c r="P38" s="86">
        <f t="shared" si="16"/>
        <v>4521.0945814616643</v>
      </c>
    </row>
    <row r="39" spans="1:32" s="54" customFormat="1" x14ac:dyDescent="0.25">
      <c r="A39" s="74"/>
      <c r="B39" s="74"/>
      <c r="C39" s="72"/>
      <c r="D39" s="73"/>
      <c r="E39" s="73"/>
      <c r="F39" s="74">
        <v>11</v>
      </c>
      <c r="G39" s="79">
        <v>40940</v>
      </c>
      <c r="H39" s="74">
        <f>29*24</f>
        <v>696</v>
      </c>
      <c r="I39" s="54">
        <f>21*12</f>
        <v>252</v>
      </c>
      <c r="J39" s="54">
        <f t="shared" si="11"/>
        <v>444</v>
      </c>
      <c r="K39" s="54">
        <f t="shared" si="15"/>
        <v>696</v>
      </c>
      <c r="L39" s="54">
        <f t="shared" si="13"/>
        <v>252</v>
      </c>
      <c r="M39" s="54">
        <f t="shared" si="12"/>
        <v>444</v>
      </c>
      <c r="N39" s="86">
        <f>$O$20*K39*F39</f>
        <v>7211.1458574313538</v>
      </c>
      <c r="O39" s="86">
        <f t="shared" si="16"/>
        <v>2610.9321207941107</v>
      </c>
      <c r="P39" s="86">
        <f t="shared" si="16"/>
        <v>4600.2137366372426</v>
      </c>
    </row>
    <row r="40" spans="1:32" s="54" customFormat="1" x14ac:dyDescent="0.25">
      <c r="A40" s="74"/>
      <c r="B40" s="74"/>
      <c r="C40" s="72"/>
      <c r="D40" s="73"/>
      <c r="E40" s="73"/>
      <c r="F40" s="74">
        <v>12</v>
      </c>
      <c r="G40" s="79">
        <v>40969</v>
      </c>
      <c r="H40" s="74">
        <f>31*24-1</f>
        <v>743</v>
      </c>
      <c r="I40" s="54">
        <f>22*12</f>
        <v>264</v>
      </c>
      <c r="J40" s="54">
        <f t="shared" si="11"/>
        <v>479</v>
      </c>
      <c r="K40" s="54">
        <f t="shared" si="15"/>
        <v>743</v>
      </c>
      <c r="L40" s="54">
        <f t="shared" si="13"/>
        <v>264</v>
      </c>
      <c r="M40" s="54">
        <f t="shared" si="12"/>
        <v>479</v>
      </c>
      <c r="N40" s="86">
        <f>$O$20*K40*F40</f>
        <v>8397.9331850650415</v>
      </c>
      <c r="O40" s="86">
        <f t="shared" si="16"/>
        <v>2983.9224237646981</v>
      </c>
      <c r="P40" s="86">
        <f t="shared" si="16"/>
        <v>5414.0107613003429</v>
      </c>
    </row>
    <row r="41" spans="1:32" s="54" customFormat="1" x14ac:dyDescent="0.25">
      <c r="A41" s="74"/>
      <c r="B41" s="74"/>
      <c r="C41" s="72"/>
      <c r="D41" s="73"/>
      <c r="E41" s="73"/>
      <c r="F41" s="74">
        <v>13</v>
      </c>
      <c r="G41" s="79">
        <v>41000</v>
      </c>
      <c r="H41" s="74">
        <f>30*24</f>
        <v>720</v>
      </c>
      <c r="I41" s="54">
        <f>21*12</f>
        <v>252</v>
      </c>
      <c r="J41" s="54">
        <f t="shared" si="11"/>
        <v>468</v>
      </c>
      <c r="K41" s="54">
        <f t="shared" si="15"/>
        <v>720</v>
      </c>
      <c r="L41" s="54">
        <f t="shared" si="13"/>
        <v>252</v>
      </c>
      <c r="M41" s="54">
        <f t="shared" si="12"/>
        <v>468</v>
      </c>
      <c r="N41" s="86">
        <f>$O$21*K41*$F41</f>
        <v>7949.9698549857803</v>
      </c>
      <c r="O41" s="86">
        <f t="shared" ref="O41:P43" si="17">$O$21*L41*$F41</f>
        <v>2782.489449245023</v>
      </c>
      <c r="P41" s="86">
        <f t="shared" si="17"/>
        <v>5167.4804057407573</v>
      </c>
    </row>
    <row r="42" spans="1:32" s="54" customFormat="1" x14ac:dyDescent="0.25">
      <c r="A42" s="74"/>
      <c r="B42" s="74"/>
      <c r="C42" s="72"/>
      <c r="D42" s="73"/>
      <c r="E42" s="73"/>
      <c r="F42" s="74">
        <v>14</v>
      </c>
      <c r="G42" s="79">
        <v>41030</v>
      </c>
      <c r="H42" s="74">
        <f>31*24</f>
        <v>744</v>
      </c>
      <c r="I42" s="54">
        <f>23*12</f>
        <v>276</v>
      </c>
      <c r="J42" s="54">
        <f t="shared" si="11"/>
        <v>468</v>
      </c>
      <c r="K42" s="54">
        <f t="shared" si="15"/>
        <v>744</v>
      </c>
      <c r="L42" s="54">
        <f t="shared" si="13"/>
        <v>276</v>
      </c>
      <c r="M42" s="54">
        <f t="shared" si="12"/>
        <v>468</v>
      </c>
      <c r="N42" s="86">
        <f>$O$21*K42*F42</f>
        <v>8846.8895309328946</v>
      </c>
      <c r="O42" s="86">
        <f t="shared" si="17"/>
        <v>3281.9106324428476</v>
      </c>
      <c r="P42" s="86">
        <f t="shared" si="17"/>
        <v>5564.978898490046</v>
      </c>
    </row>
    <row r="43" spans="1:32" s="54" customFormat="1" x14ac:dyDescent="0.25">
      <c r="A43" s="74"/>
      <c r="B43" s="74"/>
      <c r="C43" s="72"/>
      <c r="D43" s="73"/>
      <c r="E43" s="73"/>
      <c r="F43" s="74">
        <v>15</v>
      </c>
      <c r="G43" s="79">
        <v>41061</v>
      </c>
      <c r="H43" s="74">
        <f>30*24</f>
        <v>720</v>
      </c>
      <c r="I43" s="54">
        <f>21*12</f>
        <v>252</v>
      </c>
      <c r="J43" s="54">
        <f t="shared" si="11"/>
        <v>468</v>
      </c>
      <c r="K43" s="54">
        <f t="shared" si="15"/>
        <v>720</v>
      </c>
      <c r="L43" s="54">
        <f t="shared" si="13"/>
        <v>252</v>
      </c>
      <c r="M43" s="54">
        <f t="shared" si="12"/>
        <v>468</v>
      </c>
      <c r="N43" s="86">
        <f>$O$21*K43*F43</f>
        <v>9173.0421403682085</v>
      </c>
      <c r="O43" s="86">
        <f t="shared" si="17"/>
        <v>3210.5647491288728</v>
      </c>
      <c r="P43" s="86">
        <f t="shared" si="17"/>
        <v>5962.4773912393357</v>
      </c>
    </row>
    <row r="44" spans="1:32" s="52" customFormat="1" x14ac:dyDescent="0.25">
      <c r="A44" s="61" t="s">
        <v>105</v>
      </c>
      <c r="B44" s="69" t="s">
        <v>96</v>
      </c>
      <c r="C44" s="69"/>
      <c r="D44" s="70"/>
      <c r="E44" s="70"/>
      <c r="F44" s="69">
        <v>10</v>
      </c>
      <c r="G44" s="77">
        <v>40848</v>
      </c>
      <c r="H44" s="61">
        <f t="shared" ref="H44:I46" si="18">22*12</f>
        <v>264</v>
      </c>
      <c r="I44" s="52">
        <f t="shared" si="18"/>
        <v>264</v>
      </c>
      <c r="J44" s="52">
        <f t="shared" si="11"/>
        <v>0</v>
      </c>
      <c r="K44" s="61">
        <f>21*12</f>
        <v>252</v>
      </c>
      <c r="L44" s="61">
        <f>21*12</f>
        <v>252</v>
      </c>
      <c r="M44" s="52">
        <f t="shared" si="12"/>
        <v>0</v>
      </c>
      <c r="N44" s="85">
        <f>SUM(P22:P26)</f>
        <v>585.39490263883522</v>
      </c>
      <c r="O44" s="85">
        <f t="shared" ref="O44:P44" si="19">SUM(Q22:Q26)</f>
        <v>585.39490263883522</v>
      </c>
      <c r="P44" s="85">
        <f t="shared" si="19"/>
        <v>0</v>
      </c>
    </row>
    <row r="45" spans="1:32" s="54" customFormat="1" x14ac:dyDescent="0.25">
      <c r="A45" s="74" t="s">
        <v>103</v>
      </c>
      <c r="B45" s="72" t="s">
        <v>83</v>
      </c>
      <c r="C45" s="72"/>
      <c r="D45" s="73"/>
      <c r="E45" s="73"/>
      <c r="F45" s="72">
        <v>10</v>
      </c>
      <c r="G45" s="78">
        <v>40848</v>
      </c>
      <c r="H45" s="74">
        <f t="shared" si="18"/>
        <v>264</v>
      </c>
      <c r="I45" s="54">
        <f t="shared" si="18"/>
        <v>264</v>
      </c>
      <c r="J45" s="54">
        <f t="shared" si="11"/>
        <v>0</v>
      </c>
      <c r="K45" s="74">
        <f>21*12</f>
        <v>252</v>
      </c>
      <c r="L45" s="54">
        <f>21*12</f>
        <v>252</v>
      </c>
      <c r="M45" s="54">
        <f t="shared" si="12"/>
        <v>0</v>
      </c>
      <c r="N45" s="86">
        <f>O30*K30/N30*K45*F45</f>
        <v>2490.2810873263647</v>
      </c>
      <c r="O45" s="54">
        <f>O30*K30/N30*L45*F45</f>
        <v>2490.2810873263647</v>
      </c>
      <c r="P45" s="54">
        <f>O30*K30/N30*M45*F45</f>
        <v>0</v>
      </c>
    </row>
    <row r="46" spans="1:32" s="54" customFormat="1" x14ac:dyDescent="0.25">
      <c r="A46" s="74"/>
      <c r="B46" s="72"/>
      <c r="C46" s="72"/>
      <c r="D46" s="73"/>
      <c r="E46" s="73"/>
      <c r="F46" s="72">
        <v>10</v>
      </c>
      <c r="G46" s="78">
        <v>40878</v>
      </c>
      <c r="H46" s="74">
        <f t="shared" si="18"/>
        <v>264</v>
      </c>
      <c r="I46" s="54">
        <f t="shared" si="18"/>
        <v>264</v>
      </c>
      <c r="J46" s="54">
        <f t="shared" si="11"/>
        <v>0</v>
      </c>
      <c r="K46" s="54">
        <f>H46</f>
        <v>264</v>
      </c>
      <c r="L46" s="54">
        <f t="shared" si="13"/>
        <v>264</v>
      </c>
      <c r="M46" s="54">
        <f t="shared" si="12"/>
        <v>0</v>
      </c>
      <c r="N46" s="86">
        <f>O30*K30/N30*K46*F46</f>
        <v>2608.865901008573</v>
      </c>
      <c r="O46" s="54">
        <f>O30*K30/N30*L46*F46</f>
        <v>2608.865901008573</v>
      </c>
      <c r="P46" s="54">
        <f>O30*K30/N30*M46*F46</f>
        <v>0</v>
      </c>
    </row>
    <row r="47" spans="1:32" s="19" customFormat="1" x14ac:dyDescent="0.25">
      <c r="A47" s="80"/>
      <c r="B47" s="81"/>
      <c r="C47" s="81"/>
      <c r="D47" s="82"/>
      <c r="E47" s="82"/>
      <c r="F47" s="81"/>
      <c r="G47" s="81"/>
      <c r="H47" s="81"/>
      <c r="I47" s="80"/>
      <c r="J47" s="83"/>
      <c r="K47" s="80"/>
      <c r="L47" s="80"/>
      <c r="M47" s="80"/>
      <c r="N47" s="80"/>
      <c r="O47" s="84"/>
    </row>
    <row r="48" spans="1:32" x14ac:dyDescent="0.25">
      <c r="A48" s="63"/>
      <c r="B48" s="63"/>
      <c r="C48" s="63"/>
      <c r="D48" s="63"/>
      <c r="E48" s="63"/>
      <c r="F48" s="64"/>
      <c r="G48" s="64"/>
      <c r="H48" s="64"/>
      <c r="I48" s="64"/>
      <c r="L48" s="59" t="s">
        <v>127</v>
      </c>
      <c r="M48" s="59" t="s">
        <v>126</v>
      </c>
      <c r="N48" s="90" t="s">
        <v>134</v>
      </c>
      <c r="O48" s="67" t="s">
        <v>135</v>
      </c>
      <c r="P48" s="67" t="s">
        <v>136</v>
      </c>
    </row>
    <row r="49" spans="1:16" x14ac:dyDescent="0.25">
      <c r="A49" s="63"/>
      <c r="B49" s="63"/>
      <c r="C49" s="63"/>
      <c r="D49" s="63"/>
      <c r="E49" s="63"/>
      <c r="F49" s="63"/>
      <c r="G49" s="63"/>
      <c r="H49" s="63"/>
      <c r="I49" s="63" t="s">
        <v>121</v>
      </c>
      <c r="J49" s="59">
        <f>92*24+1</f>
        <v>2209</v>
      </c>
      <c r="K49" s="66">
        <v>40848</v>
      </c>
      <c r="L49" s="59">
        <f>29*24</f>
        <v>696</v>
      </c>
      <c r="M49" s="59">
        <f>30*24</f>
        <v>720</v>
      </c>
      <c r="N49" s="91">
        <f>N34+N35+N37+N44+N45</f>
        <v>13640.048968445639</v>
      </c>
      <c r="O49" s="91">
        <f>O34+O35+O37+O44+O45</f>
        <v>6837.1800866588037</v>
      </c>
      <c r="P49" s="91">
        <f>P34+P35+P37+P44+P45</f>
        <v>6802.8688817868333</v>
      </c>
    </row>
    <row r="50" spans="1:16" x14ac:dyDescent="0.25">
      <c r="A50" s="59"/>
      <c r="B50" s="59"/>
      <c r="C50" s="59"/>
      <c r="D50" s="59"/>
      <c r="E50" s="59"/>
      <c r="F50" s="59"/>
      <c r="G50" s="59"/>
      <c r="H50" s="59"/>
      <c r="I50" s="65" t="s">
        <v>122</v>
      </c>
      <c r="J50" s="53">
        <f>91*24-1</f>
        <v>2183</v>
      </c>
      <c r="K50" s="66">
        <v>40878</v>
      </c>
      <c r="L50" s="59">
        <f>M50</f>
        <v>744</v>
      </c>
      <c r="M50" s="59">
        <f>31*24</f>
        <v>744</v>
      </c>
      <c r="N50" s="91">
        <f>N36+N46</f>
        <v>9892.8675042592986</v>
      </c>
      <c r="O50" s="91">
        <f>O36+O46</f>
        <v>5193.5116311943138</v>
      </c>
      <c r="P50" s="91">
        <f>P36+P46</f>
        <v>4699.3558730649838</v>
      </c>
    </row>
    <row r="51" spans="1:16" x14ac:dyDescent="0.25">
      <c r="A51" s="59"/>
      <c r="B51" s="59"/>
      <c r="C51" s="59"/>
      <c r="D51" s="59"/>
      <c r="E51" s="59"/>
      <c r="F51" s="59"/>
      <c r="G51" s="59"/>
      <c r="H51" s="59"/>
      <c r="I51" s="65" t="s">
        <v>123</v>
      </c>
      <c r="J51" s="59">
        <f>91*24</f>
        <v>2184</v>
      </c>
      <c r="K51" s="66">
        <v>40909</v>
      </c>
      <c r="L51" s="59">
        <f t="shared" ref="L51:L56" si="20">M51</f>
        <v>744</v>
      </c>
      <c r="M51" s="59">
        <f>31*24</f>
        <v>744</v>
      </c>
      <c r="N51" s="91">
        <f t="shared" ref="N51:P56" si="21">N38</f>
        <v>7007.6966012655794</v>
      </c>
      <c r="O51" s="91">
        <f t="shared" si="21"/>
        <v>2486.602019803915</v>
      </c>
      <c r="P51" s="91">
        <f t="shared" si="21"/>
        <v>4521.0945814616643</v>
      </c>
    </row>
    <row r="52" spans="1:16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65"/>
      <c r="K52" s="66">
        <v>40940</v>
      </c>
      <c r="L52" s="59">
        <f t="shared" si="20"/>
        <v>696</v>
      </c>
      <c r="M52" s="59">
        <f>29*24</f>
        <v>696</v>
      </c>
      <c r="N52" s="91">
        <f t="shared" si="21"/>
        <v>7211.1458574313538</v>
      </c>
      <c r="O52" s="91">
        <f t="shared" si="21"/>
        <v>2610.9321207941107</v>
      </c>
      <c r="P52" s="91">
        <f t="shared" si="21"/>
        <v>4600.2137366372426</v>
      </c>
    </row>
    <row r="53" spans="1:16" x14ac:dyDescent="0.25">
      <c r="I53" s="59"/>
      <c r="J53" s="65"/>
      <c r="K53" s="66">
        <v>40969</v>
      </c>
      <c r="L53" s="59">
        <f t="shared" si="20"/>
        <v>743</v>
      </c>
      <c r="M53" s="59">
        <f>31*24-1</f>
        <v>743</v>
      </c>
      <c r="N53" s="91">
        <f t="shared" si="21"/>
        <v>8397.9331850650415</v>
      </c>
      <c r="O53" s="91">
        <f t="shared" si="21"/>
        <v>2983.9224237646981</v>
      </c>
      <c r="P53" s="91">
        <f t="shared" si="21"/>
        <v>5414.0107613003429</v>
      </c>
    </row>
    <row r="54" spans="1:16" x14ac:dyDescent="0.25">
      <c r="I54" s="59"/>
      <c r="J54" s="65"/>
      <c r="K54" s="66">
        <v>41000</v>
      </c>
      <c r="L54" s="59">
        <f t="shared" si="20"/>
        <v>720</v>
      </c>
      <c r="M54" s="59">
        <f>30*24</f>
        <v>720</v>
      </c>
      <c r="N54" s="91">
        <f t="shared" si="21"/>
        <v>7949.9698549857803</v>
      </c>
      <c r="O54" s="91">
        <f t="shared" si="21"/>
        <v>2782.489449245023</v>
      </c>
      <c r="P54" s="91">
        <f t="shared" si="21"/>
        <v>5167.4804057407573</v>
      </c>
    </row>
    <row r="55" spans="1:16" x14ac:dyDescent="0.25">
      <c r="I55" s="59"/>
      <c r="J55" s="65"/>
      <c r="K55" s="66">
        <v>41030</v>
      </c>
      <c r="L55" s="59">
        <f t="shared" si="20"/>
        <v>744</v>
      </c>
      <c r="M55" s="59">
        <f>31*24</f>
        <v>744</v>
      </c>
      <c r="N55" s="91">
        <f t="shared" si="21"/>
        <v>8846.8895309328946</v>
      </c>
      <c r="O55" s="91">
        <f t="shared" si="21"/>
        <v>3281.9106324428476</v>
      </c>
      <c r="P55" s="91">
        <f t="shared" si="21"/>
        <v>5564.978898490046</v>
      </c>
    </row>
    <row r="56" spans="1:16" x14ac:dyDescent="0.25">
      <c r="I56" s="59"/>
      <c r="J56" s="65"/>
      <c r="K56" s="66">
        <v>41061</v>
      </c>
      <c r="L56" s="59">
        <f t="shared" si="20"/>
        <v>720</v>
      </c>
      <c r="M56" s="59">
        <f>30*24</f>
        <v>720</v>
      </c>
      <c r="N56" s="91">
        <f t="shared" si="21"/>
        <v>9173.0421403682085</v>
      </c>
      <c r="O56" s="91">
        <f t="shared" si="21"/>
        <v>3210.5647491288728</v>
      </c>
      <c r="P56" s="91">
        <f t="shared" si="21"/>
        <v>5962.4773912393357</v>
      </c>
    </row>
    <row r="57" spans="1:16" x14ac:dyDescent="0.25">
      <c r="I57" s="59"/>
      <c r="J57" s="65"/>
      <c r="K57" s="59"/>
      <c r="L57" s="59"/>
      <c r="M57" s="59"/>
      <c r="N57" s="59"/>
      <c r="O57" s="59"/>
    </row>
    <row r="58" spans="1:16" x14ac:dyDescent="0.25">
      <c r="J58" s="50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workbookViewId="0">
      <selection activeCell="P40" sqref="P40"/>
    </sheetView>
  </sheetViews>
  <sheetFormatPr defaultRowHeight="15" x14ac:dyDescent="0.25"/>
  <cols>
    <col min="1" max="1" width="34.28515625" bestFit="1" customWidth="1"/>
    <col min="2" max="2" width="37.5703125" bestFit="1" customWidth="1"/>
    <col min="4" max="5" width="10.140625" bestFit="1" customWidth="1"/>
    <col min="10" max="10" width="25.140625" bestFit="1" customWidth="1"/>
    <col min="11" max="12" width="12" bestFit="1" customWidth="1"/>
    <col min="13" max="13" width="15.42578125" bestFit="1" customWidth="1"/>
    <col min="14" max="14" width="12" bestFit="1" customWidth="1"/>
  </cols>
  <sheetData>
    <row r="1" spans="1:15" s="47" customFormat="1" x14ac:dyDescent="0.25">
      <c r="A1" s="67" t="s">
        <v>102</v>
      </c>
      <c r="B1" s="57" t="s">
        <v>17</v>
      </c>
      <c r="C1" s="57" t="s">
        <v>9</v>
      </c>
      <c r="D1" s="57" t="s">
        <v>10</v>
      </c>
      <c r="E1" s="57" t="s">
        <v>11</v>
      </c>
      <c r="F1" s="57" t="s">
        <v>110</v>
      </c>
      <c r="G1" s="57" t="s">
        <v>118</v>
      </c>
      <c r="H1" s="57" t="s">
        <v>117</v>
      </c>
      <c r="I1" s="57" t="s">
        <v>119</v>
      </c>
      <c r="J1" s="57" t="s">
        <v>120</v>
      </c>
      <c r="K1" s="58" t="s">
        <v>109</v>
      </c>
      <c r="L1" s="58" t="s">
        <v>111</v>
      </c>
      <c r="M1" s="47" t="s">
        <v>85</v>
      </c>
      <c r="N1" s="47" t="s">
        <v>82</v>
      </c>
    </row>
    <row r="2" spans="1:15" s="52" customFormat="1" x14ac:dyDescent="0.25">
      <c r="A2" s="61" t="s">
        <v>106</v>
      </c>
      <c r="B2" s="61" t="s">
        <v>98</v>
      </c>
      <c r="C2" s="69" t="s">
        <v>86</v>
      </c>
      <c r="D2" s="70">
        <v>40868</v>
      </c>
      <c r="E2" s="70">
        <v>40868</v>
      </c>
      <c r="F2" s="61">
        <v>10</v>
      </c>
      <c r="G2" s="61">
        <v>24</v>
      </c>
      <c r="H2" s="61">
        <v>24</v>
      </c>
      <c r="I2" s="61">
        <f>G2*F2</f>
        <v>240</v>
      </c>
      <c r="J2" s="71">
        <f t="shared" ref="J2:J24" si="0">F2*H2</f>
        <v>240</v>
      </c>
      <c r="K2" s="61">
        <v>0.98504416121263205</v>
      </c>
      <c r="L2" s="52">
        <f t="shared" ref="L2:L24" si="1">K2*I2</f>
        <v>236.41059869103168</v>
      </c>
      <c r="M2" s="52">
        <v>47.548211301812493</v>
      </c>
      <c r="N2" s="52">
        <v>30</v>
      </c>
      <c r="O2" s="52">
        <f>(M2-N2)*L2</f>
        <v>4148.5831398182199</v>
      </c>
    </row>
    <row r="3" spans="1:15" s="52" customFormat="1" x14ac:dyDescent="0.25">
      <c r="A3" s="61"/>
      <c r="B3" s="61" t="s">
        <v>98</v>
      </c>
      <c r="C3" s="69" t="s">
        <v>87</v>
      </c>
      <c r="D3" s="70">
        <v>40869</v>
      </c>
      <c r="E3" s="70">
        <v>40869</v>
      </c>
      <c r="F3" s="61">
        <v>10</v>
      </c>
      <c r="G3" s="61">
        <v>24</v>
      </c>
      <c r="H3" s="61">
        <v>24</v>
      </c>
      <c r="I3" s="61">
        <f t="shared" ref="I3:I24" si="2">G3*F3</f>
        <v>240</v>
      </c>
      <c r="J3" s="71">
        <f t="shared" si="0"/>
        <v>240</v>
      </c>
      <c r="K3" s="61">
        <v>0.98396956123715296</v>
      </c>
      <c r="L3" s="52">
        <f t="shared" si="1"/>
        <v>236.15269469691671</v>
      </c>
      <c r="M3" s="52">
        <v>47.62922901418586</v>
      </c>
      <c r="N3" s="52">
        <v>30</v>
      </c>
      <c r="O3" s="52">
        <f t="shared" ref="O3:O35" si="3">(M3-N3)*L3</f>
        <v>4163.1899371290592</v>
      </c>
    </row>
    <row r="4" spans="1:15" s="52" customFormat="1" x14ac:dyDescent="0.25">
      <c r="A4" s="61"/>
      <c r="B4" s="61" t="s">
        <v>98</v>
      </c>
      <c r="C4" s="69" t="s">
        <v>88</v>
      </c>
      <c r="D4" s="70">
        <v>40870</v>
      </c>
      <c r="E4" s="70">
        <v>40870</v>
      </c>
      <c r="F4" s="61">
        <v>10</v>
      </c>
      <c r="G4" s="61">
        <v>24</v>
      </c>
      <c r="H4" s="61">
        <v>24</v>
      </c>
      <c r="I4" s="61">
        <f t="shared" si="2"/>
        <v>240</v>
      </c>
      <c r="J4" s="71">
        <f t="shared" si="0"/>
        <v>240</v>
      </c>
      <c r="K4" s="61">
        <v>0.98393447796516398</v>
      </c>
      <c r="L4" s="52">
        <f t="shared" si="1"/>
        <v>236.14427471163935</v>
      </c>
      <c r="M4" s="52">
        <v>47.988364604376933</v>
      </c>
      <c r="N4" s="52">
        <v>30</v>
      </c>
      <c r="O4" s="52">
        <f t="shared" si="3"/>
        <v>4247.8493127491165</v>
      </c>
    </row>
    <row r="5" spans="1:15" s="52" customFormat="1" x14ac:dyDescent="0.25">
      <c r="A5" s="61"/>
      <c r="B5" s="61" t="s">
        <v>98</v>
      </c>
      <c r="C5" s="69" t="s">
        <v>89</v>
      </c>
      <c r="D5" s="70">
        <v>40871</v>
      </c>
      <c r="E5" s="70">
        <v>40871</v>
      </c>
      <c r="F5" s="61">
        <v>10</v>
      </c>
      <c r="G5" s="61">
        <v>24</v>
      </c>
      <c r="H5" s="61">
        <v>24</v>
      </c>
      <c r="I5" s="61">
        <f t="shared" si="2"/>
        <v>240</v>
      </c>
      <c r="J5" s="71">
        <f t="shared" si="0"/>
        <v>240</v>
      </c>
      <c r="K5" s="61">
        <v>0.97900660634958103</v>
      </c>
      <c r="L5" s="52">
        <f t="shared" si="1"/>
        <v>234.96158552389946</v>
      </c>
      <c r="M5" s="52">
        <v>47.082200709224942</v>
      </c>
      <c r="N5" s="52">
        <v>30</v>
      </c>
      <c r="O5" s="52">
        <f t="shared" si="3"/>
        <v>4013.660962876972</v>
      </c>
    </row>
    <row r="6" spans="1:15" s="52" customFormat="1" x14ac:dyDescent="0.25">
      <c r="A6" s="61"/>
      <c r="B6" s="61" t="s">
        <v>98</v>
      </c>
      <c r="C6" s="69" t="s">
        <v>97</v>
      </c>
      <c r="D6" s="70">
        <v>40872</v>
      </c>
      <c r="E6" s="70">
        <v>40872</v>
      </c>
      <c r="F6" s="61">
        <v>10</v>
      </c>
      <c r="G6" s="61">
        <v>24</v>
      </c>
      <c r="H6" s="61">
        <v>24</v>
      </c>
      <c r="I6" s="61">
        <f t="shared" si="2"/>
        <v>240</v>
      </c>
      <c r="J6" s="71">
        <f t="shared" si="0"/>
        <v>240</v>
      </c>
      <c r="K6" s="61">
        <v>0.97224586693196802</v>
      </c>
      <c r="L6" s="52">
        <f t="shared" si="1"/>
        <v>233.33900806367234</v>
      </c>
      <c r="M6" s="52">
        <v>46.041626957170202</v>
      </c>
      <c r="N6" s="52">
        <v>30</v>
      </c>
      <c r="O6" s="52">
        <f t="shared" si="3"/>
        <v>3743.1373219135612</v>
      </c>
    </row>
    <row r="7" spans="1:15" s="52" customFormat="1" x14ac:dyDescent="0.25">
      <c r="A7" s="61"/>
      <c r="B7" s="61" t="s">
        <v>98</v>
      </c>
      <c r="C7" s="69" t="s">
        <v>99</v>
      </c>
      <c r="D7" s="70">
        <v>40873</v>
      </c>
      <c r="E7" s="70">
        <v>40873</v>
      </c>
      <c r="F7" s="61">
        <v>10</v>
      </c>
      <c r="G7" s="61">
        <v>24</v>
      </c>
      <c r="H7" s="61">
        <v>24</v>
      </c>
      <c r="I7" s="61">
        <f t="shared" si="2"/>
        <v>240</v>
      </c>
      <c r="J7" s="71">
        <f t="shared" si="0"/>
        <v>240</v>
      </c>
      <c r="K7" s="61">
        <v>0.95395106538878804</v>
      </c>
      <c r="L7" s="52">
        <f t="shared" si="1"/>
        <v>228.94825569330914</v>
      </c>
      <c r="M7" s="52">
        <v>43.769798490252079</v>
      </c>
      <c r="N7" s="52">
        <v>30</v>
      </c>
      <c r="O7" s="52">
        <f t="shared" si="3"/>
        <v>3152.5713455915752</v>
      </c>
    </row>
    <row r="8" spans="1:15" s="52" customFormat="1" x14ac:dyDescent="0.25">
      <c r="A8" s="61"/>
      <c r="B8" s="61" t="s">
        <v>98</v>
      </c>
      <c r="C8" s="69" t="s">
        <v>100</v>
      </c>
      <c r="D8" s="70">
        <v>40874</v>
      </c>
      <c r="E8" s="70">
        <v>40874</v>
      </c>
      <c r="F8" s="61">
        <v>10</v>
      </c>
      <c r="G8" s="61">
        <v>24</v>
      </c>
      <c r="H8" s="61">
        <v>24</v>
      </c>
      <c r="I8" s="61">
        <f t="shared" si="2"/>
        <v>240</v>
      </c>
      <c r="J8" s="71">
        <f t="shared" si="0"/>
        <v>240</v>
      </c>
      <c r="K8" s="61">
        <v>0.94431377665699201</v>
      </c>
      <c r="L8" s="52">
        <f t="shared" si="1"/>
        <v>226.63530639767808</v>
      </c>
      <c r="M8" s="52">
        <v>42.990568922977531</v>
      </c>
      <c r="N8" s="52">
        <v>30</v>
      </c>
      <c r="O8" s="52">
        <f t="shared" si="3"/>
        <v>2944.1215681391677</v>
      </c>
    </row>
    <row r="9" spans="1:15" s="52" customFormat="1" x14ac:dyDescent="0.25">
      <c r="A9" s="61"/>
      <c r="B9" s="61"/>
      <c r="C9" s="69"/>
      <c r="D9" s="70"/>
      <c r="E9" s="70"/>
      <c r="F9" s="61"/>
      <c r="G9" s="61"/>
      <c r="H9" s="61"/>
      <c r="I9" s="61"/>
      <c r="J9" s="71"/>
      <c r="K9" s="61"/>
      <c r="O9" s="52">
        <f t="shared" si="3"/>
        <v>0</v>
      </c>
    </row>
    <row r="10" spans="1:15" s="54" customFormat="1" x14ac:dyDescent="0.25">
      <c r="A10" s="74" t="s">
        <v>104</v>
      </c>
      <c r="B10" s="72" t="s">
        <v>95</v>
      </c>
      <c r="C10" s="72" t="s">
        <v>86</v>
      </c>
      <c r="D10" s="73">
        <v>40544</v>
      </c>
      <c r="E10" s="73">
        <v>40633</v>
      </c>
      <c r="F10" s="72">
        <v>10</v>
      </c>
      <c r="G10" s="72">
        <v>0</v>
      </c>
      <c r="H10" s="72">
        <v>0</v>
      </c>
      <c r="I10" s="74">
        <f t="shared" si="2"/>
        <v>0</v>
      </c>
      <c r="J10" s="75">
        <f t="shared" si="0"/>
        <v>0</v>
      </c>
      <c r="K10" s="74">
        <v>0</v>
      </c>
      <c r="L10" s="54">
        <f t="shared" si="1"/>
        <v>0</v>
      </c>
      <c r="M10" s="54">
        <v>0</v>
      </c>
      <c r="N10" s="54" t="e">
        <v>#DIV/0!</v>
      </c>
    </row>
    <row r="11" spans="1:15" s="54" customFormat="1" x14ac:dyDescent="0.25">
      <c r="A11" s="74"/>
      <c r="B11" s="74" t="s">
        <v>95</v>
      </c>
      <c r="C11" s="72" t="s">
        <v>87</v>
      </c>
      <c r="D11" s="73">
        <v>40634</v>
      </c>
      <c r="E11" s="73">
        <v>40724</v>
      </c>
      <c r="F11" s="72">
        <v>10</v>
      </c>
      <c r="G11" s="72">
        <v>0</v>
      </c>
      <c r="H11" s="72">
        <v>0</v>
      </c>
      <c r="I11" s="74">
        <f t="shared" si="2"/>
        <v>0</v>
      </c>
      <c r="J11" s="75">
        <f t="shared" si="0"/>
        <v>0</v>
      </c>
      <c r="K11" s="74">
        <v>0</v>
      </c>
      <c r="L11" s="54">
        <f t="shared" si="1"/>
        <v>0</v>
      </c>
      <c r="M11" s="54">
        <v>0</v>
      </c>
      <c r="N11" s="54" t="e">
        <v>#DIV/0!</v>
      </c>
    </row>
    <row r="12" spans="1:15" s="54" customFormat="1" x14ac:dyDescent="0.25">
      <c r="A12" s="74"/>
      <c r="B12" s="74" t="s">
        <v>95</v>
      </c>
      <c r="C12" s="72" t="s">
        <v>88</v>
      </c>
      <c r="D12" s="73">
        <v>40725</v>
      </c>
      <c r="E12" s="73">
        <v>40816</v>
      </c>
      <c r="F12" s="74">
        <v>10</v>
      </c>
      <c r="G12" s="74">
        <v>0</v>
      </c>
      <c r="H12" s="74">
        <v>0</v>
      </c>
      <c r="I12" s="74">
        <f t="shared" si="2"/>
        <v>0</v>
      </c>
      <c r="J12" s="75">
        <f t="shared" si="0"/>
        <v>0</v>
      </c>
      <c r="K12" s="74">
        <v>0</v>
      </c>
      <c r="L12" s="54">
        <f t="shared" si="1"/>
        <v>0</v>
      </c>
      <c r="M12" s="54">
        <v>0</v>
      </c>
      <c r="N12" s="54" t="e">
        <v>#DIV/0!</v>
      </c>
    </row>
    <row r="13" spans="1:15" s="54" customFormat="1" x14ac:dyDescent="0.25">
      <c r="A13" s="74"/>
      <c r="B13" s="74" t="s">
        <v>95</v>
      </c>
      <c r="C13" s="72" t="s">
        <v>89</v>
      </c>
      <c r="D13" s="73">
        <v>40817</v>
      </c>
      <c r="E13" s="73">
        <v>40908</v>
      </c>
      <c r="F13" s="74">
        <v>10</v>
      </c>
      <c r="G13" s="74">
        <f>92*24+1</f>
        <v>2209</v>
      </c>
      <c r="H13" s="74">
        <f>60*24</f>
        <v>1440</v>
      </c>
      <c r="I13" s="74">
        <f t="shared" si="2"/>
        <v>22090</v>
      </c>
      <c r="J13" s="75">
        <f t="shared" si="0"/>
        <v>14400</v>
      </c>
      <c r="K13" s="74">
        <v>0.638210394712311</v>
      </c>
      <c r="L13" s="54">
        <f t="shared" si="1"/>
        <v>14098.06761919495</v>
      </c>
      <c r="M13" s="54">
        <v>45.567444154755101</v>
      </c>
      <c r="N13" s="54">
        <v>30.887423611111114</v>
      </c>
      <c r="O13" s="54">
        <f t="shared" si="3"/>
        <v>206959.92227546393</v>
      </c>
    </row>
    <row r="14" spans="1:15" s="54" customFormat="1" x14ac:dyDescent="0.25">
      <c r="A14" s="74"/>
      <c r="B14" s="74"/>
      <c r="C14" s="72"/>
      <c r="D14" s="73"/>
      <c r="E14" s="73"/>
      <c r="F14" s="74"/>
      <c r="G14" s="74"/>
      <c r="H14" s="74"/>
      <c r="I14" s="74"/>
      <c r="J14" s="75"/>
      <c r="K14" s="74"/>
      <c r="O14" s="54">
        <f t="shared" si="3"/>
        <v>0</v>
      </c>
    </row>
    <row r="15" spans="1:15" s="52" customFormat="1" x14ac:dyDescent="0.25">
      <c r="A15" s="61" t="s">
        <v>107</v>
      </c>
      <c r="B15" s="61" t="s">
        <v>98</v>
      </c>
      <c r="C15" s="69" t="s">
        <v>86</v>
      </c>
      <c r="D15" s="70">
        <v>40868</v>
      </c>
      <c r="E15" s="70">
        <v>40868</v>
      </c>
      <c r="F15" s="61">
        <v>10</v>
      </c>
      <c r="G15" s="61">
        <v>24</v>
      </c>
      <c r="H15" s="61">
        <v>24</v>
      </c>
      <c r="I15" s="61">
        <f t="shared" si="2"/>
        <v>240</v>
      </c>
      <c r="J15" s="71">
        <f t="shared" si="0"/>
        <v>240</v>
      </c>
      <c r="K15" s="61">
        <v>0.98504416121263205</v>
      </c>
      <c r="L15" s="52">
        <f t="shared" si="1"/>
        <v>236.41059869103168</v>
      </c>
      <c r="M15" s="52">
        <v>47.548211301812493</v>
      </c>
      <c r="N15" s="52">
        <v>30</v>
      </c>
      <c r="O15" s="52">
        <f t="shared" si="3"/>
        <v>4148.5831398182199</v>
      </c>
    </row>
    <row r="16" spans="1:15" s="52" customFormat="1" x14ac:dyDescent="0.25">
      <c r="A16" s="61"/>
      <c r="B16" s="61" t="s">
        <v>98</v>
      </c>
      <c r="C16" s="69" t="s">
        <v>87</v>
      </c>
      <c r="D16" s="70">
        <v>40869</v>
      </c>
      <c r="E16" s="70">
        <v>40869</v>
      </c>
      <c r="F16" s="61">
        <v>11</v>
      </c>
      <c r="G16" s="61">
        <v>24</v>
      </c>
      <c r="H16" s="61">
        <v>24</v>
      </c>
      <c r="I16" s="61">
        <f t="shared" si="2"/>
        <v>264</v>
      </c>
      <c r="J16" s="71">
        <f t="shared" si="0"/>
        <v>264</v>
      </c>
      <c r="K16" s="61">
        <v>0.98396956123715296</v>
      </c>
      <c r="L16" s="52">
        <f t="shared" si="1"/>
        <v>259.76796416660841</v>
      </c>
      <c r="M16" s="52">
        <v>47.62922901418586</v>
      </c>
      <c r="N16" s="52">
        <v>30</v>
      </c>
      <c r="O16" s="52">
        <f t="shared" si="3"/>
        <v>4579.5089308419656</v>
      </c>
    </row>
    <row r="17" spans="1:15" s="52" customFormat="1" x14ac:dyDescent="0.25">
      <c r="A17" s="61"/>
      <c r="B17" s="61" t="s">
        <v>98</v>
      </c>
      <c r="C17" s="69" t="s">
        <v>88</v>
      </c>
      <c r="D17" s="70">
        <v>40870</v>
      </c>
      <c r="E17" s="70">
        <v>40870</v>
      </c>
      <c r="F17" s="61">
        <v>12</v>
      </c>
      <c r="G17" s="61">
        <v>24</v>
      </c>
      <c r="H17" s="61">
        <v>24</v>
      </c>
      <c r="I17" s="61">
        <f t="shared" si="2"/>
        <v>288</v>
      </c>
      <c r="J17" s="71">
        <f t="shared" si="0"/>
        <v>288</v>
      </c>
      <c r="K17" s="61">
        <v>0.98393447796516398</v>
      </c>
      <c r="L17" s="52">
        <f t="shared" si="1"/>
        <v>283.37312965396723</v>
      </c>
      <c r="M17" s="52">
        <v>47.988364604376933</v>
      </c>
      <c r="N17" s="52">
        <v>30</v>
      </c>
      <c r="O17" s="52">
        <f t="shared" si="3"/>
        <v>5097.41917529894</v>
      </c>
    </row>
    <row r="18" spans="1:15" s="52" customFormat="1" x14ac:dyDescent="0.25">
      <c r="A18" s="61"/>
      <c r="B18" s="61" t="s">
        <v>98</v>
      </c>
      <c r="C18" s="69" t="s">
        <v>89</v>
      </c>
      <c r="D18" s="70">
        <v>40871</v>
      </c>
      <c r="E18" s="70">
        <v>40871</v>
      </c>
      <c r="F18" s="61">
        <v>13</v>
      </c>
      <c r="G18" s="61">
        <v>24</v>
      </c>
      <c r="H18" s="61">
        <v>24</v>
      </c>
      <c r="I18" s="61">
        <f t="shared" si="2"/>
        <v>312</v>
      </c>
      <c r="J18" s="71">
        <f t="shared" si="0"/>
        <v>312</v>
      </c>
      <c r="K18" s="61">
        <v>0.97900660634958103</v>
      </c>
      <c r="L18" s="52">
        <f t="shared" si="1"/>
        <v>305.45006118106926</v>
      </c>
      <c r="M18" s="52">
        <v>47.082200709224942</v>
      </c>
      <c r="N18" s="52">
        <v>30</v>
      </c>
      <c r="O18" s="52">
        <f t="shared" si="3"/>
        <v>5217.7592517400635</v>
      </c>
    </row>
    <row r="19" spans="1:15" s="52" customFormat="1" x14ac:dyDescent="0.25">
      <c r="A19" s="61"/>
      <c r="B19" s="61" t="s">
        <v>98</v>
      </c>
      <c r="C19" s="69" t="s">
        <v>97</v>
      </c>
      <c r="D19" s="70">
        <v>40872</v>
      </c>
      <c r="E19" s="70">
        <v>40872</v>
      </c>
      <c r="F19" s="61">
        <v>14</v>
      </c>
      <c r="G19" s="61">
        <v>24</v>
      </c>
      <c r="H19" s="61">
        <v>24</v>
      </c>
      <c r="I19" s="61">
        <f t="shared" si="2"/>
        <v>336</v>
      </c>
      <c r="J19" s="71">
        <f t="shared" si="0"/>
        <v>336</v>
      </c>
      <c r="K19" s="61">
        <v>0.97224586693196802</v>
      </c>
      <c r="L19" s="52">
        <f t="shared" si="1"/>
        <v>326.67461128914124</v>
      </c>
      <c r="M19" s="52">
        <v>46.041626957170202</v>
      </c>
      <c r="N19" s="52">
        <v>30</v>
      </c>
      <c r="O19" s="52">
        <f t="shared" si="3"/>
        <v>5240.392250678985</v>
      </c>
    </row>
    <row r="20" spans="1:15" s="52" customFormat="1" x14ac:dyDescent="0.25">
      <c r="A20" s="61"/>
      <c r="B20" s="61" t="s">
        <v>98</v>
      </c>
      <c r="C20" s="69" t="s">
        <v>99</v>
      </c>
      <c r="D20" s="70">
        <v>40873</v>
      </c>
      <c r="E20" s="70">
        <v>40873</v>
      </c>
      <c r="F20" s="61">
        <v>15</v>
      </c>
      <c r="G20" s="61">
        <v>24</v>
      </c>
      <c r="H20" s="61">
        <v>24</v>
      </c>
      <c r="I20" s="61">
        <f t="shared" si="2"/>
        <v>360</v>
      </c>
      <c r="J20" s="71">
        <f t="shared" si="0"/>
        <v>360</v>
      </c>
      <c r="K20" s="61">
        <v>0.95395106538878804</v>
      </c>
      <c r="L20" s="52">
        <f t="shared" si="1"/>
        <v>343.42238353996368</v>
      </c>
      <c r="M20" s="52">
        <v>43.769798490252079</v>
      </c>
      <c r="N20" s="52">
        <v>30</v>
      </c>
      <c r="O20" s="52">
        <f t="shared" si="3"/>
        <v>4728.8570183873626</v>
      </c>
    </row>
    <row r="21" spans="1:15" s="52" customFormat="1" x14ac:dyDescent="0.25">
      <c r="A21" s="61"/>
      <c r="B21" s="61" t="s">
        <v>98</v>
      </c>
      <c r="C21" s="69" t="s">
        <v>100</v>
      </c>
      <c r="D21" s="70">
        <v>40874</v>
      </c>
      <c r="E21" s="70">
        <v>40874</v>
      </c>
      <c r="F21" s="61">
        <v>16</v>
      </c>
      <c r="G21" s="61">
        <v>24</v>
      </c>
      <c r="H21" s="61">
        <v>24</v>
      </c>
      <c r="I21" s="61">
        <f t="shared" si="2"/>
        <v>384</v>
      </c>
      <c r="J21" s="71">
        <f t="shared" si="0"/>
        <v>384</v>
      </c>
      <c r="K21" s="61">
        <v>0.94431377665699201</v>
      </c>
      <c r="L21" s="52">
        <f t="shared" si="1"/>
        <v>362.6164902362849</v>
      </c>
      <c r="M21" s="52">
        <v>42.990568922977531</v>
      </c>
      <c r="N21" s="52">
        <v>30</v>
      </c>
      <c r="O21" s="52">
        <f t="shared" si="3"/>
        <v>4710.5945090226678</v>
      </c>
    </row>
    <row r="22" spans="1:15" s="52" customFormat="1" x14ac:dyDescent="0.25">
      <c r="A22" s="61"/>
      <c r="B22" s="61"/>
      <c r="C22" s="69"/>
      <c r="D22" s="70"/>
      <c r="E22" s="70"/>
      <c r="F22" s="61"/>
      <c r="G22" s="61"/>
      <c r="H22" s="61"/>
      <c r="I22" s="61"/>
      <c r="J22" s="71"/>
      <c r="K22" s="61"/>
      <c r="O22" s="52">
        <f t="shared" si="3"/>
        <v>0</v>
      </c>
    </row>
    <row r="23" spans="1:15" s="54" customFormat="1" x14ac:dyDescent="0.25">
      <c r="A23" s="74" t="s">
        <v>108</v>
      </c>
      <c r="B23" s="74" t="s">
        <v>101</v>
      </c>
      <c r="C23" s="72" t="s">
        <v>86</v>
      </c>
      <c r="D23" s="73">
        <v>40909</v>
      </c>
      <c r="E23" s="73">
        <v>40999</v>
      </c>
      <c r="F23" s="74">
        <f>(31*24*10+29*24*11+(31*24-1)*12)/G23</f>
        <v>10.999541914796152</v>
      </c>
      <c r="G23" s="74">
        <f>(91*24)-1</f>
        <v>2183</v>
      </c>
      <c r="H23" s="74">
        <f>91*24-1</f>
        <v>2183</v>
      </c>
      <c r="I23" s="74">
        <f t="shared" si="2"/>
        <v>24012</v>
      </c>
      <c r="J23" s="75">
        <f t="shared" si="0"/>
        <v>24012</v>
      </c>
      <c r="K23" s="54">
        <v>0.94189470447117996</v>
      </c>
      <c r="L23" s="54">
        <f t="shared" si="1"/>
        <v>22616.775643761972</v>
      </c>
      <c r="M23" s="54">
        <v>46.729285357321224</v>
      </c>
      <c r="N23" s="54">
        <v>30</v>
      </c>
      <c r="O23" s="54">
        <f t="shared" si="3"/>
        <v>378362.49360700644</v>
      </c>
    </row>
    <row r="24" spans="1:15" s="54" customFormat="1" x14ac:dyDescent="0.25">
      <c r="A24" s="74"/>
      <c r="B24" s="74" t="s">
        <v>101</v>
      </c>
      <c r="C24" s="72" t="s">
        <v>87</v>
      </c>
      <c r="D24" s="73">
        <v>41000</v>
      </c>
      <c r="E24" s="73">
        <v>41090</v>
      </c>
      <c r="F24" s="74">
        <f>(30*24*13+31*24*14+30*24*15)/H24</f>
        <v>14</v>
      </c>
      <c r="G24" s="74">
        <f>91*24</f>
        <v>2184</v>
      </c>
      <c r="H24" s="74">
        <f>91*24</f>
        <v>2184</v>
      </c>
      <c r="I24" s="74">
        <f t="shared" si="2"/>
        <v>30576</v>
      </c>
      <c r="J24" s="75">
        <f t="shared" si="0"/>
        <v>30576</v>
      </c>
      <c r="K24" s="54">
        <v>0.84935575373779704</v>
      </c>
      <c r="L24" s="54">
        <f t="shared" si="1"/>
        <v>25969.901526286882</v>
      </c>
      <c r="M24" s="54">
        <v>41.037284144427048</v>
      </c>
      <c r="N24" s="54">
        <v>30</v>
      </c>
      <c r="O24" s="54">
        <f t="shared" si="3"/>
        <v>286637.18234841799</v>
      </c>
    </row>
    <row r="25" spans="1:15" s="54" customFormat="1" x14ac:dyDescent="0.25">
      <c r="O25" s="54">
        <f t="shared" si="3"/>
        <v>0</v>
      </c>
    </row>
    <row r="26" spans="1:15" s="52" customFormat="1" x14ac:dyDescent="0.25">
      <c r="A26" s="61" t="s">
        <v>105</v>
      </c>
      <c r="B26" s="69" t="s">
        <v>96</v>
      </c>
      <c r="C26" s="69" t="s">
        <v>86</v>
      </c>
      <c r="D26" s="70">
        <v>40868</v>
      </c>
      <c r="E26" s="70">
        <v>40868</v>
      </c>
      <c r="F26" s="69">
        <v>10</v>
      </c>
      <c r="G26" s="69">
        <v>12</v>
      </c>
      <c r="H26" s="69">
        <v>12</v>
      </c>
      <c r="I26" s="61">
        <f>G26*F26</f>
        <v>120</v>
      </c>
      <c r="J26" s="71">
        <f>F26*H26</f>
        <v>120</v>
      </c>
      <c r="K26" s="61">
        <v>0.98249209078048505</v>
      </c>
      <c r="L26" s="52">
        <f>K26*I26</f>
        <v>117.8990508936582</v>
      </c>
      <c r="M26" s="52">
        <v>52.271348836951368</v>
      </c>
      <c r="N26" s="52">
        <v>30</v>
      </c>
      <c r="O26" s="52">
        <f t="shared" si="3"/>
        <v>2625.7708899981449</v>
      </c>
    </row>
    <row r="27" spans="1:15" s="52" customFormat="1" x14ac:dyDescent="0.25">
      <c r="A27" s="61"/>
      <c r="B27" s="69" t="s">
        <v>96</v>
      </c>
      <c r="C27" s="69" t="s">
        <v>87</v>
      </c>
      <c r="D27" s="70">
        <v>40869</v>
      </c>
      <c r="E27" s="70">
        <v>40869</v>
      </c>
      <c r="F27" s="69">
        <v>10</v>
      </c>
      <c r="G27" s="69">
        <v>12</v>
      </c>
      <c r="H27" s="69">
        <v>12</v>
      </c>
      <c r="I27" s="61">
        <f>G27*F27</f>
        <v>120</v>
      </c>
      <c r="J27" s="71">
        <f>F27*H27</f>
        <v>120</v>
      </c>
      <c r="K27" s="61">
        <v>0.98094941303579297</v>
      </c>
      <c r="L27" s="52">
        <f>K27*I27</f>
        <v>117.71392956429516</v>
      </c>
      <c r="M27" s="52">
        <v>52.354527162765955</v>
      </c>
      <c r="N27" s="52">
        <v>30</v>
      </c>
      <c r="O27" s="52">
        <f t="shared" si="3"/>
        <v>2631.4392358809546</v>
      </c>
    </row>
    <row r="28" spans="1:15" s="52" customFormat="1" x14ac:dyDescent="0.25">
      <c r="A28" s="61"/>
      <c r="B28" s="69" t="s">
        <v>96</v>
      </c>
      <c r="C28" s="69" t="s">
        <v>88</v>
      </c>
      <c r="D28" s="70">
        <v>40870</v>
      </c>
      <c r="E28" s="70">
        <v>40870</v>
      </c>
      <c r="F28" s="61">
        <v>10</v>
      </c>
      <c r="G28" s="69">
        <v>12</v>
      </c>
      <c r="H28" s="69">
        <v>12</v>
      </c>
      <c r="I28" s="61">
        <f>G28*F28</f>
        <v>120</v>
      </c>
      <c r="J28" s="71">
        <f>F28*H28</f>
        <v>120</v>
      </c>
      <c r="K28" s="61">
        <v>0.97970590490881704</v>
      </c>
      <c r="L28" s="52">
        <f>K28*I28</f>
        <v>117.56470858905804</v>
      </c>
      <c r="M28" s="52">
        <v>52.526219152836326</v>
      </c>
      <c r="N28" s="52">
        <v>30</v>
      </c>
      <c r="O28" s="52">
        <f t="shared" si="3"/>
        <v>2648.2883903164607</v>
      </c>
    </row>
    <row r="29" spans="1:15" s="52" customFormat="1" x14ac:dyDescent="0.25">
      <c r="A29" s="61"/>
      <c r="B29" s="69" t="s">
        <v>96</v>
      </c>
      <c r="C29" s="69" t="s">
        <v>89</v>
      </c>
      <c r="D29" s="70">
        <v>40871</v>
      </c>
      <c r="E29" s="70">
        <v>40871</v>
      </c>
      <c r="F29" s="61">
        <v>10</v>
      </c>
      <c r="G29" s="69">
        <v>12</v>
      </c>
      <c r="H29" s="69">
        <v>12</v>
      </c>
      <c r="I29" s="61">
        <f>G29*F29</f>
        <v>120</v>
      </c>
      <c r="J29" s="71">
        <f>F29*H29</f>
        <v>120</v>
      </c>
      <c r="K29" s="61">
        <v>0.97152660952897296</v>
      </c>
      <c r="L29" s="52">
        <f>K29*I29</f>
        <v>116.58319314347676</v>
      </c>
      <c r="M29" s="52">
        <v>50.791675151236525</v>
      </c>
      <c r="N29" s="52">
        <v>30</v>
      </c>
      <c r="O29" s="52">
        <f t="shared" si="3"/>
        <v>2423.9598799330342</v>
      </c>
    </row>
    <row r="30" spans="1:15" s="52" customFormat="1" x14ac:dyDescent="0.25">
      <c r="A30" s="61"/>
      <c r="B30" s="69" t="s">
        <v>96</v>
      </c>
      <c r="C30" s="69" t="s">
        <v>97</v>
      </c>
      <c r="D30" s="70">
        <v>40872</v>
      </c>
      <c r="E30" s="70">
        <v>40872</v>
      </c>
      <c r="F30" s="61">
        <v>10</v>
      </c>
      <c r="G30" s="69">
        <v>12</v>
      </c>
      <c r="H30" s="69">
        <v>12</v>
      </c>
      <c r="I30" s="61">
        <f>G30*F30</f>
        <v>120</v>
      </c>
      <c r="J30" s="71">
        <f>F30*H30</f>
        <v>120</v>
      </c>
      <c r="K30" s="61">
        <v>0.96361683706955903</v>
      </c>
      <c r="L30" s="52">
        <f>K30*I30</f>
        <v>115.63402044834709</v>
      </c>
      <c r="M30" s="52">
        <v>49.556229696209861</v>
      </c>
      <c r="N30" s="52">
        <v>30</v>
      </c>
      <c r="O30" s="52">
        <f t="shared" si="3"/>
        <v>2261.3654645841038</v>
      </c>
    </row>
    <row r="31" spans="1:15" s="52" customFormat="1" x14ac:dyDescent="0.25">
      <c r="O31" s="52">
        <f t="shared" si="3"/>
        <v>0</v>
      </c>
    </row>
    <row r="32" spans="1:15" s="54" customFormat="1" x14ac:dyDescent="0.25">
      <c r="A32" s="74" t="s">
        <v>103</v>
      </c>
      <c r="B32" s="72" t="s">
        <v>83</v>
      </c>
      <c r="C32" s="72" t="s">
        <v>86</v>
      </c>
      <c r="D32" s="73">
        <v>40544</v>
      </c>
      <c r="E32" s="73">
        <v>40633</v>
      </c>
      <c r="F32" s="72">
        <v>10</v>
      </c>
      <c r="G32" s="72">
        <v>0</v>
      </c>
      <c r="H32" s="72">
        <v>0</v>
      </c>
      <c r="I32" s="74">
        <f>G32*F32</f>
        <v>0</v>
      </c>
      <c r="J32" s="75">
        <f>F32*H32</f>
        <v>0</v>
      </c>
      <c r="K32" s="74">
        <v>0</v>
      </c>
      <c r="L32" s="54">
        <f>K32*I32</f>
        <v>0</v>
      </c>
      <c r="M32" s="54">
        <v>0</v>
      </c>
      <c r="N32" s="54" t="e">
        <v>#DIV/0!</v>
      </c>
    </row>
    <row r="33" spans="1:15" s="54" customFormat="1" x14ac:dyDescent="0.25">
      <c r="A33" s="74"/>
      <c r="B33" s="72" t="s">
        <v>83</v>
      </c>
      <c r="C33" s="72" t="s">
        <v>87</v>
      </c>
      <c r="D33" s="73">
        <v>40634</v>
      </c>
      <c r="E33" s="73">
        <v>40724</v>
      </c>
      <c r="F33" s="72">
        <v>10</v>
      </c>
      <c r="G33" s="72">
        <v>0</v>
      </c>
      <c r="H33" s="72">
        <v>0</v>
      </c>
      <c r="I33" s="74">
        <f>G33*F33</f>
        <v>0</v>
      </c>
      <c r="J33" s="75">
        <f>F33*H33</f>
        <v>0</v>
      </c>
      <c r="K33" s="74">
        <v>0</v>
      </c>
      <c r="L33" s="54">
        <f>K33*I33</f>
        <v>0</v>
      </c>
      <c r="M33" s="54">
        <v>0</v>
      </c>
      <c r="N33" s="54" t="e">
        <v>#DIV/0!</v>
      </c>
    </row>
    <row r="34" spans="1:15" s="54" customFormat="1" x14ac:dyDescent="0.25">
      <c r="A34" s="74"/>
      <c r="B34" s="72" t="s">
        <v>83</v>
      </c>
      <c r="C34" s="72" t="s">
        <v>88</v>
      </c>
      <c r="D34" s="73">
        <v>40725</v>
      </c>
      <c r="E34" s="73">
        <v>40816</v>
      </c>
      <c r="F34" s="72">
        <v>10</v>
      </c>
      <c r="G34" s="72">
        <v>0</v>
      </c>
      <c r="H34" s="72">
        <v>0</v>
      </c>
      <c r="I34" s="74">
        <f>G34*F34</f>
        <v>0</v>
      </c>
      <c r="J34" s="75">
        <f>F34*H34</f>
        <v>0</v>
      </c>
      <c r="K34" s="74">
        <v>0</v>
      </c>
      <c r="L34" s="54">
        <f>K34*I34</f>
        <v>0</v>
      </c>
      <c r="M34" s="54">
        <v>0</v>
      </c>
      <c r="N34" s="54" t="e">
        <v>#DIV/0!</v>
      </c>
    </row>
    <row r="35" spans="1:15" s="54" customFormat="1" x14ac:dyDescent="0.25">
      <c r="A35" s="74"/>
      <c r="B35" s="72" t="s">
        <v>83</v>
      </c>
      <c r="C35" s="72" t="s">
        <v>89</v>
      </c>
      <c r="D35" s="73">
        <v>40817</v>
      </c>
      <c r="E35" s="73">
        <v>40908</v>
      </c>
      <c r="F35" s="72">
        <v>10</v>
      </c>
      <c r="G35" s="72">
        <f>65*12</f>
        <v>780</v>
      </c>
      <c r="H35" s="72">
        <f>43*12</f>
        <v>516</v>
      </c>
      <c r="I35" s="74">
        <f>G35*F35</f>
        <v>7800</v>
      </c>
      <c r="J35" s="75">
        <f>F35*H35</f>
        <v>5160</v>
      </c>
      <c r="K35" s="74">
        <v>0.65373679337627399</v>
      </c>
      <c r="L35" s="54">
        <f>K35*I35</f>
        <v>5099.1469883349373</v>
      </c>
      <c r="M35" s="54">
        <v>51.9794589528789</v>
      </c>
      <c r="N35" s="54">
        <v>28.628837209302326</v>
      </c>
      <c r="O35" s="54">
        <f t="shared" si="3"/>
        <v>119068.25253950679</v>
      </c>
    </row>
    <row r="36" spans="1:15" x14ac:dyDescent="0.25">
      <c r="O36" s="91">
        <f>SUM(O2:O35)</f>
        <v>1063754.9024951137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2:BJ68"/>
  <sheetViews>
    <sheetView topLeftCell="AR9" workbookViewId="0">
      <selection activeCell="AY29" sqref="AY29"/>
    </sheetView>
  </sheetViews>
  <sheetFormatPr defaultColWidth="11.42578125" defaultRowHeight="15" x14ac:dyDescent="0.25"/>
  <cols>
    <col min="1" max="1" width="34.28515625" style="53" bestFit="1" customWidth="1"/>
    <col min="2" max="2" width="21.5703125" style="53" bestFit="1" customWidth="1"/>
    <col min="3" max="3" width="37.5703125" style="53" bestFit="1" customWidth="1"/>
    <col min="4" max="4" width="27.42578125" style="53" bestFit="1" customWidth="1"/>
    <col min="5" max="5" width="15.28515625" style="53" bestFit="1" customWidth="1"/>
    <col min="6" max="6" width="22.85546875" style="53" customWidth="1"/>
    <col min="7" max="7" width="10.7109375" style="53" bestFit="1" customWidth="1"/>
    <col min="8" max="20" width="11.42578125" style="53"/>
    <col min="21" max="21" width="13.5703125" style="53" customWidth="1"/>
    <col min="22" max="28" width="11.42578125" style="53"/>
    <col min="29" max="29" width="12" style="53" bestFit="1" customWidth="1"/>
    <col min="30" max="30" width="12.7109375" style="53" bestFit="1" customWidth="1"/>
    <col min="31" max="31" width="15.42578125" style="53" bestFit="1" customWidth="1"/>
    <col min="32" max="34" width="11.42578125" style="53"/>
    <col min="35" max="35" width="13.140625" style="53" bestFit="1" customWidth="1"/>
    <col min="36" max="36" width="45.5703125" style="53" bestFit="1" customWidth="1"/>
    <col min="37" max="37" width="12.5703125" style="53" bestFit="1" customWidth="1"/>
    <col min="38" max="41" width="11.42578125" style="53"/>
    <col min="42" max="42" width="12" style="53" bestFit="1" customWidth="1"/>
    <col min="43" max="44" width="11.42578125" style="53"/>
    <col min="45" max="45" width="13.5703125" style="53" bestFit="1" customWidth="1"/>
    <col min="46" max="46" width="11.42578125" style="53"/>
    <col min="47" max="48" width="12" style="53" bestFit="1" customWidth="1"/>
    <col min="49" max="49" width="12.7109375" style="53" bestFit="1" customWidth="1"/>
    <col min="50" max="50" width="11.42578125" style="53"/>
    <col min="51" max="51" width="16.42578125" style="53" bestFit="1" customWidth="1"/>
    <col min="52" max="54" width="11.42578125" style="53"/>
    <col min="55" max="55" width="17.28515625" style="53" bestFit="1" customWidth="1"/>
    <col min="56" max="56" width="16.7109375" style="53" bestFit="1" customWidth="1"/>
    <col min="57" max="59" width="11.42578125" style="53"/>
    <col min="60" max="60" width="13.140625" style="53" bestFit="1" customWidth="1"/>
    <col min="61" max="16384" width="11.42578125" style="53"/>
  </cols>
  <sheetData>
    <row r="2" spans="1:62" ht="13.5" customHeight="1" x14ac:dyDescent="0.25">
      <c r="F2" s="5"/>
    </row>
    <row r="3" spans="1:62" x14ac:dyDescent="0.25">
      <c r="D3" s="6" t="s">
        <v>66</v>
      </c>
      <c r="F3" s="5"/>
      <c r="AD3" s="14"/>
    </row>
    <row r="4" spans="1:62" x14ac:dyDescent="0.25">
      <c r="D4" s="9" t="s">
        <v>62</v>
      </c>
      <c r="F4" s="5"/>
    </row>
    <row r="5" spans="1:62" x14ac:dyDescent="0.25">
      <c r="D5" s="2" t="s">
        <v>64</v>
      </c>
      <c r="F5" s="5"/>
    </row>
    <row r="6" spans="1:62" x14ac:dyDescent="0.25">
      <c r="D6" s="4" t="s">
        <v>65</v>
      </c>
      <c r="F6" s="5"/>
    </row>
    <row r="7" spans="1:62" x14ac:dyDescent="0.25">
      <c r="D7" s="19"/>
      <c r="F7" s="5"/>
    </row>
    <row r="8" spans="1:62" ht="93" customHeight="1" x14ac:dyDescent="0.25">
      <c r="D8" s="53" t="s">
        <v>61</v>
      </c>
      <c r="E8" s="13" t="s">
        <v>76</v>
      </c>
      <c r="F8" s="5"/>
      <c r="AD8" s="21"/>
    </row>
    <row r="9" spans="1:62" x14ac:dyDescent="0.25">
      <c r="D9" s="53" t="s">
        <v>63</v>
      </c>
      <c r="E9" s="5">
        <v>40849</v>
      </c>
      <c r="F9" s="5"/>
    </row>
    <row r="10" spans="1:62" x14ac:dyDescent="0.25">
      <c r="D10" s="19"/>
      <c r="F10" s="5"/>
    </row>
    <row r="11" spans="1:62" x14ac:dyDescent="0.25">
      <c r="BC11" s="91">
        <f>SUM(BC13:BC46)</f>
        <v>72500.659488871228</v>
      </c>
      <c r="BD11" s="92">
        <f>SUM(BD13:BD46)</f>
        <v>32399.706415997531</v>
      </c>
      <c r="BE11" s="92">
        <f>SUM(BE13:BE46)</f>
        <v>3178.3880804846713</v>
      </c>
      <c r="BF11" s="92">
        <f>SUM(BF13:BF46)</f>
        <v>1407.7461665918706</v>
      </c>
      <c r="BG11" s="92">
        <f>SUM(BG13:BG46)</f>
        <v>-387.26155113428479</v>
      </c>
      <c r="BH11" s="92">
        <f t="shared" ref="BH11:BJ11" si="0">SUM(BH13:BH46)</f>
        <v>-619.1595749011982</v>
      </c>
      <c r="BI11" s="92">
        <f t="shared" si="0"/>
        <v>-4722.6790006135889</v>
      </c>
      <c r="BJ11" s="92">
        <f t="shared" si="0"/>
        <v>-84.713508394737104</v>
      </c>
    </row>
    <row r="12" spans="1:62" s="47" customFormat="1" x14ac:dyDescent="0.25">
      <c r="A12" s="47" t="s">
        <v>102</v>
      </c>
      <c r="B12" s="48" t="s">
        <v>8</v>
      </c>
      <c r="C12" s="48" t="s">
        <v>17</v>
      </c>
      <c r="D12" s="48" t="s">
        <v>9</v>
      </c>
      <c r="E12" s="48" t="s">
        <v>10</v>
      </c>
      <c r="F12" s="48" t="s">
        <v>11</v>
      </c>
      <c r="G12" s="48" t="s">
        <v>1</v>
      </c>
      <c r="H12" s="48" t="s">
        <v>2</v>
      </c>
      <c r="I12" s="48" t="s">
        <v>12</v>
      </c>
      <c r="J12" s="48" t="s">
        <v>13</v>
      </c>
      <c r="K12" s="48" t="s">
        <v>0</v>
      </c>
      <c r="L12" s="48" t="s">
        <v>14</v>
      </c>
      <c r="M12" s="48" t="s">
        <v>15</v>
      </c>
      <c r="N12" s="48" t="s">
        <v>16</v>
      </c>
      <c r="O12" s="48" t="s">
        <v>18</v>
      </c>
      <c r="P12" s="48" t="s">
        <v>19</v>
      </c>
      <c r="Q12" s="48" t="s">
        <v>20</v>
      </c>
      <c r="R12" s="48" t="s">
        <v>5</v>
      </c>
      <c r="S12" s="48" t="s">
        <v>6</v>
      </c>
      <c r="T12" s="48" t="s">
        <v>4</v>
      </c>
      <c r="U12" s="48" t="s">
        <v>21</v>
      </c>
      <c r="V12" s="48" t="s">
        <v>22</v>
      </c>
      <c r="W12" s="48" t="s">
        <v>23</v>
      </c>
      <c r="X12" s="48" t="s">
        <v>24</v>
      </c>
      <c r="Y12" s="48" t="s">
        <v>25</v>
      </c>
      <c r="Z12" s="48" t="s">
        <v>26</v>
      </c>
      <c r="AA12" s="48" t="s">
        <v>27</v>
      </c>
      <c r="AB12" s="48" t="s">
        <v>28</v>
      </c>
      <c r="AC12" s="48" t="s">
        <v>29</v>
      </c>
      <c r="AD12" s="8" t="s">
        <v>84</v>
      </c>
      <c r="AE12" s="26" t="s">
        <v>85</v>
      </c>
      <c r="AF12" s="26" t="s">
        <v>68</v>
      </c>
      <c r="AG12" s="26" t="s">
        <v>69</v>
      </c>
      <c r="AH12" s="26" t="s">
        <v>70</v>
      </c>
      <c r="AI12" s="26" t="s">
        <v>71</v>
      </c>
      <c r="AJ12" s="26" t="s">
        <v>9</v>
      </c>
      <c r="AK12" s="26" t="s">
        <v>77</v>
      </c>
      <c r="AL12" s="26" t="s">
        <v>78</v>
      </c>
      <c r="AM12" s="26" t="s">
        <v>79</v>
      </c>
      <c r="AN12" s="26" t="s">
        <v>80</v>
      </c>
      <c r="AO12" s="26" t="s">
        <v>81</v>
      </c>
      <c r="AP12" s="26" t="s">
        <v>82</v>
      </c>
      <c r="AQ12" s="49" t="s">
        <v>31</v>
      </c>
      <c r="AR12" s="49" t="s">
        <v>30</v>
      </c>
      <c r="AS12" s="49" t="s">
        <v>74</v>
      </c>
      <c r="AT12" s="49" t="s">
        <v>32</v>
      </c>
      <c r="AU12" s="49" t="s">
        <v>33</v>
      </c>
      <c r="AV12" s="49" t="s">
        <v>34</v>
      </c>
      <c r="AW12" s="49" t="s">
        <v>35</v>
      </c>
      <c r="AX12" s="49" t="s">
        <v>36</v>
      </c>
      <c r="AY12" s="11" t="s">
        <v>37</v>
      </c>
      <c r="AZ12" s="11" t="s">
        <v>38</v>
      </c>
      <c r="BA12" s="11" t="s">
        <v>39</v>
      </c>
      <c r="BB12" s="11" t="s">
        <v>147</v>
      </c>
      <c r="BC12" s="47" t="s">
        <v>139</v>
      </c>
      <c r="BD12" s="47" t="s">
        <v>140</v>
      </c>
      <c r="BE12" s="47" t="s">
        <v>142</v>
      </c>
      <c r="BF12" s="47" t="s">
        <v>141</v>
      </c>
      <c r="BG12" s="47" t="s">
        <v>143</v>
      </c>
      <c r="BH12" s="47" t="s">
        <v>144</v>
      </c>
      <c r="BI12" s="47" t="s">
        <v>145</v>
      </c>
      <c r="BJ12" s="47" t="s">
        <v>146</v>
      </c>
    </row>
    <row r="13" spans="1:62" x14ac:dyDescent="0.25">
      <c r="A13" s="53" t="s">
        <v>106</v>
      </c>
      <c r="B13" s="15" t="s">
        <v>75</v>
      </c>
      <c r="C13" s="18" t="s">
        <v>98</v>
      </c>
      <c r="D13" s="15" t="s">
        <v>86</v>
      </c>
      <c r="E13" s="31">
        <v>40868</v>
      </c>
      <c r="F13" s="31">
        <v>40868</v>
      </c>
      <c r="G13" s="27">
        <f t="shared" ref="G13:G19" si="1">F13</f>
        <v>40868</v>
      </c>
      <c r="H13" s="15">
        <v>30</v>
      </c>
      <c r="I13" s="15" t="s">
        <v>3</v>
      </c>
      <c r="J13" s="18">
        <v>10</v>
      </c>
      <c r="K13" s="18">
        <v>24</v>
      </c>
      <c r="L13" s="18">
        <v>15</v>
      </c>
      <c r="M13" s="15">
        <f t="shared" ref="M13:M19" si="2">-L13*K13*J13</f>
        <v>-3600</v>
      </c>
      <c r="N13" s="6">
        <v>17.592861864211201</v>
      </c>
      <c r="O13" s="6">
        <v>0.98504416121263205</v>
      </c>
      <c r="P13" s="6">
        <v>3.4408625700995499E-3</v>
      </c>
      <c r="Q13" s="6">
        <v>0.403346183677256</v>
      </c>
      <c r="R13" s="6">
        <v>-8.9233974198054504E-3</v>
      </c>
      <c r="S13" s="6">
        <v>-0.96399243091568199</v>
      </c>
      <c r="T13" s="6">
        <v>0.94624832968245898</v>
      </c>
      <c r="U13" s="16">
        <f t="shared" ref="U13:U19" si="3">N13*J13*K13</f>
        <v>4222.2868474106881</v>
      </c>
      <c r="V13" s="6">
        <v>4222.2868474106899</v>
      </c>
      <c r="W13" s="18">
        <v>0</v>
      </c>
      <c r="X13" s="6">
        <v>-3600</v>
      </c>
      <c r="Y13" s="6">
        <v>4222.2868474106899</v>
      </c>
      <c r="Z13" s="6">
        <v>622.28684741068605</v>
      </c>
      <c r="AA13" s="6">
        <v>-3600</v>
      </c>
      <c r="AB13" s="6">
        <v>4222.2868474106899</v>
      </c>
      <c r="AC13" s="6">
        <v>622.28684741068605</v>
      </c>
      <c r="AD13" s="9">
        <v>1.2826737536044699E-2</v>
      </c>
      <c r="AE13" s="9">
        <v>47.548211301812493</v>
      </c>
      <c r="AF13" s="9">
        <v>1</v>
      </c>
      <c r="AG13" s="9">
        <f t="shared" ref="AG13:AG19" si="4">J13*K13</f>
        <v>240</v>
      </c>
      <c r="AH13" s="9">
        <v>1</v>
      </c>
      <c r="AI13" s="9">
        <v>15</v>
      </c>
      <c r="AJ13" s="36" t="s">
        <v>98</v>
      </c>
      <c r="AK13" s="9"/>
      <c r="AL13" s="9">
        <v>0</v>
      </c>
      <c r="AM13" s="9">
        <v>24</v>
      </c>
      <c r="AN13" s="9">
        <f t="shared" ref="AN13:AN19" si="5">AL13+AM13</f>
        <v>24</v>
      </c>
      <c r="AO13" s="53">
        <f t="shared" ref="AO13:AO19" si="6">IF($E$9&gt;=E13,AM13/(AN13),1)</f>
        <v>1</v>
      </c>
      <c r="AP13" s="53">
        <f t="shared" ref="AP13:AP19" si="7">IF($E$9&gt;=E13,(AN13/AM13)*H13-(AL13/AM13)*AK13,H13)</f>
        <v>30</v>
      </c>
      <c r="AQ13" s="1" t="str">
        <f>MID(C13,4,1)</f>
        <v>C</v>
      </c>
      <c r="AR13" s="1">
        <f t="shared" ref="AR13:AR19" si="8">B76Future($E$9,AQ13,AE13,AP13,G13,T13,AD13)*AF13*AO13</f>
        <v>17.592861865381437</v>
      </c>
      <c r="AS13" s="1">
        <f t="shared" ref="AS13:AS19" si="9">AI13*AF13</f>
        <v>15</v>
      </c>
      <c r="AT13" s="1">
        <f t="shared" ref="AT13:AT19" si="10">B76Delta($E$9,AQ13,AE13,AP13,G13,T13,AD13)*AO13</f>
        <v>0.9850441611859978</v>
      </c>
      <c r="AU13" s="1">
        <f t="shared" ref="AU13:AU19" si="11">B76Gamma($E$9,AQ13,AE13,AP13,G13,T13,AD13)*AO13</f>
        <v>3.440862570099395E-3</v>
      </c>
      <c r="AV13" s="1">
        <f t="shared" ref="AV13:AV19" si="12">B76Vega($E$9,AQ13,AE13,AP13,G13,T13,AD13)*AO13</f>
        <v>0.4033461836772409</v>
      </c>
      <c r="AW13" s="1">
        <f t="shared" ref="AW13:AW19" si="13">B76Theta($E$9,AQ13,AE13,AP13,G13,T13,AD13)*AO13</f>
        <v>-8.9233974197640079E-3</v>
      </c>
      <c r="AX13" s="1">
        <f t="shared" ref="AX13:AX19" si="14">B76Rho($E$9,AQ13,AE13,AP13,G13,T13,AD13)*AO13</f>
        <v>-0.96399243097980469</v>
      </c>
      <c r="AY13" s="20">
        <f>-AS13*AG13*AH13</f>
        <v>-3600</v>
      </c>
      <c r="AZ13" s="1">
        <f t="shared" ref="AZ13:AZ19" si="15">AR13*AG13*AH13</f>
        <v>4222.2868476915446</v>
      </c>
      <c r="BA13" s="1">
        <f t="shared" ref="BA13:BA19" si="16">AZ13</f>
        <v>4222.2868476915446</v>
      </c>
      <c r="BB13" s="1">
        <f>G13-$E$9+1</f>
        <v>20</v>
      </c>
      <c r="BC13" s="53">
        <f>(AT13+0.5*AU13)*AG13</f>
        <v>236.82350219305141</v>
      </c>
      <c r="BD13" s="53">
        <f>AT13*AG13*AE13/100+0.5*AU13*AG13*(AE13/100)^2</f>
        <v>112.50236156535895</v>
      </c>
      <c r="BE13" s="53">
        <f>AV13*AG13/100</f>
        <v>0.96803084082537827</v>
      </c>
      <c r="BF13" s="53">
        <f>BE13*T13</f>
        <v>0.91599756621212047</v>
      </c>
      <c r="BG13" s="53">
        <f>AW13*AG13</f>
        <v>-2.141615380743362</v>
      </c>
      <c r="BH13" s="53">
        <f>BG13*BB13/100</f>
        <v>-0.42832307614867238</v>
      </c>
      <c r="BI13" s="53">
        <f>AX13*AG13/100</f>
        <v>-2.3135818343515315</v>
      </c>
      <c r="BJ13" s="53">
        <f>BI13*AD13</f>
        <v>-2.9675706957387939E-2</v>
      </c>
    </row>
    <row r="14" spans="1:62" x14ac:dyDescent="0.25">
      <c r="B14" s="15" t="s">
        <v>75</v>
      </c>
      <c r="C14" s="18" t="s">
        <v>98</v>
      </c>
      <c r="D14" s="15" t="s">
        <v>87</v>
      </c>
      <c r="E14" s="31">
        <v>40869</v>
      </c>
      <c r="F14" s="31">
        <v>40869</v>
      </c>
      <c r="G14" s="27">
        <f t="shared" si="1"/>
        <v>40869</v>
      </c>
      <c r="H14" s="15">
        <v>30</v>
      </c>
      <c r="I14" s="15" t="s">
        <v>3</v>
      </c>
      <c r="J14" s="18">
        <v>10</v>
      </c>
      <c r="K14" s="18">
        <v>24</v>
      </c>
      <c r="L14" s="18">
        <v>15</v>
      </c>
      <c r="M14" s="15">
        <f t="shared" si="2"/>
        <v>-3600</v>
      </c>
      <c r="N14" s="6">
        <v>17.679093295609299</v>
      </c>
      <c r="O14" s="6">
        <v>0.98396956123715296</v>
      </c>
      <c r="P14" s="6">
        <v>3.5828560824027701E-3</v>
      </c>
      <c r="Q14" s="6">
        <v>0.43971099095479099</v>
      </c>
      <c r="R14" s="6">
        <v>-9.2182716592726192E-3</v>
      </c>
      <c r="S14" s="6">
        <v>-1.0171533128980701</v>
      </c>
      <c r="T14" s="6">
        <v>0.94029564433709301</v>
      </c>
      <c r="U14" s="16">
        <f t="shared" si="3"/>
        <v>4242.982390946232</v>
      </c>
      <c r="V14" s="6">
        <v>4242.9823909462302</v>
      </c>
      <c r="W14" s="18">
        <v>0</v>
      </c>
      <c r="X14" s="6">
        <v>-3600</v>
      </c>
      <c r="Y14" s="6">
        <v>4242.9823909462302</v>
      </c>
      <c r="Z14" s="6">
        <v>642.98239094622602</v>
      </c>
      <c r="AA14" s="6">
        <v>-3600</v>
      </c>
      <c r="AB14" s="6">
        <v>4242.9823909462302</v>
      </c>
      <c r="AC14" s="6">
        <v>642.98239094622602</v>
      </c>
      <c r="AD14" s="9">
        <v>1.2923774390302E-2</v>
      </c>
      <c r="AE14" s="9">
        <v>47.62922901418586</v>
      </c>
      <c r="AF14" s="9">
        <v>1</v>
      </c>
      <c r="AG14" s="9">
        <f t="shared" si="4"/>
        <v>240</v>
      </c>
      <c r="AH14" s="9">
        <v>1</v>
      </c>
      <c r="AI14" s="9">
        <v>15</v>
      </c>
      <c r="AJ14" s="36" t="s">
        <v>98</v>
      </c>
      <c r="AK14" s="9"/>
      <c r="AL14" s="9">
        <v>0</v>
      </c>
      <c r="AM14" s="9">
        <v>24</v>
      </c>
      <c r="AN14" s="9">
        <f t="shared" si="5"/>
        <v>24</v>
      </c>
      <c r="AO14" s="53">
        <f t="shared" si="6"/>
        <v>1</v>
      </c>
      <c r="AP14" s="53">
        <f t="shared" si="7"/>
        <v>30</v>
      </c>
      <c r="AQ14" s="1" t="str">
        <f t="shared" ref="AQ14:AQ19" si="17">MID(C14,4,1)</f>
        <v>C</v>
      </c>
      <c r="AR14" s="1">
        <f t="shared" si="8"/>
        <v>17.67909329743204</v>
      </c>
      <c r="AS14" s="1">
        <f t="shared" si="9"/>
        <v>15</v>
      </c>
      <c r="AT14" s="1">
        <f t="shared" si="10"/>
        <v>0.98396956120077561</v>
      </c>
      <c r="AU14" s="1">
        <f t="shared" si="11"/>
        <v>3.5828560824027311E-3</v>
      </c>
      <c r="AV14" s="1">
        <f t="shared" si="12"/>
        <v>0.43971099095478711</v>
      </c>
      <c r="AW14" s="1">
        <f t="shared" si="13"/>
        <v>-9.2182716592080181E-3</v>
      </c>
      <c r="AX14" s="1">
        <f t="shared" si="14"/>
        <v>-1.0171533130029393</v>
      </c>
      <c r="AY14" s="20">
        <f t="shared" ref="AY14:AY19" si="18">-AS14*AG14*AH14</f>
        <v>-3600</v>
      </c>
      <c r="AZ14" s="1">
        <f t="shared" si="15"/>
        <v>4242.9823913836899</v>
      </c>
      <c r="BA14" s="1">
        <f t="shared" si="16"/>
        <v>4242.9823913836899</v>
      </c>
      <c r="BB14" s="1">
        <f t="shared" ref="BB14:BB46" si="19">G14-$E$9+1</f>
        <v>21</v>
      </c>
      <c r="BC14" s="53">
        <f t="shared" ref="BC14:BC46" si="20">(AT14+0.5*AU14)*AG14</f>
        <v>236.58263741807448</v>
      </c>
      <c r="BD14" s="53">
        <f t="shared" ref="BD14:BD46" si="21">AT14*AG14*AE14/100+0.5*AU14*AG14*(AE14/100)^2</f>
        <v>112.57524215286249</v>
      </c>
      <c r="BE14" s="53">
        <f t="shared" ref="BE14:BE46" si="22">AV14*AG14/100</f>
        <v>1.0553063782914891</v>
      </c>
      <c r="BF14" s="53">
        <f t="shared" ref="BF14:BF46" si="23">BE14*T14</f>
        <v>0.99229999094863974</v>
      </c>
      <c r="BG14" s="53">
        <f t="shared" ref="BG14:BG46" si="24">AW14*AG14</f>
        <v>-2.2123851982099243</v>
      </c>
      <c r="BH14" s="53">
        <f t="shared" ref="BH14:BH46" si="25">BG14*BB14/100</f>
        <v>-0.46460089162408408</v>
      </c>
      <c r="BI14" s="53">
        <f t="shared" ref="BI14:BI46" si="26">AX14*AG14/100</f>
        <v>-2.4411679512070545</v>
      </c>
      <c r="BJ14" s="53">
        <f t="shared" ref="BJ14:BJ46" si="27">BI14*AD14</f>
        <v>-3.1549103850235731E-2</v>
      </c>
    </row>
    <row r="15" spans="1:62" x14ac:dyDescent="0.25">
      <c r="B15" s="15" t="s">
        <v>75</v>
      </c>
      <c r="C15" s="18" t="s">
        <v>98</v>
      </c>
      <c r="D15" s="15" t="s">
        <v>88</v>
      </c>
      <c r="E15" s="31">
        <v>40870</v>
      </c>
      <c r="F15" s="31">
        <v>40870</v>
      </c>
      <c r="G15" s="27">
        <f t="shared" si="1"/>
        <v>40870</v>
      </c>
      <c r="H15" s="15">
        <v>30</v>
      </c>
      <c r="I15" s="15" t="s">
        <v>3</v>
      </c>
      <c r="J15" s="18">
        <v>10</v>
      </c>
      <c r="K15" s="18">
        <v>24</v>
      </c>
      <c r="L15" s="18">
        <v>15</v>
      </c>
      <c r="M15" s="15">
        <f t="shared" si="2"/>
        <v>-3600</v>
      </c>
      <c r="N15" s="6">
        <v>18.0388432221167</v>
      </c>
      <c r="O15" s="6">
        <v>0.98393447796516398</v>
      </c>
      <c r="P15" s="6">
        <v>3.4949139543762799E-3</v>
      </c>
      <c r="Q15" s="6">
        <v>0.45329604560220599</v>
      </c>
      <c r="R15" s="6">
        <v>-8.9831914092549803E-3</v>
      </c>
      <c r="S15" s="6">
        <v>-1.0872727421549799</v>
      </c>
      <c r="T15" s="6">
        <v>0.93442344515623099</v>
      </c>
      <c r="U15" s="16">
        <f t="shared" si="3"/>
        <v>4329.3223733080076</v>
      </c>
      <c r="V15" s="6">
        <v>4329.3223733080104</v>
      </c>
      <c r="W15" s="18">
        <v>0</v>
      </c>
      <c r="X15" s="6">
        <v>-3600</v>
      </c>
      <c r="Y15" s="6">
        <v>4329.3223733080104</v>
      </c>
      <c r="Z15" s="6">
        <v>729.32237330801297</v>
      </c>
      <c r="AA15" s="6">
        <v>-3600</v>
      </c>
      <c r="AB15" s="6">
        <v>4329.3223733080104</v>
      </c>
      <c r="AC15" s="6">
        <v>729.32237330801297</v>
      </c>
      <c r="AD15" s="9">
        <v>1.3018826602779501E-2</v>
      </c>
      <c r="AE15" s="9">
        <v>47.988364604376933</v>
      </c>
      <c r="AF15" s="9">
        <v>1</v>
      </c>
      <c r="AG15" s="9">
        <f t="shared" si="4"/>
        <v>240</v>
      </c>
      <c r="AH15" s="9">
        <v>1</v>
      </c>
      <c r="AI15" s="9">
        <v>15</v>
      </c>
      <c r="AJ15" s="36" t="s">
        <v>98</v>
      </c>
      <c r="AK15" s="9"/>
      <c r="AL15" s="9">
        <v>0</v>
      </c>
      <c r="AM15" s="9">
        <v>24</v>
      </c>
      <c r="AN15" s="9">
        <f t="shared" si="5"/>
        <v>24</v>
      </c>
      <c r="AO15" s="53">
        <f t="shared" si="6"/>
        <v>1</v>
      </c>
      <c r="AP15" s="53">
        <f t="shared" si="7"/>
        <v>30</v>
      </c>
      <c r="AQ15" s="1" t="str">
        <f t="shared" si="17"/>
        <v>C</v>
      </c>
      <c r="AR15" s="1">
        <f t="shared" si="8"/>
        <v>18.038843224090321</v>
      </c>
      <c r="AS15" s="1">
        <f t="shared" si="9"/>
        <v>15</v>
      </c>
      <c r="AT15" s="1">
        <f t="shared" si="10"/>
        <v>0.98393447792884514</v>
      </c>
      <c r="AU15" s="1">
        <f t="shared" si="11"/>
        <v>3.4949139543762721E-3</v>
      </c>
      <c r="AV15" s="1">
        <f t="shared" si="12"/>
        <v>0.45329604560220521</v>
      </c>
      <c r="AW15" s="1">
        <f t="shared" si="13"/>
        <v>-8.9831914091846078E-3</v>
      </c>
      <c r="AX15" s="1">
        <f t="shared" si="14"/>
        <v>-1.0872727422739372</v>
      </c>
      <c r="AY15" s="20">
        <f t="shared" si="18"/>
        <v>-3600</v>
      </c>
      <c r="AZ15" s="1">
        <f t="shared" si="15"/>
        <v>4329.322373781677</v>
      </c>
      <c r="BA15" s="1">
        <f t="shared" si="16"/>
        <v>4329.322373781677</v>
      </c>
      <c r="BB15" s="1">
        <f t="shared" si="19"/>
        <v>22</v>
      </c>
      <c r="BC15" s="53">
        <f t="shared" si="20"/>
        <v>236.56366437744799</v>
      </c>
      <c r="BD15" s="53">
        <f t="shared" si="21"/>
        <v>113.41835607774652</v>
      </c>
      <c r="BE15" s="53">
        <f t="shared" si="22"/>
        <v>1.0879105094452926</v>
      </c>
      <c r="BF15" s="53">
        <f t="shared" si="23"/>
        <v>1.0165690862575407</v>
      </c>
      <c r="BG15" s="53">
        <f t="shared" si="24"/>
        <v>-2.1559659382043059</v>
      </c>
      <c r="BH15" s="53">
        <f t="shared" si="25"/>
        <v>-0.47431250640494732</v>
      </c>
      <c r="BI15" s="53">
        <f t="shared" si="26"/>
        <v>-2.6094545814574492</v>
      </c>
      <c r="BJ15" s="53">
        <f t="shared" si="27"/>
        <v>-3.3972036723823089E-2</v>
      </c>
    </row>
    <row r="16" spans="1:62" x14ac:dyDescent="0.25">
      <c r="B16" s="15" t="s">
        <v>75</v>
      </c>
      <c r="C16" s="18" t="s">
        <v>98</v>
      </c>
      <c r="D16" s="15" t="s">
        <v>89</v>
      </c>
      <c r="E16" s="31">
        <v>40871</v>
      </c>
      <c r="F16" s="31">
        <v>40871</v>
      </c>
      <c r="G16" s="27">
        <f t="shared" si="1"/>
        <v>40871</v>
      </c>
      <c r="H16" s="15">
        <v>30</v>
      </c>
      <c r="I16" s="15" t="s">
        <v>3</v>
      </c>
      <c r="J16" s="18">
        <v>10</v>
      </c>
      <c r="K16" s="18">
        <v>24</v>
      </c>
      <c r="L16" s="18">
        <v>15</v>
      </c>
      <c r="M16" s="15">
        <f t="shared" si="2"/>
        <v>-3600</v>
      </c>
      <c r="N16" s="6">
        <v>17.156308411984899</v>
      </c>
      <c r="O16" s="6">
        <v>0.97900660634958103</v>
      </c>
      <c r="P16" s="6">
        <v>4.4422862203968901E-3</v>
      </c>
      <c r="Q16" s="6">
        <v>0.57623572277735902</v>
      </c>
      <c r="R16" s="6">
        <v>-1.10165894059586E-2</v>
      </c>
      <c r="S16" s="6">
        <v>-1.0810824478784999</v>
      </c>
      <c r="T16" s="6">
        <v>0.92863524091392702</v>
      </c>
      <c r="U16" s="16">
        <f t="shared" si="3"/>
        <v>4117.5140188763753</v>
      </c>
      <c r="V16" s="6">
        <v>4117.5140188763799</v>
      </c>
      <c r="W16" s="18">
        <v>0</v>
      </c>
      <c r="X16" s="6">
        <v>-3600</v>
      </c>
      <c r="Y16" s="6">
        <v>4117.5140188763799</v>
      </c>
      <c r="Z16" s="6">
        <v>517.51401887637905</v>
      </c>
      <c r="AA16" s="6">
        <v>-3600</v>
      </c>
      <c r="AB16" s="6">
        <v>4117.5140188763799</v>
      </c>
      <c r="AC16" s="6">
        <v>517.51401887637905</v>
      </c>
      <c r="AD16" s="9">
        <v>1.31117134618641E-2</v>
      </c>
      <c r="AE16" s="9">
        <v>47.082200709224942</v>
      </c>
      <c r="AF16" s="9">
        <v>1</v>
      </c>
      <c r="AG16" s="9">
        <f t="shared" si="4"/>
        <v>240</v>
      </c>
      <c r="AH16" s="9">
        <v>1</v>
      </c>
      <c r="AI16" s="9">
        <v>15</v>
      </c>
      <c r="AJ16" s="36" t="s">
        <v>98</v>
      </c>
      <c r="AK16" s="9"/>
      <c r="AL16" s="9">
        <v>0</v>
      </c>
      <c r="AM16" s="9">
        <v>24</v>
      </c>
      <c r="AN16" s="9">
        <f t="shared" si="5"/>
        <v>24</v>
      </c>
      <c r="AO16" s="53">
        <f t="shared" si="6"/>
        <v>1</v>
      </c>
      <c r="AP16" s="53">
        <f t="shared" si="7"/>
        <v>30</v>
      </c>
      <c r="AQ16" s="1" t="str">
        <f t="shared" si="17"/>
        <v>C</v>
      </c>
      <c r="AR16" s="1">
        <f t="shared" si="8"/>
        <v>17.156308413519923</v>
      </c>
      <c r="AS16" s="1">
        <f t="shared" si="9"/>
        <v>15</v>
      </c>
      <c r="AT16" s="1">
        <f t="shared" si="10"/>
        <v>0.97900660628737968</v>
      </c>
      <c r="AU16" s="1">
        <f t="shared" si="11"/>
        <v>4.442286220396675E-3</v>
      </c>
      <c r="AV16" s="1">
        <f t="shared" si="12"/>
        <v>0.57623572277733637</v>
      </c>
      <c r="AW16" s="1">
        <f t="shared" si="13"/>
        <v>-1.1016589405903018E-2</v>
      </c>
      <c r="AX16" s="1">
        <f t="shared" si="14"/>
        <v>-1.0810824479752281</v>
      </c>
      <c r="AY16" s="20">
        <f t="shared" si="18"/>
        <v>-3600</v>
      </c>
      <c r="AZ16" s="1">
        <f t="shared" si="15"/>
        <v>4117.5140192447816</v>
      </c>
      <c r="BA16" s="1">
        <f t="shared" si="16"/>
        <v>4117.5140192447816</v>
      </c>
      <c r="BB16" s="1">
        <f t="shared" si="19"/>
        <v>23</v>
      </c>
      <c r="BC16" s="53">
        <f t="shared" si="20"/>
        <v>235.49465985541875</v>
      </c>
      <c r="BD16" s="53">
        <f t="shared" si="21"/>
        <v>110.74325366167714</v>
      </c>
      <c r="BE16" s="53">
        <f t="shared" si="22"/>
        <v>1.3829657346656072</v>
      </c>
      <c r="BF16" s="53">
        <f t="shared" si="23"/>
        <v>1.2842707181869022</v>
      </c>
      <c r="BG16" s="53">
        <f t="shared" si="24"/>
        <v>-2.6439814574167242</v>
      </c>
      <c r="BH16" s="53">
        <f t="shared" si="25"/>
        <v>-0.60811573520584661</v>
      </c>
      <c r="BI16" s="53">
        <f t="shared" si="26"/>
        <v>-2.5945978751405478</v>
      </c>
      <c r="BJ16" s="53">
        <f t="shared" si="27"/>
        <v>-3.4019623887604308E-2</v>
      </c>
    </row>
    <row r="17" spans="1:62" x14ac:dyDescent="0.25">
      <c r="B17" s="15" t="s">
        <v>75</v>
      </c>
      <c r="C17" s="18" t="s">
        <v>98</v>
      </c>
      <c r="D17" s="15" t="s">
        <v>97</v>
      </c>
      <c r="E17" s="31">
        <v>40872</v>
      </c>
      <c r="F17" s="31">
        <v>40872</v>
      </c>
      <c r="G17" s="27">
        <f t="shared" si="1"/>
        <v>40872</v>
      </c>
      <c r="H17" s="15">
        <v>30</v>
      </c>
      <c r="I17" s="15" t="s">
        <v>3</v>
      </c>
      <c r="J17" s="18">
        <v>10</v>
      </c>
      <c r="K17" s="18">
        <v>24</v>
      </c>
      <c r="L17" s="18">
        <v>15</v>
      </c>
      <c r="M17" s="15">
        <f t="shared" si="2"/>
        <v>-3600</v>
      </c>
      <c r="N17" s="6">
        <v>16.149398458930499</v>
      </c>
      <c r="O17" s="6">
        <v>0.97224586693196802</v>
      </c>
      <c r="P17" s="6">
        <v>5.6995024154150404E-3</v>
      </c>
      <c r="Q17" s="6">
        <v>0.73320763370195696</v>
      </c>
      <c r="R17" s="6">
        <v>-1.3513821156689801E-2</v>
      </c>
      <c r="S17" s="6">
        <v>-1.0618782548337899</v>
      </c>
      <c r="T17" s="6">
        <v>0.92293334090424795</v>
      </c>
      <c r="U17" s="16">
        <f t="shared" si="3"/>
        <v>3875.85563014332</v>
      </c>
      <c r="V17" s="6">
        <v>3875.85563014333</v>
      </c>
      <c r="W17" s="18">
        <v>0</v>
      </c>
      <c r="X17" s="6">
        <v>-3600</v>
      </c>
      <c r="Y17" s="6">
        <v>3875.85563014333</v>
      </c>
      <c r="Z17" s="6">
        <v>275.85563014333002</v>
      </c>
      <c r="AA17" s="6">
        <v>-3600</v>
      </c>
      <c r="AB17" s="6">
        <v>3875.85563014333</v>
      </c>
      <c r="AC17" s="6">
        <v>275.85563014333002</v>
      </c>
      <c r="AD17" s="9">
        <v>1.3202245784909399E-2</v>
      </c>
      <c r="AE17" s="9">
        <v>46.041626957170202</v>
      </c>
      <c r="AF17" s="9">
        <v>1</v>
      </c>
      <c r="AG17" s="9">
        <f t="shared" si="4"/>
        <v>240</v>
      </c>
      <c r="AH17" s="9">
        <v>1</v>
      </c>
      <c r="AI17" s="9">
        <v>15</v>
      </c>
      <c r="AJ17" s="36" t="s">
        <v>98</v>
      </c>
      <c r="AK17" s="9"/>
      <c r="AL17" s="9">
        <v>0</v>
      </c>
      <c r="AM17" s="9">
        <v>24</v>
      </c>
      <c r="AN17" s="9">
        <f t="shared" si="5"/>
        <v>24</v>
      </c>
      <c r="AO17" s="53">
        <f t="shared" si="6"/>
        <v>1</v>
      </c>
      <c r="AP17" s="53">
        <f t="shared" si="7"/>
        <v>30</v>
      </c>
      <c r="AQ17" s="1" t="str">
        <f t="shared" si="17"/>
        <v>C</v>
      </c>
      <c r="AR17" s="1">
        <f t="shared" si="8"/>
        <v>16.149398450774012</v>
      </c>
      <c r="AS17" s="1">
        <f t="shared" si="9"/>
        <v>15</v>
      </c>
      <c r="AT17" s="1">
        <f t="shared" si="10"/>
        <v>0.97224586680093439</v>
      </c>
      <c r="AU17" s="1">
        <f t="shared" si="11"/>
        <v>5.6995024154153145E-3</v>
      </c>
      <c r="AV17" s="1">
        <f t="shared" si="12"/>
        <v>0.73320763370198494</v>
      </c>
      <c r="AW17" s="1">
        <f t="shared" si="13"/>
        <v>-1.351382115698541E-2</v>
      </c>
      <c r="AX17" s="1">
        <f t="shared" si="14"/>
        <v>-1.0618782542974692</v>
      </c>
      <c r="AY17" s="20">
        <f t="shared" si="18"/>
        <v>-3600</v>
      </c>
      <c r="AZ17" s="1">
        <f t="shared" si="15"/>
        <v>3875.8556281857627</v>
      </c>
      <c r="BA17" s="1">
        <f t="shared" si="16"/>
        <v>3875.8556281857627</v>
      </c>
      <c r="BB17" s="1">
        <f t="shared" si="19"/>
        <v>24</v>
      </c>
      <c r="BC17" s="53">
        <f t="shared" si="20"/>
        <v>234.02294832207411</v>
      </c>
      <c r="BD17" s="53">
        <f t="shared" si="21"/>
        <v>107.57805943485275</v>
      </c>
      <c r="BE17" s="53">
        <f t="shared" si="22"/>
        <v>1.7596983208847639</v>
      </c>
      <c r="BF17" s="53">
        <f t="shared" si="23"/>
        <v>1.6240842502777704</v>
      </c>
      <c r="BG17" s="53">
        <f t="shared" si="24"/>
        <v>-3.2433170776764984</v>
      </c>
      <c r="BH17" s="53">
        <f t="shared" si="25"/>
        <v>-0.7783960986423597</v>
      </c>
      <c r="BI17" s="53">
        <f t="shared" si="26"/>
        <v>-2.548507810313926</v>
      </c>
      <c r="BJ17" s="53">
        <f t="shared" si="27"/>
        <v>-3.3646026496525712E-2</v>
      </c>
    </row>
    <row r="18" spans="1:62" x14ac:dyDescent="0.25">
      <c r="B18" s="15" t="s">
        <v>75</v>
      </c>
      <c r="C18" s="18" t="s">
        <v>98</v>
      </c>
      <c r="D18" s="15" t="s">
        <v>99</v>
      </c>
      <c r="E18" s="31">
        <v>40873</v>
      </c>
      <c r="F18" s="31">
        <v>40873</v>
      </c>
      <c r="G18" s="27">
        <f t="shared" si="1"/>
        <v>40873</v>
      </c>
      <c r="H18" s="15">
        <v>30</v>
      </c>
      <c r="I18" s="15" t="s">
        <v>3</v>
      </c>
      <c r="J18" s="18">
        <v>10</v>
      </c>
      <c r="K18" s="18">
        <v>24</v>
      </c>
      <c r="L18" s="18">
        <v>15</v>
      </c>
      <c r="M18" s="15">
        <f t="shared" si="2"/>
        <v>-3600</v>
      </c>
      <c r="N18" s="6">
        <v>13.971128232236699</v>
      </c>
      <c r="O18" s="6">
        <v>0.95395106538878804</v>
      </c>
      <c r="P18" s="6">
        <v>9.0412904015448707E-3</v>
      </c>
      <c r="Q18" s="6">
        <v>1.08829618273937</v>
      </c>
      <c r="R18" s="6">
        <v>-1.9457587232826999E-2</v>
      </c>
      <c r="S18" s="6">
        <v>-0.95692659124908896</v>
      </c>
      <c r="T18" s="6">
        <v>0.91731912577766905</v>
      </c>
      <c r="U18" s="16">
        <f t="shared" si="3"/>
        <v>3353.0707757368082</v>
      </c>
      <c r="V18" s="6">
        <v>3353.07077573681</v>
      </c>
      <c r="W18" s="18">
        <v>0</v>
      </c>
      <c r="X18" s="6">
        <v>-3600</v>
      </c>
      <c r="Y18" s="6">
        <v>3353.07077573681</v>
      </c>
      <c r="Z18" s="6">
        <v>-246.92922426319001</v>
      </c>
      <c r="AA18" s="6">
        <v>-3600</v>
      </c>
      <c r="AB18" s="6">
        <v>3353.07077573681</v>
      </c>
      <c r="AC18" s="6">
        <v>-246.92922426319001</v>
      </c>
      <c r="AD18" s="9">
        <v>1.32902259843672E-2</v>
      </c>
      <c r="AE18" s="9">
        <v>43.769798490252079</v>
      </c>
      <c r="AF18" s="9">
        <v>1</v>
      </c>
      <c r="AG18" s="9">
        <f t="shared" si="4"/>
        <v>240</v>
      </c>
      <c r="AH18" s="9">
        <v>1</v>
      </c>
      <c r="AI18" s="9">
        <v>15</v>
      </c>
      <c r="AJ18" s="36" t="s">
        <v>98</v>
      </c>
      <c r="AK18" s="9"/>
      <c r="AL18" s="9">
        <v>0</v>
      </c>
      <c r="AM18" s="9">
        <v>24</v>
      </c>
      <c r="AN18" s="9">
        <f t="shared" si="5"/>
        <v>24</v>
      </c>
      <c r="AO18" s="53">
        <f t="shared" si="6"/>
        <v>1</v>
      </c>
      <c r="AP18" s="53">
        <f t="shared" si="7"/>
        <v>30</v>
      </c>
      <c r="AQ18" s="1" t="str">
        <f t="shared" si="17"/>
        <v>C</v>
      </c>
      <c r="AR18" s="1">
        <f t="shared" si="8"/>
        <v>13.971128234917678</v>
      </c>
      <c r="AS18" s="1">
        <f t="shared" si="9"/>
        <v>15</v>
      </c>
      <c r="AT18" s="1">
        <f t="shared" si="10"/>
        <v>0.95395106546165986</v>
      </c>
      <c r="AU18" s="1">
        <f t="shared" si="11"/>
        <v>9.0412904015450043E-3</v>
      </c>
      <c r="AV18" s="1">
        <f t="shared" si="12"/>
        <v>1.0882961827393793</v>
      </c>
      <c r="AW18" s="1">
        <f t="shared" si="13"/>
        <v>-1.9457587232729598E-2</v>
      </c>
      <c r="AX18" s="1">
        <f t="shared" si="14"/>
        <v>-0.95692659143271763</v>
      </c>
      <c r="AY18" s="20">
        <f t="shared" si="18"/>
        <v>-3600</v>
      </c>
      <c r="AZ18" s="1">
        <f t="shared" si="15"/>
        <v>3353.0707763802429</v>
      </c>
      <c r="BA18" s="1">
        <f t="shared" si="16"/>
        <v>3353.0707763802429</v>
      </c>
      <c r="BB18" s="1">
        <f t="shared" si="19"/>
        <v>25</v>
      </c>
      <c r="BC18" s="53">
        <f t="shared" si="20"/>
        <v>230.03321055898377</v>
      </c>
      <c r="BD18" s="53">
        <f t="shared" si="21"/>
        <v>100.41804530709695</v>
      </c>
      <c r="BE18" s="53">
        <f t="shared" si="22"/>
        <v>2.6119108385745102</v>
      </c>
      <c r="BF18" s="53">
        <f t="shared" si="23"/>
        <v>2.3959557670503884</v>
      </c>
      <c r="BG18" s="53">
        <f t="shared" si="24"/>
        <v>-4.6698209358551033</v>
      </c>
      <c r="BH18" s="53">
        <f t="shared" si="25"/>
        <v>-1.1674552339637758</v>
      </c>
      <c r="BI18" s="53">
        <f t="shared" si="26"/>
        <v>-2.2966238194385222</v>
      </c>
      <c r="BJ18" s="53">
        <f t="shared" si="27"/>
        <v>-3.0522649561418494E-2</v>
      </c>
    </row>
    <row r="19" spans="1:62" x14ac:dyDescent="0.25">
      <c r="B19" s="15" t="s">
        <v>75</v>
      </c>
      <c r="C19" s="18" t="s">
        <v>98</v>
      </c>
      <c r="D19" s="15" t="s">
        <v>100</v>
      </c>
      <c r="E19" s="31">
        <v>40874</v>
      </c>
      <c r="F19" s="31">
        <v>40874</v>
      </c>
      <c r="G19" s="27">
        <f t="shared" si="1"/>
        <v>40874</v>
      </c>
      <c r="H19" s="15">
        <v>30</v>
      </c>
      <c r="I19" s="15" t="s">
        <v>3</v>
      </c>
      <c r="J19" s="18">
        <v>10</v>
      </c>
      <c r="K19" s="18">
        <v>24</v>
      </c>
      <c r="L19" s="18">
        <v>15</v>
      </c>
      <c r="M19" s="15">
        <f t="shared" si="2"/>
        <v>-3600</v>
      </c>
      <c r="N19" s="6">
        <v>13.245491025687</v>
      </c>
      <c r="O19" s="6">
        <v>0.94431377665699201</v>
      </c>
      <c r="P19" s="6">
        <v>1.0590263192160601E-2</v>
      </c>
      <c r="Q19" s="6">
        <v>1.27124716383748</v>
      </c>
      <c r="R19" s="6">
        <v>-2.1805283320828601E-2</v>
      </c>
      <c r="S19" s="6">
        <v>-0.943514429227018</v>
      </c>
      <c r="T19" s="6">
        <v>0.911793254885088</v>
      </c>
      <c r="U19" s="16">
        <f t="shared" si="3"/>
        <v>3178.9178461648798</v>
      </c>
      <c r="V19" s="6">
        <v>3178.9178461648798</v>
      </c>
      <c r="W19" s="18">
        <v>0</v>
      </c>
      <c r="X19" s="6">
        <v>-3600</v>
      </c>
      <c r="Y19" s="6">
        <v>3178.9178461648798</v>
      </c>
      <c r="Z19" s="6">
        <v>-421.08215383512402</v>
      </c>
      <c r="AA19" s="6">
        <v>-3600</v>
      </c>
      <c r="AB19" s="6">
        <v>3178.9178461648798</v>
      </c>
      <c r="AC19" s="6">
        <v>-421.08215383512402</v>
      </c>
      <c r="AD19" s="9">
        <v>1.3375448119222699E-2</v>
      </c>
      <c r="AE19" s="9">
        <v>42.990568922977531</v>
      </c>
      <c r="AF19" s="9">
        <v>1</v>
      </c>
      <c r="AG19" s="9">
        <f t="shared" si="4"/>
        <v>240</v>
      </c>
      <c r="AH19" s="9">
        <v>1</v>
      </c>
      <c r="AI19" s="9">
        <v>15</v>
      </c>
      <c r="AJ19" s="36" t="s">
        <v>98</v>
      </c>
      <c r="AK19" s="9"/>
      <c r="AL19" s="9">
        <v>0</v>
      </c>
      <c r="AM19" s="9">
        <v>24</v>
      </c>
      <c r="AN19" s="9">
        <f t="shared" si="5"/>
        <v>24</v>
      </c>
      <c r="AO19" s="53">
        <f t="shared" si="6"/>
        <v>1</v>
      </c>
      <c r="AP19" s="53">
        <f t="shared" si="7"/>
        <v>30</v>
      </c>
      <c r="AQ19" s="1" t="str">
        <f t="shared" si="17"/>
        <v>C</v>
      </c>
      <c r="AR19" s="1">
        <f t="shared" si="8"/>
        <v>13.245491032312698</v>
      </c>
      <c r="AS19" s="1">
        <f t="shared" si="9"/>
        <v>15</v>
      </c>
      <c r="AT19" s="1">
        <f t="shared" si="10"/>
        <v>0.94431377684198115</v>
      </c>
      <c r="AU19" s="1">
        <f t="shared" si="11"/>
        <v>1.0590263192160847E-2</v>
      </c>
      <c r="AV19" s="1">
        <f t="shared" si="12"/>
        <v>1.271247163837506</v>
      </c>
      <c r="AW19" s="1">
        <f t="shared" si="13"/>
        <v>-2.1805283320586205E-2</v>
      </c>
      <c r="AX19" s="1">
        <f t="shared" si="14"/>
        <v>-0.94351442969898669</v>
      </c>
      <c r="AY19" s="20">
        <f t="shared" si="18"/>
        <v>-3600</v>
      </c>
      <c r="AZ19" s="1">
        <f t="shared" si="15"/>
        <v>3178.9178477550477</v>
      </c>
      <c r="BA19" s="1">
        <f t="shared" si="16"/>
        <v>3178.9178477550477</v>
      </c>
      <c r="BB19" s="1">
        <f t="shared" si="19"/>
        <v>26</v>
      </c>
      <c r="BC19" s="53">
        <f t="shared" si="20"/>
        <v>227.90613802513477</v>
      </c>
      <c r="BD19" s="53">
        <f t="shared" si="21"/>
        <v>97.666681317122226</v>
      </c>
      <c r="BE19" s="53">
        <f t="shared" si="22"/>
        <v>3.0509931932100143</v>
      </c>
      <c r="BF19" s="53">
        <f t="shared" si="23"/>
        <v>2.781875014269207</v>
      </c>
      <c r="BG19" s="53">
        <f t="shared" si="24"/>
        <v>-5.2332679969406897</v>
      </c>
      <c r="BH19" s="53">
        <f t="shared" si="25"/>
        <v>-1.3606496792045795</v>
      </c>
      <c r="BI19" s="53">
        <f t="shared" si="26"/>
        <v>-2.2644346312775681</v>
      </c>
      <c r="BJ19" s="53">
        <f t="shared" si="27"/>
        <v>-3.0287827930024293E-2</v>
      </c>
    </row>
    <row r="20" spans="1:62" s="19" customFormat="1" x14ac:dyDescent="0.25">
      <c r="B20" s="38"/>
      <c r="C20" s="39"/>
      <c r="D20" s="38"/>
      <c r="E20" s="32"/>
      <c r="F20" s="32"/>
      <c r="G20" s="40"/>
      <c r="H20" s="38"/>
      <c r="I20" s="38"/>
      <c r="J20" s="39"/>
      <c r="K20" s="39"/>
      <c r="L20" s="39"/>
      <c r="M20" s="38"/>
      <c r="U20" s="41"/>
      <c r="W20" s="39"/>
      <c r="AJ20" s="39"/>
      <c r="AQ20" s="42"/>
      <c r="AR20" s="42"/>
      <c r="AS20" s="42"/>
      <c r="AT20" s="42"/>
      <c r="AU20" s="42"/>
      <c r="AV20" s="42"/>
      <c r="AW20" s="42"/>
      <c r="AX20" s="42"/>
      <c r="AY20" s="43"/>
      <c r="AZ20" s="42"/>
      <c r="BA20" s="42"/>
      <c r="BB20" s="1">
        <f t="shared" si="19"/>
        <v>-40848</v>
      </c>
      <c r="BC20" s="53">
        <f t="shared" si="20"/>
        <v>0</v>
      </c>
      <c r="BD20" s="53">
        <f t="shared" si="21"/>
        <v>0</v>
      </c>
      <c r="BE20" s="53">
        <f t="shared" si="22"/>
        <v>0</v>
      </c>
      <c r="BF20" s="53">
        <f t="shared" si="23"/>
        <v>0</v>
      </c>
      <c r="BG20" s="53">
        <f t="shared" si="24"/>
        <v>0</v>
      </c>
      <c r="BH20" s="53">
        <f t="shared" si="25"/>
        <v>0</v>
      </c>
      <c r="BI20" s="53">
        <f t="shared" si="26"/>
        <v>0</v>
      </c>
      <c r="BJ20" s="53">
        <f t="shared" si="27"/>
        <v>0</v>
      </c>
    </row>
    <row r="21" spans="1:62" x14ac:dyDescent="0.25">
      <c r="A21" s="53" t="s">
        <v>104</v>
      </c>
      <c r="B21" s="15" t="s">
        <v>75</v>
      </c>
      <c r="C21" s="15" t="s">
        <v>95</v>
      </c>
      <c r="D21" s="15" t="s">
        <v>86</v>
      </c>
      <c r="E21" s="31">
        <v>40544</v>
      </c>
      <c r="F21" s="31">
        <v>40633</v>
      </c>
      <c r="G21" s="27">
        <f>F21</f>
        <v>40633</v>
      </c>
      <c r="H21" s="15">
        <v>30</v>
      </c>
      <c r="I21" s="15" t="s">
        <v>7</v>
      </c>
      <c r="J21" s="15">
        <v>10</v>
      </c>
      <c r="K21" s="15">
        <v>2159</v>
      </c>
      <c r="L21" s="15">
        <v>15</v>
      </c>
      <c r="M21" s="15">
        <f>-L21*K21*J21</f>
        <v>-323850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16">
        <f>N21*J21*K21</f>
        <v>0</v>
      </c>
      <c r="V21" s="6">
        <v>0</v>
      </c>
      <c r="W21" s="15">
        <v>0</v>
      </c>
      <c r="X21" s="6">
        <v>456755.6</v>
      </c>
      <c r="Y21" s="6">
        <v>0</v>
      </c>
      <c r="Z21" s="6">
        <v>456755.6</v>
      </c>
      <c r="AA21" s="6">
        <v>456755.6</v>
      </c>
      <c r="AB21" s="6">
        <v>0</v>
      </c>
      <c r="AC21" s="6">
        <v>456755.6</v>
      </c>
      <c r="AD21" s="10">
        <v>0</v>
      </c>
      <c r="AE21" s="10">
        <v>0</v>
      </c>
      <c r="AF21" s="9">
        <v>1</v>
      </c>
      <c r="AG21" s="9">
        <f>J21*K21</f>
        <v>21590</v>
      </c>
      <c r="AH21" s="9">
        <v>1</v>
      </c>
      <c r="AI21" s="9">
        <f>L21</f>
        <v>15</v>
      </c>
      <c r="AJ21" s="9" t="s">
        <v>95</v>
      </c>
      <c r="AK21" s="9">
        <v>66.155886984715096</v>
      </c>
      <c r="AL21" s="9">
        <v>2159</v>
      </c>
      <c r="AM21" s="9">
        <v>0</v>
      </c>
      <c r="AN21" s="9">
        <f>AL21+AM21</f>
        <v>2159</v>
      </c>
      <c r="AO21" s="53">
        <f>IF($E$9&gt;=E21,AM21/(AN21),1)</f>
        <v>0</v>
      </c>
      <c r="AP21" s="53" t="e">
        <f>IF($E$9&gt;=E21,(AN21/AM21)*H21-(AL21/AM21)*AK21,H21)</f>
        <v>#DIV/0!</v>
      </c>
      <c r="AQ21" s="1" t="str">
        <f>MID(C21,4,1)</f>
        <v>C</v>
      </c>
      <c r="AR21" s="1">
        <f>B76Future($E$9,AQ21,AE21,AP21,G21,T21,AD21)*AF21*AO21</f>
        <v>0</v>
      </c>
      <c r="AS21" s="1">
        <f>AI21*AF21</f>
        <v>15</v>
      </c>
      <c r="AT21" s="1">
        <f>B76Delta($E$9,AQ21,AE21,AP21,G21,T21,AD21)*AO21</f>
        <v>0</v>
      </c>
      <c r="AU21" s="1">
        <f>B76Gamma($E$9,AQ21,AE21,AP21,G21,T21,AD21)*AO21</f>
        <v>0</v>
      </c>
      <c r="AV21" s="1">
        <f>B76Vega($E$9,AQ21,AE21,AP21,G21,T21,AD21)*AO21</f>
        <v>0</v>
      </c>
      <c r="AW21" s="1">
        <f>B76Theta($E$9,AQ21,AE21,AP21,G21,T21,AD21)*AO21</f>
        <v>0</v>
      </c>
      <c r="AX21" s="1">
        <f>B76Rho($E$9,AQ21,AE21,AP21,G21,T21,AD21)*AO21</f>
        <v>0</v>
      </c>
      <c r="AY21" s="20">
        <f>-AS21*AG21*AH21</f>
        <v>-323850</v>
      </c>
      <c r="AZ21" s="1">
        <f>AR21*AG21*AH21</f>
        <v>0</v>
      </c>
      <c r="BA21" s="1">
        <f>AZ21</f>
        <v>0</v>
      </c>
      <c r="BB21" s="1">
        <f t="shared" si="19"/>
        <v>-215</v>
      </c>
      <c r="BC21" s="53">
        <f t="shared" si="20"/>
        <v>0</v>
      </c>
      <c r="BD21" s="53">
        <f t="shared" si="21"/>
        <v>0</v>
      </c>
      <c r="BE21" s="53">
        <f t="shared" si="22"/>
        <v>0</v>
      </c>
      <c r="BF21" s="53">
        <f t="shared" si="23"/>
        <v>0</v>
      </c>
      <c r="BG21" s="53">
        <f t="shared" si="24"/>
        <v>0</v>
      </c>
      <c r="BH21" s="53">
        <f t="shared" si="25"/>
        <v>0</v>
      </c>
      <c r="BI21" s="53">
        <f t="shared" si="26"/>
        <v>0</v>
      </c>
      <c r="BJ21" s="53">
        <f t="shared" si="27"/>
        <v>0</v>
      </c>
    </row>
    <row r="22" spans="1:62" x14ac:dyDescent="0.25">
      <c r="B22" s="15" t="s">
        <v>75</v>
      </c>
      <c r="C22" s="17" t="s">
        <v>95</v>
      </c>
      <c r="D22" s="15" t="s">
        <v>87</v>
      </c>
      <c r="E22" s="31">
        <v>40634</v>
      </c>
      <c r="F22" s="31">
        <v>40724</v>
      </c>
      <c r="G22" s="27">
        <f>F22</f>
        <v>40724</v>
      </c>
      <c r="H22" s="15">
        <v>30</v>
      </c>
      <c r="I22" s="15" t="s">
        <v>7</v>
      </c>
      <c r="J22" s="15">
        <v>10</v>
      </c>
      <c r="K22" s="15">
        <v>2184</v>
      </c>
      <c r="L22" s="15">
        <v>15</v>
      </c>
      <c r="M22" s="15">
        <f>-L22*K22*J22</f>
        <v>-327600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16">
        <f>N22*J22*K22</f>
        <v>0</v>
      </c>
      <c r="V22" s="6">
        <v>0</v>
      </c>
      <c r="W22" s="15">
        <v>0</v>
      </c>
      <c r="X22" s="6">
        <v>158799.299999999</v>
      </c>
      <c r="Y22" s="6">
        <v>0</v>
      </c>
      <c r="Z22" s="6">
        <v>158799.299999999</v>
      </c>
      <c r="AA22" s="6">
        <v>158799.299999999</v>
      </c>
      <c r="AB22" s="6">
        <v>0</v>
      </c>
      <c r="AC22" s="6">
        <v>158799.299999999</v>
      </c>
      <c r="AD22" s="9">
        <v>0</v>
      </c>
      <c r="AE22" s="9">
        <v>0</v>
      </c>
      <c r="AF22" s="9">
        <v>1</v>
      </c>
      <c r="AG22" s="9">
        <f>J22*K22</f>
        <v>21840</v>
      </c>
      <c r="AH22" s="9">
        <v>1</v>
      </c>
      <c r="AI22" s="9">
        <f>L22</f>
        <v>15</v>
      </c>
      <c r="AJ22" s="9" t="s">
        <v>95</v>
      </c>
      <c r="AK22" s="9">
        <v>52.271030219780201</v>
      </c>
      <c r="AL22" s="9">
        <v>2184</v>
      </c>
      <c r="AM22" s="9">
        <v>0</v>
      </c>
      <c r="AN22" s="9">
        <f>AL22+AM22</f>
        <v>2184</v>
      </c>
      <c r="AO22" s="53">
        <f>IF($E$9&gt;=E22,AM22/(AN22),1)</f>
        <v>0</v>
      </c>
      <c r="AP22" s="53" t="e">
        <f>IF($E$9&gt;=E22,(AN22/AM22)*H22-(AL22/AM22)*AK22,H22)</f>
        <v>#DIV/0!</v>
      </c>
      <c r="AQ22" s="1" t="str">
        <f>MID(C22,4,1)</f>
        <v>C</v>
      </c>
      <c r="AR22" s="1">
        <f>B76Future($E$9,AQ22,AE22,AP22,G22,T22,AD22)*AF22*AO22</f>
        <v>0</v>
      </c>
      <c r="AS22" s="1">
        <f>AI22*AF22</f>
        <v>15</v>
      </c>
      <c r="AT22" s="1">
        <f>B76Delta($E$9,AQ22,AE22,AP22,G22,T22,AD22)*AO22</f>
        <v>0</v>
      </c>
      <c r="AU22" s="1">
        <f>B76Gamma($E$9,AQ22,AE22,AP22,G22,T22,AD22)*AO22</f>
        <v>0</v>
      </c>
      <c r="AV22" s="1">
        <f>B76Vega($E$9,AQ22,AE22,AP22,G22,T22,AD22)*AO22</f>
        <v>0</v>
      </c>
      <c r="AW22" s="1">
        <f>B76Theta($E$9,AQ22,AE22,AP22,G22,T22,AD22)*AO22</f>
        <v>0</v>
      </c>
      <c r="AX22" s="1">
        <f>B76Rho($E$9,AQ22,AE22,AP22,G22,T22,AD22)*AO22</f>
        <v>0</v>
      </c>
      <c r="AY22" s="20">
        <f>-AS22*AG22*AH22</f>
        <v>-327600</v>
      </c>
      <c r="AZ22" s="1">
        <f>AR22*AG22*AH22</f>
        <v>0</v>
      </c>
      <c r="BA22" s="1">
        <f>AZ22</f>
        <v>0</v>
      </c>
      <c r="BB22" s="1">
        <f t="shared" si="19"/>
        <v>-124</v>
      </c>
      <c r="BC22" s="53">
        <f t="shared" si="20"/>
        <v>0</v>
      </c>
      <c r="BD22" s="53">
        <f t="shared" si="21"/>
        <v>0</v>
      </c>
      <c r="BE22" s="53">
        <f t="shared" si="22"/>
        <v>0</v>
      </c>
      <c r="BF22" s="53">
        <f t="shared" si="23"/>
        <v>0</v>
      </c>
      <c r="BG22" s="53">
        <f t="shared" si="24"/>
        <v>0</v>
      </c>
      <c r="BH22" s="53">
        <f t="shared" si="25"/>
        <v>0</v>
      </c>
      <c r="BI22" s="53">
        <f t="shared" si="26"/>
        <v>0</v>
      </c>
      <c r="BJ22" s="53">
        <f t="shared" si="27"/>
        <v>0</v>
      </c>
    </row>
    <row r="23" spans="1:62" x14ac:dyDescent="0.25">
      <c r="B23" s="15" t="s">
        <v>75</v>
      </c>
      <c r="C23" s="18" t="s">
        <v>95</v>
      </c>
      <c r="D23" s="15" t="s">
        <v>88</v>
      </c>
      <c r="E23" s="31">
        <v>40725</v>
      </c>
      <c r="F23" s="31">
        <v>40816</v>
      </c>
      <c r="G23" s="27">
        <f>F23</f>
        <v>40816</v>
      </c>
      <c r="H23" s="15">
        <v>30</v>
      </c>
      <c r="I23" s="15" t="s">
        <v>7</v>
      </c>
      <c r="J23" s="18">
        <v>10</v>
      </c>
      <c r="K23" s="18">
        <v>2208</v>
      </c>
      <c r="L23" s="18">
        <v>15</v>
      </c>
      <c r="M23" s="15">
        <f>-L23*K23*J23</f>
        <v>-331200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16">
        <f>N23*J23*K23</f>
        <v>0</v>
      </c>
      <c r="V23" s="6">
        <v>0</v>
      </c>
      <c r="W23" s="18">
        <v>0</v>
      </c>
      <c r="X23" s="6">
        <v>-198071.6</v>
      </c>
      <c r="Y23" s="6">
        <v>0</v>
      </c>
      <c r="Z23" s="6">
        <v>-198071.6</v>
      </c>
      <c r="AA23" s="6">
        <v>-198071.6</v>
      </c>
      <c r="AB23" s="6">
        <v>0</v>
      </c>
      <c r="AC23" s="6">
        <v>-198071.6</v>
      </c>
      <c r="AD23" s="9">
        <v>0</v>
      </c>
      <c r="AE23" s="9">
        <v>0</v>
      </c>
      <c r="AF23" s="9">
        <v>1</v>
      </c>
      <c r="AG23" s="9">
        <f>J23*K23</f>
        <v>22080</v>
      </c>
      <c r="AH23" s="9">
        <v>1</v>
      </c>
      <c r="AI23" s="9">
        <f>L23</f>
        <v>15</v>
      </c>
      <c r="AJ23" s="9" t="s">
        <v>95</v>
      </c>
      <c r="AK23" s="9">
        <v>36.029365942029003</v>
      </c>
      <c r="AL23" s="9">
        <v>2208</v>
      </c>
      <c r="AM23" s="9">
        <v>0</v>
      </c>
      <c r="AN23" s="9">
        <f>AL23+AM23</f>
        <v>2208</v>
      </c>
      <c r="AO23" s="53">
        <f>IF($E$9&gt;=E23,AM23/(AN23),1)</f>
        <v>0</v>
      </c>
      <c r="AP23" s="53" t="e">
        <f>IF($E$9&gt;=E23,(AN23/AM23)*H23-(AL23/AM23)*AK23,H23)</f>
        <v>#DIV/0!</v>
      </c>
      <c r="AQ23" s="1" t="str">
        <f>MID(C23,4,1)</f>
        <v>C</v>
      </c>
      <c r="AR23" s="1">
        <f>B76Future($E$9,AQ23,AE23,AP23,G23,T23,AD23)*AF23*AO23</f>
        <v>0</v>
      </c>
      <c r="AS23" s="1">
        <f>AI23*AF23</f>
        <v>15</v>
      </c>
      <c r="AT23" s="1">
        <f>B76Delta($E$9,AQ23,AE23,AP23,G23,T23,AD23)*AO23</f>
        <v>0</v>
      </c>
      <c r="AU23" s="1">
        <f>B76Gamma($E$9,AQ23,AE23,AP23,G23,T23,AD23)*AO23</f>
        <v>0</v>
      </c>
      <c r="AV23" s="1">
        <f>B76Vega($E$9,AQ23,AE23,AP23,G23,T23,AD23)*AO23</f>
        <v>0</v>
      </c>
      <c r="AW23" s="1">
        <f>B76Theta($E$9,AQ23,AE23,AP23,G23,T23,AD23)*AO23</f>
        <v>0</v>
      </c>
      <c r="AX23" s="1">
        <f>B76Rho($E$9,AQ23,AE23,AP23,G23,T23,AD23)*AO23</f>
        <v>0</v>
      </c>
      <c r="AY23" s="20">
        <f>-AS23*AG23*AH23</f>
        <v>-331200</v>
      </c>
      <c r="AZ23" s="1">
        <f>AR23*AG23*AH23</f>
        <v>0</v>
      </c>
      <c r="BA23" s="1">
        <f>AZ23</f>
        <v>0</v>
      </c>
      <c r="BB23" s="1">
        <f t="shared" si="19"/>
        <v>-32</v>
      </c>
      <c r="BC23" s="53">
        <f t="shared" si="20"/>
        <v>0</v>
      </c>
      <c r="BD23" s="53">
        <f t="shared" si="21"/>
        <v>0</v>
      </c>
      <c r="BE23" s="53">
        <f t="shared" si="22"/>
        <v>0</v>
      </c>
      <c r="BF23" s="53">
        <f t="shared" si="23"/>
        <v>0</v>
      </c>
      <c r="BG23" s="53">
        <f t="shared" si="24"/>
        <v>0</v>
      </c>
      <c r="BH23" s="53">
        <f t="shared" si="25"/>
        <v>0</v>
      </c>
      <c r="BI23" s="53">
        <f t="shared" si="26"/>
        <v>0</v>
      </c>
      <c r="BJ23" s="53">
        <f t="shared" si="27"/>
        <v>0</v>
      </c>
    </row>
    <row r="24" spans="1:62" x14ac:dyDescent="0.25">
      <c r="B24" s="15" t="s">
        <v>75</v>
      </c>
      <c r="C24" s="18" t="s">
        <v>95</v>
      </c>
      <c r="D24" s="15" t="s">
        <v>89</v>
      </c>
      <c r="E24" s="31">
        <v>40817</v>
      </c>
      <c r="F24" s="31">
        <v>40908</v>
      </c>
      <c r="G24" s="27">
        <f>F24</f>
        <v>40908</v>
      </c>
      <c r="H24" s="15">
        <v>30</v>
      </c>
      <c r="I24" s="15" t="s">
        <v>3</v>
      </c>
      <c r="J24" s="18">
        <v>10</v>
      </c>
      <c r="K24" s="18">
        <v>2209</v>
      </c>
      <c r="L24" s="18">
        <v>15</v>
      </c>
      <c r="M24" s="15">
        <f>-L24*K24*J24</f>
        <v>-331350</v>
      </c>
      <c r="N24" s="6">
        <v>9.5877982152974202</v>
      </c>
      <c r="O24" s="6">
        <v>0.638210394712311</v>
      </c>
      <c r="P24" s="6">
        <v>3.3111366851428601E-3</v>
      </c>
      <c r="Q24" s="6">
        <v>0.54552236026477796</v>
      </c>
      <c r="R24" s="6">
        <v>-1.79945447738443E-3</v>
      </c>
      <c r="S24" s="6">
        <v>-1.5760764189530001</v>
      </c>
      <c r="T24" s="6">
        <v>0.48268935539166202</v>
      </c>
      <c r="U24" s="16">
        <f>N24*J24*K24</f>
        <v>211794.46257592001</v>
      </c>
      <c r="V24" s="6">
        <v>211794.46257592001</v>
      </c>
      <c r="W24" s="18">
        <v>0</v>
      </c>
      <c r="X24" s="6">
        <v>-331350</v>
      </c>
      <c r="Y24" s="6">
        <v>211794.46257592001</v>
      </c>
      <c r="Z24" s="6">
        <v>-119555.53742408</v>
      </c>
      <c r="AA24" s="6">
        <v>-331350</v>
      </c>
      <c r="AB24" s="6">
        <v>211794.46257592001</v>
      </c>
      <c r="AC24" s="6">
        <v>-119555.53742408</v>
      </c>
      <c r="AD24" s="9">
        <v>1.5032043678849451E-2</v>
      </c>
      <c r="AE24" s="9">
        <v>45.567444154755101</v>
      </c>
      <c r="AF24" s="9">
        <v>1</v>
      </c>
      <c r="AG24" s="9">
        <f>J24*K24</f>
        <v>22090</v>
      </c>
      <c r="AH24" s="9">
        <v>1</v>
      </c>
      <c r="AI24" s="9">
        <f>L24</f>
        <v>15</v>
      </c>
      <c r="AJ24" s="9" t="s">
        <v>95</v>
      </c>
      <c r="AK24" s="9">
        <v>28.338244473342002</v>
      </c>
      <c r="AL24" s="9">
        <f>32*24+1</f>
        <v>769</v>
      </c>
      <c r="AM24" s="9">
        <f>60*24</f>
        <v>1440</v>
      </c>
      <c r="AN24" s="9">
        <f>AL24+AM24</f>
        <v>2209</v>
      </c>
      <c r="AO24" s="53">
        <f>IF($E$9&gt;=E24,AM24/(AN24),1)</f>
        <v>0.65187867813490263</v>
      </c>
      <c r="AP24" s="53">
        <f>IF($E$9&gt;=E24,(AN24/AM24)*H24-(AL24/AM24)*AK24,H24)</f>
        <v>30.887423611111114</v>
      </c>
      <c r="AQ24" s="1" t="str">
        <f>MID(C24,4,1)</f>
        <v>C</v>
      </c>
      <c r="AR24" s="1">
        <f>B76Future($E$9,AQ24,AE24,AP24,G24,T24,AD24)*AF24*AO24</f>
        <v>9.5877982162993636</v>
      </c>
      <c r="AS24" s="1">
        <f>AI24*AF24</f>
        <v>15</v>
      </c>
      <c r="AT24" s="1">
        <f>B76Delta($E$9,AQ24,AE24,AP24,G24,T24,AD24)*AO24</f>
        <v>0.63821039468526641</v>
      </c>
      <c r="AU24" s="1">
        <f>B76Gamma($E$9,AQ24,AE24,AP24,G24,T24,AD24)*AO24</f>
        <v>3.3111366851428085E-3</v>
      </c>
      <c r="AV24" s="1">
        <f>B76Vega($E$9,AQ24,AE24,AP24,G24,T24,AD24)*AO24</f>
        <v>0.54552236026477052</v>
      </c>
      <c r="AW24" s="1">
        <f>B76Theta($E$9,AQ24,AE24,AP24,G24,T24,AD24)*AO24</f>
        <v>-1.7994544773431347E-3</v>
      </c>
      <c r="AX24" s="1">
        <f>B76Rho($E$9,AQ24,AE24,AP24,G24,T24,AD24)*AO24</f>
        <v>-1.5760764191177035</v>
      </c>
      <c r="AY24" s="20">
        <f>-AS24*AG24*AH24</f>
        <v>-331350</v>
      </c>
      <c r="AZ24" s="1">
        <f>AR24*AG24*AH24</f>
        <v>211794.46259805295</v>
      </c>
      <c r="BA24" s="1">
        <f>AZ24</f>
        <v>211794.46259805295</v>
      </c>
      <c r="BB24" s="1">
        <f t="shared" si="19"/>
        <v>60</v>
      </c>
      <c r="BC24" s="53">
        <f t="shared" si="20"/>
        <v>14134.639123284938</v>
      </c>
      <c r="BD24" s="53">
        <f t="shared" si="21"/>
        <v>6431.7227668587038</v>
      </c>
      <c r="BE24" s="53">
        <f t="shared" si="22"/>
        <v>120.50588938248781</v>
      </c>
      <c r="BF24" s="53">
        <f t="shared" si="23"/>
        <v>58.166910066931969</v>
      </c>
      <c r="BG24" s="53">
        <f t="shared" si="24"/>
        <v>-39.749949404509842</v>
      </c>
      <c r="BH24" s="53">
        <f t="shared" si="25"/>
        <v>-23.849969642705904</v>
      </c>
      <c r="BI24" s="53">
        <f t="shared" si="26"/>
        <v>-348.15528098310068</v>
      </c>
      <c r="BJ24" s="53">
        <f t="shared" si="27"/>
        <v>-5.2334853907600731</v>
      </c>
    </row>
    <row r="25" spans="1:62" s="19" customFormat="1" x14ac:dyDescent="0.25">
      <c r="B25" s="38"/>
      <c r="C25" s="39"/>
      <c r="D25" s="38"/>
      <c r="E25" s="32"/>
      <c r="F25" s="32"/>
      <c r="G25" s="40"/>
      <c r="H25" s="38"/>
      <c r="I25" s="38"/>
      <c r="J25" s="39"/>
      <c r="K25" s="39"/>
      <c r="L25" s="39"/>
      <c r="M25" s="38"/>
      <c r="U25" s="41"/>
      <c r="W25" s="39"/>
      <c r="AQ25" s="42"/>
      <c r="AR25" s="42"/>
      <c r="AS25" s="42"/>
      <c r="AT25" s="42"/>
      <c r="AU25" s="42"/>
      <c r="AV25" s="42"/>
      <c r="AW25" s="42"/>
      <c r="AX25" s="42"/>
      <c r="AY25" s="43"/>
      <c r="AZ25" s="42"/>
      <c r="BA25" s="42"/>
      <c r="BB25" s="1">
        <f t="shared" si="19"/>
        <v>-40848</v>
      </c>
      <c r="BC25" s="53">
        <f t="shared" si="20"/>
        <v>0</v>
      </c>
      <c r="BD25" s="53">
        <f t="shared" si="21"/>
        <v>0</v>
      </c>
      <c r="BE25" s="53">
        <f t="shared" si="22"/>
        <v>0</v>
      </c>
      <c r="BF25" s="53">
        <f t="shared" si="23"/>
        <v>0</v>
      </c>
      <c r="BG25" s="53">
        <f t="shared" si="24"/>
        <v>0</v>
      </c>
      <c r="BH25" s="53">
        <f t="shared" si="25"/>
        <v>0</v>
      </c>
      <c r="BI25" s="53">
        <f t="shared" si="26"/>
        <v>0</v>
      </c>
      <c r="BJ25" s="53">
        <f t="shared" si="27"/>
        <v>0</v>
      </c>
    </row>
    <row r="26" spans="1:62" x14ac:dyDescent="0.25">
      <c r="A26" s="53" t="s">
        <v>107</v>
      </c>
      <c r="B26" s="15" t="s">
        <v>75</v>
      </c>
      <c r="C26" s="18" t="s">
        <v>98</v>
      </c>
      <c r="D26" s="15" t="s">
        <v>86</v>
      </c>
      <c r="E26" s="31">
        <v>40868</v>
      </c>
      <c r="F26" s="31">
        <v>40868</v>
      </c>
      <c r="G26" s="27">
        <f t="shared" ref="G26:G32" si="28">F26</f>
        <v>40868</v>
      </c>
      <c r="H26" s="15">
        <v>30</v>
      </c>
      <c r="I26" s="15" t="s">
        <v>3</v>
      </c>
      <c r="J26" s="18">
        <v>10</v>
      </c>
      <c r="K26" s="18">
        <v>24</v>
      </c>
      <c r="L26" s="18">
        <v>15</v>
      </c>
      <c r="M26" s="15">
        <f t="shared" ref="M26:M32" si="29">-L26*K26*J26</f>
        <v>-3600</v>
      </c>
      <c r="N26" s="6">
        <v>17.592861864211201</v>
      </c>
      <c r="O26" s="6">
        <v>0.98504416121263205</v>
      </c>
      <c r="P26" s="6">
        <v>3.4408625700995499E-3</v>
      </c>
      <c r="Q26" s="6">
        <v>0.403346183677256</v>
      </c>
      <c r="R26" s="6">
        <v>-8.9233974198054504E-3</v>
      </c>
      <c r="S26" s="6">
        <v>-0.96399243091568199</v>
      </c>
      <c r="T26" s="6">
        <v>0.94624832968245898</v>
      </c>
      <c r="U26" s="16">
        <f t="shared" ref="U26:U32" si="30">N26*J26*K26</f>
        <v>4222.2868474106881</v>
      </c>
      <c r="V26" s="6">
        <v>4222.2868474106899</v>
      </c>
      <c r="W26" s="18">
        <v>0</v>
      </c>
      <c r="X26" s="6">
        <v>-3600</v>
      </c>
      <c r="Y26" s="6">
        <v>4222.2868474106899</v>
      </c>
      <c r="Z26" s="6">
        <v>622.28684741068605</v>
      </c>
      <c r="AA26" s="6">
        <v>-3600</v>
      </c>
      <c r="AB26" s="6">
        <v>4222.2868474106899</v>
      </c>
      <c r="AC26" s="6">
        <v>622.28684741068605</v>
      </c>
      <c r="AD26" s="9">
        <v>1.2826737536044699E-2</v>
      </c>
      <c r="AE26" s="9">
        <v>47.548211301812493</v>
      </c>
      <c r="AF26" s="9">
        <v>1</v>
      </c>
      <c r="AG26" s="9">
        <f t="shared" ref="AG26:AG32" si="31">J26*K26</f>
        <v>240</v>
      </c>
      <c r="AH26" s="9">
        <v>1</v>
      </c>
      <c r="AI26" s="9">
        <v>15</v>
      </c>
      <c r="AJ26" s="36" t="s">
        <v>98</v>
      </c>
      <c r="AK26" s="9"/>
      <c r="AL26" s="9">
        <v>0</v>
      </c>
      <c r="AM26" s="9">
        <v>24</v>
      </c>
      <c r="AN26" s="9">
        <f t="shared" ref="AN26:AN32" si="32">AL26+AM26</f>
        <v>24</v>
      </c>
      <c r="AO26" s="53">
        <f t="shared" ref="AO26:AO32" si="33">IF($E$9&gt;=E26,AM26/(AN26),1)</f>
        <v>1</v>
      </c>
      <c r="AP26" s="53">
        <f t="shared" ref="AP26:AP32" si="34">IF($E$9&gt;=E26,(AN26/AM26)*H26-(AL26/AM26)*AK26,H26)</f>
        <v>30</v>
      </c>
      <c r="AQ26" s="1" t="str">
        <f t="shared" ref="AQ26:AQ32" si="35">MID(C26,4,1)</f>
        <v>C</v>
      </c>
      <c r="AR26" s="1">
        <f t="shared" ref="AR26:AR32" si="36">B76Future($E$9,AQ26,AE26,AP26,G26,T26,AD26)*AF26*AO26</f>
        <v>17.592861865381437</v>
      </c>
      <c r="AS26" s="1">
        <f t="shared" ref="AS26:AS32" si="37">AI26*AF26</f>
        <v>15</v>
      </c>
      <c r="AT26" s="1">
        <f t="shared" ref="AT26:AT32" si="38">B76Delta($E$9,AQ26,AE26,AP26,G26,T26,AD26)*AO26</f>
        <v>0.9850441611859978</v>
      </c>
      <c r="AU26" s="1">
        <f t="shared" ref="AU26:AU32" si="39">B76Gamma($E$9,AQ26,AE26,AP26,G26,T26,AD26)*AO26</f>
        <v>3.440862570099395E-3</v>
      </c>
      <c r="AV26" s="1">
        <f t="shared" ref="AV26:AV32" si="40">B76Vega($E$9,AQ26,AE26,AP26,G26,T26,AD26)*AO26</f>
        <v>0.4033461836772409</v>
      </c>
      <c r="AW26" s="1">
        <f t="shared" ref="AW26:AW32" si="41">B76Theta($E$9,AQ26,AE26,AP26,G26,T26,AD26)*AO26</f>
        <v>-8.9233974197640079E-3</v>
      </c>
      <c r="AX26" s="1">
        <f t="shared" ref="AX26:AX32" si="42">B76Rho($E$9,AQ26,AE26,AP26,G26,T26,AD26)*AO26</f>
        <v>-0.96399243097980469</v>
      </c>
      <c r="AY26" s="20">
        <f t="shared" ref="AY26:AY32" si="43">-AS26*AG26*AH26</f>
        <v>-3600</v>
      </c>
      <c r="AZ26" s="1">
        <f t="shared" ref="AZ26:AZ32" si="44">AR26*AG26*AH26</f>
        <v>4222.2868476915446</v>
      </c>
      <c r="BA26" s="1">
        <f t="shared" ref="BA26:BA32" si="45">AZ26</f>
        <v>4222.2868476915446</v>
      </c>
      <c r="BB26" s="1">
        <f t="shared" si="19"/>
        <v>20</v>
      </c>
      <c r="BC26" s="53">
        <f t="shared" si="20"/>
        <v>236.82350219305141</v>
      </c>
      <c r="BD26" s="53">
        <f t="shared" si="21"/>
        <v>112.50236156535895</v>
      </c>
      <c r="BE26" s="53">
        <f t="shared" si="22"/>
        <v>0.96803084082537827</v>
      </c>
      <c r="BF26" s="53">
        <f t="shared" si="23"/>
        <v>0.91599756621212047</v>
      </c>
      <c r="BG26" s="53">
        <f t="shared" si="24"/>
        <v>-2.141615380743362</v>
      </c>
      <c r="BH26" s="53">
        <f t="shared" si="25"/>
        <v>-0.42832307614867238</v>
      </c>
      <c r="BI26" s="53">
        <f t="shared" si="26"/>
        <v>-2.3135818343515315</v>
      </c>
      <c r="BJ26" s="53">
        <f t="shared" si="27"/>
        <v>-2.9675706957387939E-2</v>
      </c>
    </row>
    <row r="27" spans="1:62" x14ac:dyDescent="0.25">
      <c r="B27" s="15" t="s">
        <v>75</v>
      </c>
      <c r="C27" s="18" t="s">
        <v>98</v>
      </c>
      <c r="D27" s="15" t="s">
        <v>87</v>
      </c>
      <c r="E27" s="31">
        <v>40869</v>
      </c>
      <c r="F27" s="31">
        <v>40869</v>
      </c>
      <c r="G27" s="27">
        <f t="shared" si="28"/>
        <v>40869</v>
      </c>
      <c r="H27" s="15">
        <v>30</v>
      </c>
      <c r="I27" s="15" t="s">
        <v>3</v>
      </c>
      <c r="J27" s="18">
        <v>11</v>
      </c>
      <c r="K27" s="18">
        <v>24</v>
      </c>
      <c r="L27" s="18">
        <v>15</v>
      </c>
      <c r="M27" s="15">
        <f t="shared" si="29"/>
        <v>-3960</v>
      </c>
      <c r="N27" s="6">
        <v>17.679093295609299</v>
      </c>
      <c r="O27" s="6">
        <v>0.98396956123715296</v>
      </c>
      <c r="P27" s="6">
        <v>3.5828560824027701E-3</v>
      </c>
      <c r="Q27" s="6">
        <v>0.43971099095479099</v>
      </c>
      <c r="R27" s="6">
        <v>-9.2182716592726192E-3</v>
      </c>
      <c r="S27" s="6">
        <v>-1.0171533128980701</v>
      </c>
      <c r="T27" s="6">
        <v>0.94029564433709301</v>
      </c>
      <c r="U27" s="16">
        <f t="shared" si="30"/>
        <v>4667.2806300408547</v>
      </c>
      <c r="V27" s="6">
        <v>4667.2806300408502</v>
      </c>
      <c r="W27" s="18">
        <v>0</v>
      </c>
      <c r="X27" s="6">
        <v>-3960</v>
      </c>
      <c r="Y27" s="6">
        <v>4667.2806300408502</v>
      </c>
      <c r="Z27" s="6">
        <v>707.280630040848</v>
      </c>
      <c r="AA27" s="6">
        <v>-3960</v>
      </c>
      <c r="AB27" s="6">
        <v>4667.2806300408502</v>
      </c>
      <c r="AC27" s="6">
        <v>707.280630040848</v>
      </c>
      <c r="AD27" s="9">
        <v>1.2923774390302E-2</v>
      </c>
      <c r="AE27" s="9">
        <v>47.62922901418586</v>
      </c>
      <c r="AF27" s="9">
        <v>1</v>
      </c>
      <c r="AG27" s="9">
        <f t="shared" si="31"/>
        <v>264</v>
      </c>
      <c r="AH27" s="9">
        <v>1</v>
      </c>
      <c r="AI27" s="9">
        <v>15</v>
      </c>
      <c r="AJ27" s="36" t="s">
        <v>98</v>
      </c>
      <c r="AK27" s="9"/>
      <c r="AL27" s="9">
        <v>0</v>
      </c>
      <c r="AM27" s="9">
        <v>24</v>
      </c>
      <c r="AN27" s="9">
        <f t="shared" si="32"/>
        <v>24</v>
      </c>
      <c r="AO27" s="53">
        <f t="shared" si="33"/>
        <v>1</v>
      </c>
      <c r="AP27" s="53">
        <f t="shared" si="34"/>
        <v>30</v>
      </c>
      <c r="AQ27" s="1" t="str">
        <f t="shared" si="35"/>
        <v>C</v>
      </c>
      <c r="AR27" s="1">
        <f t="shared" si="36"/>
        <v>17.67909329743204</v>
      </c>
      <c r="AS27" s="1">
        <f t="shared" si="37"/>
        <v>15</v>
      </c>
      <c r="AT27" s="1">
        <f t="shared" si="38"/>
        <v>0.98396956120077561</v>
      </c>
      <c r="AU27" s="1">
        <f t="shared" si="39"/>
        <v>3.5828560824027311E-3</v>
      </c>
      <c r="AV27" s="1">
        <f t="shared" si="40"/>
        <v>0.43971099095478711</v>
      </c>
      <c r="AW27" s="1">
        <f t="shared" si="41"/>
        <v>-9.2182716592080181E-3</v>
      </c>
      <c r="AX27" s="1">
        <f t="shared" si="42"/>
        <v>-1.0171533130029393</v>
      </c>
      <c r="AY27" s="20">
        <f t="shared" si="43"/>
        <v>-3960</v>
      </c>
      <c r="AZ27" s="1">
        <f t="shared" si="44"/>
        <v>4667.2806305220583</v>
      </c>
      <c r="BA27" s="1">
        <f t="shared" si="45"/>
        <v>4667.2806305220583</v>
      </c>
      <c r="BB27" s="1">
        <f t="shared" si="19"/>
        <v>21</v>
      </c>
      <c r="BC27" s="53">
        <f t="shared" si="20"/>
        <v>260.2409011598819</v>
      </c>
      <c r="BD27" s="53">
        <f t="shared" si="21"/>
        <v>123.83276636814874</v>
      </c>
      <c r="BE27" s="53">
        <f t="shared" si="22"/>
        <v>1.1608370161206378</v>
      </c>
      <c r="BF27" s="53">
        <f t="shared" si="23"/>
        <v>1.0915299900435036</v>
      </c>
      <c r="BG27" s="53">
        <f t="shared" si="24"/>
        <v>-2.4336237180309168</v>
      </c>
      <c r="BH27" s="53">
        <f t="shared" si="25"/>
        <v>-0.51106098078649254</v>
      </c>
      <c r="BI27" s="53">
        <f t="shared" si="26"/>
        <v>-2.6852847463277594</v>
      </c>
      <c r="BJ27" s="53">
        <f t="shared" si="27"/>
        <v>-3.4704014235259296E-2</v>
      </c>
    </row>
    <row r="28" spans="1:62" x14ac:dyDescent="0.25">
      <c r="B28" s="15" t="s">
        <v>75</v>
      </c>
      <c r="C28" s="18" t="s">
        <v>98</v>
      </c>
      <c r="D28" s="15" t="s">
        <v>88</v>
      </c>
      <c r="E28" s="31">
        <v>40870</v>
      </c>
      <c r="F28" s="31">
        <v>40870</v>
      </c>
      <c r="G28" s="27">
        <f t="shared" si="28"/>
        <v>40870</v>
      </c>
      <c r="H28" s="15">
        <v>30</v>
      </c>
      <c r="I28" s="15" t="s">
        <v>3</v>
      </c>
      <c r="J28" s="18">
        <v>12</v>
      </c>
      <c r="K28" s="18">
        <v>24</v>
      </c>
      <c r="L28" s="18">
        <v>15</v>
      </c>
      <c r="M28" s="15">
        <f t="shared" si="29"/>
        <v>-4320</v>
      </c>
      <c r="N28" s="6">
        <v>18.0388432221167</v>
      </c>
      <c r="O28" s="6">
        <v>0.98393447796516398</v>
      </c>
      <c r="P28" s="6">
        <v>3.4949139543762799E-3</v>
      </c>
      <c r="Q28" s="6">
        <v>0.45329604560220599</v>
      </c>
      <c r="R28" s="6">
        <v>-8.9831914092549803E-3</v>
      </c>
      <c r="S28" s="6">
        <v>-1.0872727421549799</v>
      </c>
      <c r="T28" s="6">
        <v>0.93442344515623099</v>
      </c>
      <c r="U28" s="16">
        <f t="shared" si="30"/>
        <v>5195.1868479696095</v>
      </c>
      <c r="V28" s="6">
        <v>5195.1868479696204</v>
      </c>
      <c r="W28" s="18">
        <v>0</v>
      </c>
      <c r="X28" s="6">
        <v>-4320</v>
      </c>
      <c r="Y28" s="6">
        <v>5195.1868479696204</v>
      </c>
      <c r="Z28" s="6">
        <v>875.186847969616</v>
      </c>
      <c r="AA28" s="6">
        <v>-4320</v>
      </c>
      <c r="AB28" s="6">
        <v>5195.1868479696204</v>
      </c>
      <c r="AC28" s="6">
        <v>875.186847969616</v>
      </c>
      <c r="AD28" s="9">
        <v>1.3018826602779501E-2</v>
      </c>
      <c r="AE28" s="9">
        <v>47.988364604376933</v>
      </c>
      <c r="AF28" s="9">
        <v>1</v>
      </c>
      <c r="AG28" s="9">
        <f t="shared" si="31"/>
        <v>288</v>
      </c>
      <c r="AH28" s="9">
        <v>1</v>
      </c>
      <c r="AI28" s="9">
        <v>15</v>
      </c>
      <c r="AJ28" s="36" t="s">
        <v>98</v>
      </c>
      <c r="AK28" s="9"/>
      <c r="AL28" s="9">
        <v>0</v>
      </c>
      <c r="AM28" s="9">
        <v>24</v>
      </c>
      <c r="AN28" s="9">
        <f t="shared" si="32"/>
        <v>24</v>
      </c>
      <c r="AO28" s="53">
        <f t="shared" si="33"/>
        <v>1</v>
      </c>
      <c r="AP28" s="53">
        <f t="shared" si="34"/>
        <v>30</v>
      </c>
      <c r="AQ28" s="1" t="str">
        <f t="shared" si="35"/>
        <v>C</v>
      </c>
      <c r="AR28" s="1">
        <f t="shared" si="36"/>
        <v>18.038843224090321</v>
      </c>
      <c r="AS28" s="1">
        <f t="shared" si="37"/>
        <v>15</v>
      </c>
      <c r="AT28" s="1">
        <f t="shared" si="38"/>
        <v>0.98393447792884514</v>
      </c>
      <c r="AU28" s="1">
        <f t="shared" si="39"/>
        <v>3.4949139543762721E-3</v>
      </c>
      <c r="AV28" s="1">
        <f t="shared" si="40"/>
        <v>0.45329604560220521</v>
      </c>
      <c r="AW28" s="1">
        <f t="shared" si="41"/>
        <v>-8.9831914091846078E-3</v>
      </c>
      <c r="AX28" s="1">
        <f t="shared" si="42"/>
        <v>-1.0872727422739372</v>
      </c>
      <c r="AY28" s="20">
        <f t="shared" si="43"/>
        <v>-4320</v>
      </c>
      <c r="AZ28" s="1">
        <f t="shared" si="44"/>
        <v>5195.1868485380128</v>
      </c>
      <c r="BA28" s="1">
        <f t="shared" si="45"/>
        <v>5195.1868485380128</v>
      </c>
      <c r="BB28" s="1">
        <f t="shared" si="19"/>
        <v>22</v>
      </c>
      <c r="BC28" s="53">
        <f t="shared" si="20"/>
        <v>283.87639725293758</v>
      </c>
      <c r="BD28" s="53">
        <f t="shared" si="21"/>
        <v>136.10202729329586</v>
      </c>
      <c r="BE28" s="53">
        <f t="shared" si="22"/>
        <v>1.305492611334351</v>
      </c>
      <c r="BF28" s="53">
        <f t="shared" si="23"/>
        <v>1.2198829035090488</v>
      </c>
      <c r="BG28" s="53">
        <f t="shared" si="24"/>
        <v>-2.5871591258451669</v>
      </c>
      <c r="BH28" s="53">
        <f t="shared" si="25"/>
        <v>-0.56917500768593665</v>
      </c>
      <c r="BI28" s="53">
        <f t="shared" si="26"/>
        <v>-3.131345497748939</v>
      </c>
      <c r="BJ28" s="53">
        <f t="shared" si="27"/>
        <v>-4.0766444068587704E-2</v>
      </c>
    </row>
    <row r="29" spans="1:62" x14ac:dyDescent="0.25">
      <c r="B29" s="15" t="s">
        <v>75</v>
      </c>
      <c r="C29" s="18" t="s">
        <v>98</v>
      </c>
      <c r="D29" s="15" t="s">
        <v>89</v>
      </c>
      <c r="E29" s="31">
        <v>40871</v>
      </c>
      <c r="F29" s="31">
        <v>40871</v>
      </c>
      <c r="G29" s="27">
        <f t="shared" si="28"/>
        <v>40871</v>
      </c>
      <c r="H29" s="15">
        <v>30</v>
      </c>
      <c r="I29" s="15" t="s">
        <v>3</v>
      </c>
      <c r="J29" s="18">
        <v>13</v>
      </c>
      <c r="K29" s="18">
        <v>24</v>
      </c>
      <c r="L29" s="18">
        <v>15</v>
      </c>
      <c r="M29" s="15">
        <f t="shared" si="29"/>
        <v>-4680</v>
      </c>
      <c r="N29" s="6">
        <v>17.156308411984899</v>
      </c>
      <c r="O29" s="6">
        <v>0.97900660634958103</v>
      </c>
      <c r="P29" s="6">
        <v>4.4422862203968901E-3</v>
      </c>
      <c r="Q29" s="6">
        <v>0.57623572277735902</v>
      </c>
      <c r="R29" s="6">
        <v>-1.10165894059586E-2</v>
      </c>
      <c r="S29" s="6">
        <v>-1.0810824478784999</v>
      </c>
      <c r="T29" s="6">
        <v>0.92863524091392702</v>
      </c>
      <c r="U29" s="16">
        <f t="shared" si="30"/>
        <v>5352.7682245392889</v>
      </c>
      <c r="V29" s="6">
        <v>5352.7682245392898</v>
      </c>
      <c r="W29" s="18">
        <v>0</v>
      </c>
      <c r="X29" s="6">
        <v>-4680</v>
      </c>
      <c r="Y29" s="6">
        <v>5352.7682245392898</v>
      </c>
      <c r="Z29" s="6">
        <v>672.76822453929299</v>
      </c>
      <c r="AA29" s="6">
        <v>-4680</v>
      </c>
      <c r="AB29" s="6">
        <v>5352.7682245392898</v>
      </c>
      <c r="AC29" s="6">
        <v>672.76822453929299</v>
      </c>
      <c r="AD29" s="9">
        <v>1.31117134618641E-2</v>
      </c>
      <c r="AE29" s="9">
        <v>47.082200709224942</v>
      </c>
      <c r="AF29" s="9">
        <v>1</v>
      </c>
      <c r="AG29" s="9">
        <f t="shared" si="31"/>
        <v>312</v>
      </c>
      <c r="AH29" s="9">
        <v>1</v>
      </c>
      <c r="AI29" s="9">
        <v>15</v>
      </c>
      <c r="AJ29" s="36" t="s">
        <v>98</v>
      </c>
      <c r="AK29" s="9"/>
      <c r="AL29" s="9">
        <v>0</v>
      </c>
      <c r="AM29" s="9">
        <v>24</v>
      </c>
      <c r="AN29" s="9">
        <f t="shared" si="32"/>
        <v>24</v>
      </c>
      <c r="AO29" s="53">
        <f t="shared" si="33"/>
        <v>1</v>
      </c>
      <c r="AP29" s="53">
        <f t="shared" si="34"/>
        <v>30</v>
      </c>
      <c r="AQ29" s="1" t="str">
        <f t="shared" si="35"/>
        <v>C</v>
      </c>
      <c r="AR29" s="1">
        <f t="shared" si="36"/>
        <v>17.156308413519923</v>
      </c>
      <c r="AS29" s="1">
        <f t="shared" si="37"/>
        <v>15</v>
      </c>
      <c r="AT29" s="1">
        <f t="shared" si="38"/>
        <v>0.97900660628737968</v>
      </c>
      <c r="AU29" s="1">
        <f t="shared" si="39"/>
        <v>4.442286220396675E-3</v>
      </c>
      <c r="AV29" s="1">
        <f t="shared" si="40"/>
        <v>0.57623572277733637</v>
      </c>
      <c r="AW29" s="1">
        <f t="shared" si="41"/>
        <v>-1.1016589405903018E-2</v>
      </c>
      <c r="AX29" s="1">
        <f t="shared" si="42"/>
        <v>-1.0810824479752281</v>
      </c>
      <c r="AY29" s="20">
        <f t="shared" si="43"/>
        <v>-4680</v>
      </c>
      <c r="AZ29" s="1">
        <f t="shared" si="44"/>
        <v>5352.7682250182161</v>
      </c>
      <c r="BA29" s="1">
        <f t="shared" si="45"/>
        <v>5352.7682250182161</v>
      </c>
      <c r="BB29" s="1">
        <f t="shared" si="19"/>
        <v>23</v>
      </c>
      <c r="BC29" s="53">
        <f t="shared" si="20"/>
        <v>306.14305781204433</v>
      </c>
      <c r="BD29" s="53">
        <f t="shared" si="21"/>
        <v>143.96622976018025</v>
      </c>
      <c r="BE29" s="53">
        <f t="shared" si="22"/>
        <v>1.7978554550652894</v>
      </c>
      <c r="BF29" s="53">
        <f t="shared" si="23"/>
        <v>1.6695519336429729</v>
      </c>
      <c r="BG29" s="53">
        <f t="shared" si="24"/>
        <v>-3.4371758946417414</v>
      </c>
      <c r="BH29" s="53">
        <f t="shared" si="25"/>
        <v>-0.79055045576760052</v>
      </c>
      <c r="BI29" s="53">
        <f t="shared" si="26"/>
        <v>-3.3729772376827118</v>
      </c>
      <c r="BJ29" s="53">
        <f t="shared" si="27"/>
        <v>-4.4225511053885599E-2</v>
      </c>
    </row>
    <row r="30" spans="1:62" x14ac:dyDescent="0.25">
      <c r="B30" s="15" t="s">
        <v>75</v>
      </c>
      <c r="C30" s="18" t="s">
        <v>98</v>
      </c>
      <c r="D30" s="15" t="s">
        <v>97</v>
      </c>
      <c r="E30" s="31">
        <v>40872</v>
      </c>
      <c r="F30" s="31">
        <v>40872</v>
      </c>
      <c r="G30" s="27">
        <f t="shared" si="28"/>
        <v>40872</v>
      </c>
      <c r="H30" s="15">
        <v>30</v>
      </c>
      <c r="I30" s="15" t="s">
        <v>3</v>
      </c>
      <c r="J30" s="18">
        <v>14</v>
      </c>
      <c r="K30" s="18">
        <v>24</v>
      </c>
      <c r="L30" s="18">
        <v>15</v>
      </c>
      <c r="M30" s="15">
        <f t="shared" si="29"/>
        <v>-5040</v>
      </c>
      <c r="N30" s="6">
        <v>16.149398458930499</v>
      </c>
      <c r="O30" s="6">
        <v>0.97224586693196802</v>
      </c>
      <c r="P30" s="6">
        <v>5.6995024154150404E-3</v>
      </c>
      <c r="Q30" s="6">
        <v>0.73320763370195696</v>
      </c>
      <c r="R30" s="6">
        <v>-1.3513821156689801E-2</v>
      </c>
      <c r="S30" s="6">
        <v>-1.0618782548337899</v>
      </c>
      <c r="T30" s="6">
        <v>0.92293334090424795</v>
      </c>
      <c r="U30" s="16">
        <f t="shared" si="30"/>
        <v>5426.1978822006477</v>
      </c>
      <c r="V30" s="6">
        <v>5426.1978822006604</v>
      </c>
      <c r="W30" s="18">
        <v>0</v>
      </c>
      <c r="X30" s="6">
        <v>-5040</v>
      </c>
      <c r="Y30" s="6">
        <v>5426.1978822006604</v>
      </c>
      <c r="Z30" s="6">
        <v>386.19788220066198</v>
      </c>
      <c r="AA30" s="6">
        <v>-5040</v>
      </c>
      <c r="AB30" s="6">
        <v>5426.1978822006604</v>
      </c>
      <c r="AC30" s="6">
        <v>386.19788220066198</v>
      </c>
      <c r="AD30" s="9">
        <v>1.3202245784909399E-2</v>
      </c>
      <c r="AE30" s="9">
        <v>46.041626957170202</v>
      </c>
      <c r="AF30" s="9">
        <v>1</v>
      </c>
      <c r="AG30" s="9">
        <f t="shared" si="31"/>
        <v>336</v>
      </c>
      <c r="AH30" s="9">
        <v>1</v>
      </c>
      <c r="AI30" s="9">
        <v>15</v>
      </c>
      <c r="AJ30" s="36" t="s">
        <v>98</v>
      </c>
      <c r="AK30" s="9"/>
      <c r="AL30" s="9">
        <v>0</v>
      </c>
      <c r="AM30" s="9">
        <v>24</v>
      </c>
      <c r="AN30" s="9">
        <f t="shared" si="32"/>
        <v>24</v>
      </c>
      <c r="AO30" s="53">
        <f t="shared" si="33"/>
        <v>1</v>
      </c>
      <c r="AP30" s="53">
        <f t="shared" si="34"/>
        <v>30</v>
      </c>
      <c r="AQ30" s="1" t="str">
        <f t="shared" si="35"/>
        <v>C</v>
      </c>
      <c r="AR30" s="1">
        <f t="shared" si="36"/>
        <v>16.149398450774012</v>
      </c>
      <c r="AS30" s="1">
        <f t="shared" si="37"/>
        <v>15</v>
      </c>
      <c r="AT30" s="1">
        <f t="shared" si="38"/>
        <v>0.97224586680093439</v>
      </c>
      <c r="AU30" s="1">
        <f t="shared" si="39"/>
        <v>5.6995024154153145E-3</v>
      </c>
      <c r="AV30" s="1">
        <f t="shared" si="40"/>
        <v>0.73320763370198494</v>
      </c>
      <c r="AW30" s="1">
        <f t="shared" si="41"/>
        <v>-1.351382115698541E-2</v>
      </c>
      <c r="AX30" s="1">
        <f t="shared" si="42"/>
        <v>-1.0618782542974692</v>
      </c>
      <c r="AY30" s="20">
        <f t="shared" si="43"/>
        <v>-5040</v>
      </c>
      <c r="AZ30" s="1">
        <f t="shared" si="44"/>
        <v>5426.1978794600682</v>
      </c>
      <c r="BA30" s="1">
        <f t="shared" si="45"/>
        <v>5426.1978794600682</v>
      </c>
      <c r="BB30" s="1">
        <f t="shared" si="19"/>
        <v>24</v>
      </c>
      <c r="BC30" s="53">
        <f t="shared" si="20"/>
        <v>327.63212765090373</v>
      </c>
      <c r="BD30" s="53">
        <f t="shared" si="21"/>
        <v>150.60928320879384</v>
      </c>
      <c r="BE30" s="53">
        <f t="shared" si="22"/>
        <v>2.4635776492386694</v>
      </c>
      <c r="BF30" s="53">
        <f t="shared" si="23"/>
        <v>2.2737179503888787</v>
      </c>
      <c r="BG30" s="53">
        <f t="shared" si="24"/>
        <v>-4.5406439087470973</v>
      </c>
      <c r="BH30" s="53">
        <f t="shared" si="25"/>
        <v>-1.0897545380993034</v>
      </c>
      <c r="BI30" s="53">
        <f t="shared" si="26"/>
        <v>-3.5679109344394964</v>
      </c>
      <c r="BJ30" s="53">
        <f t="shared" si="27"/>
        <v>-4.7104437095135995E-2</v>
      </c>
    </row>
    <row r="31" spans="1:62" x14ac:dyDescent="0.25">
      <c r="B31" s="15" t="s">
        <v>75</v>
      </c>
      <c r="C31" s="18" t="s">
        <v>98</v>
      </c>
      <c r="D31" s="15" t="s">
        <v>99</v>
      </c>
      <c r="E31" s="31">
        <v>40873</v>
      </c>
      <c r="F31" s="31">
        <v>40873</v>
      </c>
      <c r="G31" s="27">
        <f t="shared" si="28"/>
        <v>40873</v>
      </c>
      <c r="H31" s="15">
        <v>30</v>
      </c>
      <c r="I31" s="15" t="s">
        <v>3</v>
      </c>
      <c r="J31" s="18">
        <v>15</v>
      </c>
      <c r="K31" s="18">
        <v>24</v>
      </c>
      <c r="L31" s="18">
        <v>15</v>
      </c>
      <c r="M31" s="15">
        <f t="shared" si="29"/>
        <v>-5400</v>
      </c>
      <c r="N31" s="6">
        <v>13.971128232236699</v>
      </c>
      <c r="O31" s="6">
        <v>0.95395106538878804</v>
      </c>
      <c r="P31" s="6">
        <v>9.0412904015448707E-3</v>
      </c>
      <c r="Q31" s="6">
        <v>1.08829618273937</v>
      </c>
      <c r="R31" s="6">
        <v>-1.9457587232826999E-2</v>
      </c>
      <c r="S31" s="6">
        <v>-0.95692659124908896</v>
      </c>
      <c r="T31" s="6">
        <v>0.91731912577766905</v>
      </c>
      <c r="U31" s="16">
        <f t="shared" si="30"/>
        <v>5029.6061636052118</v>
      </c>
      <c r="V31" s="6">
        <v>5029.60616360521</v>
      </c>
      <c r="W31" s="18">
        <v>0</v>
      </c>
      <c r="X31" s="6">
        <v>-5400</v>
      </c>
      <c r="Y31" s="6">
        <v>5029.60616360521</v>
      </c>
      <c r="Z31" s="6">
        <v>-370.39383639478501</v>
      </c>
      <c r="AA31" s="6">
        <v>-5400</v>
      </c>
      <c r="AB31" s="6">
        <v>5029.60616360521</v>
      </c>
      <c r="AC31" s="6">
        <v>-370.39383639478501</v>
      </c>
      <c r="AD31" s="9">
        <v>1.32902259843672E-2</v>
      </c>
      <c r="AE31" s="9">
        <v>43.769798490252079</v>
      </c>
      <c r="AF31" s="9">
        <v>1</v>
      </c>
      <c r="AG31" s="9">
        <f t="shared" si="31"/>
        <v>360</v>
      </c>
      <c r="AH31" s="9">
        <v>1</v>
      </c>
      <c r="AI31" s="9">
        <v>15</v>
      </c>
      <c r="AJ31" s="36" t="s">
        <v>98</v>
      </c>
      <c r="AK31" s="9"/>
      <c r="AL31" s="9">
        <v>0</v>
      </c>
      <c r="AM31" s="9">
        <v>24</v>
      </c>
      <c r="AN31" s="9">
        <f t="shared" si="32"/>
        <v>24</v>
      </c>
      <c r="AO31" s="53">
        <f t="shared" si="33"/>
        <v>1</v>
      </c>
      <c r="AP31" s="53">
        <f t="shared" si="34"/>
        <v>30</v>
      </c>
      <c r="AQ31" s="1" t="str">
        <f t="shared" si="35"/>
        <v>C</v>
      </c>
      <c r="AR31" s="1">
        <f t="shared" si="36"/>
        <v>13.971128234917678</v>
      </c>
      <c r="AS31" s="1">
        <f t="shared" si="37"/>
        <v>15</v>
      </c>
      <c r="AT31" s="1">
        <f t="shared" si="38"/>
        <v>0.95395106546165986</v>
      </c>
      <c r="AU31" s="1">
        <f t="shared" si="39"/>
        <v>9.0412904015450043E-3</v>
      </c>
      <c r="AV31" s="1">
        <f t="shared" si="40"/>
        <v>1.0882961827393793</v>
      </c>
      <c r="AW31" s="1">
        <f t="shared" si="41"/>
        <v>-1.9457587232729598E-2</v>
      </c>
      <c r="AX31" s="1">
        <f t="shared" si="42"/>
        <v>-0.95692659143271763</v>
      </c>
      <c r="AY31" s="20">
        <f t="shared" si="43"/>
        <v>-5400</v>
      </c>
      <c r="AZ31" s="1">
        <f t="shared" si="44"/>
        <v>5029.6061645703639</v>
      </c>
      <c r="BA31" s="1">
        <f t="shared" si="45"/>
        <v>5029.6061645703639</v>
      </c>
      <c r="BB31" s="1">
        <f t="shared" si="19"/>
        <v>25</v>
      </c>
      <c r="BC31" s="53">
        <f t="shared" si="20"/>
        <v>345.04981583847569</v>
      </c>
      <c r="BD31" s="53">
        <f t="shared" si="21"/>
        <v>150.62706796064541</v>
      </c>
      <c r="BE31" s="53">
        <f t="shared" si="22"/>
        <v>3.9178662578617658</v>
      </c>
      <c r="BF31" s="53">
        <f t="shared" si="23"/>
        <v>3.5939336505755826</v>
      </c>
      <c r="BG31" s="53">
        <f t="shared" si="24"/>
        <v>-7.0047314037826549</v>
      </c>
      <c r="BH31" s="53">
        <f t="shared" si="25"/>
        <v>-1.7511828509456637</v>
      </c>
      <c r="BI31" s="53">
        <f t="shared" si="26"/>
        <v>-3.4449357291577836</v>
      </c>
      <c r="BJ31" s="53">
        <f t="shared" si="27"/>
        <v>-4.5783974342127741E-2</v>
      </c>
    </row>
    <row r="32" spans="1:62" x14ac:dyDescent="0.25">
      <c r="B32" s="15" t="s">
        <v>75</v>
      </c>
      <c r="C32" s="18" t="s">
        <v>98</v>
      </c>
      <c r="D32" s="15" t="s">
        <v>100</v>
      </c>
      <c r="E32" s="31">
        <v>40874</v>
      </c>
      <c r="F32" s="31">
        <v>40874</v>
      </c>
      <c r="G32" s="27">
        <f t="shared" si="28"/>
        <v>40874</v>
      </c>
      <c r="H32" s="15">
        <v>30</v>
      </c>
      <c r="I32" s="15" t="s">
        <v>3</v>
      </c>
      <c r="J32" s="18">
        <v>16</v>
      </c>
      <c r="K32" s="18">
        <v>24</v>
      </c>
      <c r="L32" s="18">
        <v>15</v>
      </c>
      <c r="M32" s="15">
        <f t="shared" si="29"/>
        <v>-5760</v>
      </c>
      <c r="N32" s="6">
        <v>13.245491025687</v>
      </c>
      <c r="O32" s="6">
        <v>0.94431377665699201</v>
      </c>
      <c r="P32" s="6">
        <v>1.0590263192160601E-2</v>
      </c>
      <c r="Q32" s="6">
        <v>1.27124716383748</v>
      </c>
      <c r="R32" s="6">
        <v>-2.1805283320828601E-2</v>
      </c>
      <c r="S32" s="6">
        <v>-0.943514429227018</v>
      </c>
      <c r="T32" s="6">
        <v>0.911793254885088</v>
      </c>
      <c r="U32" s="16">
        <f t="shared" si="30"/>
        <v>5086.2685538638079</v>
      </c>
      <c r="V32" s="6">
        <v>5086.2685538637998</v>
      </c>
      <c r="W32" s="18">
        <v>0</v>
      </c>
      <c r="X32" s="6">
        <v>-5760</v>
      </c>
      <c r="Y32" s="6">
        <v>5086.2685538637998</v>
      </c>
      <c r="Z32" s="6">
        <v>-673.73144613619797</v>
      </c>
      <c r="AA32" s="6">
        <v>-5760</v>
      </c>
      <c r="AB32" s="6">
        <v>5086.2685538637998</v>
      </c>
      <c r="AC32" s="6">
        <v>-673.73144613619797</v>
      </c>
      <c r="AD32" s="9">
        <v>1.3375448119222699E-2</v>
      </c>
      <c r="AE32" s="9">
        <v>42.990568922977531</v>
      </c>
      <c r="AF32" s="9">
        <v>1</v>
      </c>
      <c r="AG32" s="9">
        <f t="shared" si="31"/>
        <v>384</v>
      </c>
      <c r="AH32" s="9">
        <v>1</v>
      </c>
      <c r="AI32" s="9">
        <v>15</v>
      </c>
      <c r="AJ32" s="36" t="s">
        <v>98</v>
      </c>
      <c r="AK32" s="9"/>
      <c r="AL32" s="9">
        <v>0</v>
      </c>
      <c r="AM32" s="9">
        <v>24</v>
      </c>
      <c r="AN32" s="9">
        <f t="shared" si="32"/>
        <v>24</v>
      </c>
      <c r="AO32" s="53">
        <f t="shared" si="33"/>
        <v>1</v>
      </c>
      <c r="AP32" s="53">
        <f t="shared" si="34"/>
        <v>30</v>
      </c>
      <c r="AQ32" s="1" t="str">
        <f t="shared" si="35"/>
        <v>C</v>
      </c>
      <c r="AR32" s="1">
        <f t="shared" si="36"/>
        <v>13.245491032312698</v>
      </c>
      <c r="AS32" s="1">
        <f t="shared" si="37"/>
        <v>15</v>
      </c>
      <c r="AT32" s="1">
        <f t="shared" si="38"/>
        <v>0.94431377684198115</v>
      </c>
      <c r="AU32" s="1">
        <f t="shared" si="39"/>
        <v>1.0590263192160847E-2</v>
      </c>
      <c r="AV32" s="1">
        <f t="shared" si="40"/>
        <v>1.271247163837506</v>
      </c>
      <c r="AW32" s="1">
        <f t="shared" si="41"/>
        <v>-2.1805283320586205E-2</v>
      </c>
      <c r="AX32" s="1">
        <f t="shared" si="42"/>
        <v>-0.94351442969898669</v>
      </c>
      <c r="AY32" s="20">
        <f t="shared" si="43"/>
        <v>-5760</v>
      </c>
      <c r="AZ32" s="1">
        <f t="shared" si="44"/>
        <v>5086.2685564080757</v>
      </c>
      <c r="BA32" s="1">
        <f t="shared" si="45"/>
        <v>5086.2685564080757</v>
      </c>
      <c r="BB32" s="1">
        <f t="shared" si="19"/>
        <v>26</v>
      </c>
      <c r="BC32" s="53">
        <f t="shared" si="20"/>
        <v>364.64982084021563</v>
      </c>
      <c r="BD32" s="53">
        <f t="shared" si="21"/>
        <v>156.26669010739556</v>
      </c>
      <c r="BE32" s="53">
        <f t="shared" si="22"/>
        <v>4.8815891091360228</v>
      </c>
      <c r="BF32" s="53">
        <f t="shared" si="23"/>
        <v>4.4510000228307316</v>
      </c>
      <c r="BG32" s="53">
        <f t="shared" si="24"/>
        <v>-8.3732287951051028</v>
      </c>
      <c r="BH32" s="53">
        <f t="shared" si="25"/>
        <v>-2.1770394867273266</v>
      </c>
      <c r="BI32" s="53">
        <f t="shared" si="26"/>
        <v>-3.6230954100441091</v>
      </c>
      <c r="BJ32" s="53">
        <f t="shared" si="27"/>
        <v>-4.8460524688038874E-2</v>
      </c>
    </row>
    <row r="33" spans="1:62" s="19" customFormat="1" x14ac:dyDescent="0.25">
      <c r="B33" s="38"/>
      <c r="C33" s="39"/>
      <c r="D33" s="38"/>
      <c r="E33" s="32"/>
      <c r="F33" s="32"/>
      <c r="G33" s="40"/>
      <c r="H33" s="38"/>
      <c r="I33" s="38"/>
      <c r="J33" s="39"/>
      <c r="K33" s="39"/>
      <c r="L33" s="39"/>
      <c r="M33" s="38"/>
      <c r="U33" s="41"/>
      <c r="W33" s="39"/>
      <c r="AQ33" s="42"/>
      <c r="AR33" s="42"/>
      <c r="AS33" s="42"/>
      <c r="AT33" s="42"/>
      <c r="AU33" s="42"/>
      <c r="AV33" s="42"/>
      <c r="AW33" s="42"/>
      <c r="AX33" s="42"/>
      <c r="AY33" s="43"/>
      <c r="AZ33" s="42"/>
      <c r="BA33" s="42"/>
      <c r="BB33" s="1">
        <f t="shared" si="19"/>
        <v>-40848</v>
      </c>
      <c r="BC33" s="53">
        <f t="shared" si="20"/>
        <v>0</v>
      </c>
      <c r="BD33" s="53">
        <f t="shared" si="21"/>
        <v>0</v>
      </c>
      <c r="BE33" s="53">
        <f t="shared" si="22"/>
        <v>0</v>
      </c>
      <c r="BF33" s="53">
        <f t="shared" si="23"/>
        <v>0</v>
      </c>
      <c r="BG33" s="53">
        <f t="shared" si="24"/>
        <v>0</v>
      </c>
      <c r="BH33" s="53">
        <f t="shared" si="25"/>
        <v>0</v>
      </c>
      <c r="BI33" s="53">
        <f t="shared" si="26"/>
        <v>0</v>
      </c>
      <c r="BJ33" s="53">
        <f t="shared" si="27"/>
        <v>0</v>
      </c>
    </row>
    <row r="34" spans="1:62" x14ac:dyDescent="0.25">
      <c r="A34" s="53" t="s">
        <v>108</v>
      </c>
      <c r="B34" s="15" t="s">
        <v>75</v>
      </c>
      <c r="C34" s="18" t="s">
        <v>101</v>
      </c>
      <c r="D34" s="15" t="s">
        <v>86</v>
      </c>
      <c r="E34" s="31">
        <v>40909</v>
      </c>
      <c r="F34" s="31">
        <v>40999</v>
      </c>
      <c r="G34" s="27">
        <f>F34</f>
        <v>40999</v>
      </c>
      <c r="H34" s="18">
        <v>30</v>
      </c>
      <c r="I34" s="18" t="s">
        <v>3</v>
      </c>
      <c r="J34" s="18">
        <f>(31*24*10+29*24*11+(31*24-1)*12)/K34</f>
        <v>10.999541914796152</v>
      </c>
      <c r="K34" s="18">
        <f>91*24-1</f>
        <v>2183</v>
      </c>
      <c r="L34" s="18">
        <v>15</v>
      </c>
      <c r="M34" s="15">
        <f t="shared" ref="M34:M35" si="46">-L34*K34*J34</f>
        <v>-360180</v>
      </c>
      <c r="N34" s="6">
        <v>16.947969601320601</v>
      </c>
      <c r="O34" s="6">
        <v>0.94189470447117996</v>
      </c>
      <c r="P34" s="6">
        <v>7.4912696874583897E-3</v>
      </c>
      <c r="Q34" s="6">
        <v>3.1466364246349201</v>
      </c>
      <c r="R34" s="6">
        <v>-4.0491241870087404E-3</v>
      </c>
      <c r="S34" s="6">
        <v>-7.0113518076696097</v>
      </c>
      <c r="T34" s="6">
        <v>0.46497411034290398</v>
      </c>
      <c r="U34" s="16">
        <f t="shared" ref="U34:U35" si="47">N34*J34*K34</f>
        <v>406954.6460669103</v>
      </c>
      <c r="V34" s="6">
        <v>406954.64606690902</v>
      </c>
      <c r="W34" s="18">
        <v>0</v>
      </c>
      <c r="X34" s="6">
        <v>-360180</v>
      </c>
      <c r="Y34" s="6">
        <v>406954.64606690902</v>
      </c>
      <c r="Z34" s="6">
        <v>46774.646066909401</v>
      </c>
      <c r="AA34" s="6">
        <v>-360180</v>
      </c>
      <c r="AB34" s="6">
        <v>406954.64606690902</v>
      </c>
      <c r="AC34" s="6">
        <v>46774.646066909401</v>
      </c>
      <c r="AD34" s="9">
        <v>1.7134282676967601E-2</v>
      </c>
      <c r="AE34" s="9">
        <v>46.729285357321224</v>
      </c>
      <c r="AF34" s="9">
        <v>1</v>
      </c>
      <c r="AG34" s="9">
        <f>J34*K34</f>
        <v>24012</v>
      </c>
      <c r="AH34" s="9">
        <v>1</v>
      </c>
      <c r="AI34" s="9">
        <f>L34</f>
        <v>15</v>
      </c>
      <c r="AJ34" s="9" t="s">
        <v>101</v>
      </c>
      <c r="AK34" s="9"/>
      <c r="AL34" s="9">
        <v>0</v>
      </c>
      <c r="AM34" s="9">
        <f>K34</f>
        <v>2183</v>
      </c>
      <c r="AN34" s="9">
        <f>AL34+AM34</f>
        <v>2183</v>
      </c>
      <c r="AO34" s="53">
        <f>IF($E$9&gt;=E34,AM34/(AN34),1)</f>
        <v>1</v>
      </c>
      <c r="AP34" s="53">
        <f>IF($E$9&gt;=E34,(AN34/AM34)*H34-(AL34/AM34)*AK34,H34)</f>
        <v>30</v>
      </c>
      <c r="AQ34" s="1" t="str">
        <f t="shared" ref="AQ34:AQ35" si="48">MID(C34,4,1)</f>
        <v>C</v>
      </c>
      <c r="AR34" s="1">
        <f>B76Future($E$9,AQ34,AE34,AP34,G34,T34,AD34)*AF34*AO34</f>
        <v>16.947969601717816</v>
      </c>
      <c r="AS34" s="1">
        <f>AI34*AF34</f>
        <v>15</v>
      </c>
      <c r="AT34" s="1">
        <f>B76Delta($E$9,AQ34,AE34,AP34,G34,T34,AD34)*AO34</f>
        <v>0.94189470449813872</v>
      </c>
      <c r="AU34" s="1">
        <f>B76Gamma($E$9,AQ34,AE34,AP34,G34,T34,AD34)*AO34</f>
        <v>7.4912696874583906E-3</v>
      </c>
      <c r="AV34" s="1">
        <f>B76Vega($E$9,AQ34,AE34,AP34,G34,T34,AD34)*AO34</f>
        <v>3.1466364246349254</v>
      </c>
      <c r="AW34" s="1">
        <f>B76Theta($E$9,AQ34,AE34,AP34,G34,T34,AD34)*AO34</f>
        <v>-4.0491241869901051E-3</v>
      </c>
      <c r="AX34" s="1">
        <f>B76Rho($E$9,AQ34,AE34,AP34,G34,T34,AD34)*AO34</f>
        <v>-7.0113518078339458</v>
      </c>
      <c r="AY34" s="20">
        <f>-AS34*AG34*AH34</f>
        <v>-360180</v>
      </c>
      <c r="AZ34" s="1">
        <f>AR34*AG34*AH34</f>
        <v>406954.6460764482</v>
      </c>
      <c r="BA34" s="1">
        <f>AZ34</f>
        <v>406954.6460764482</v>
      </c>
      <c r="BB34" s="1">
        <f t="shared" si="19"/>
        <v>151</v>
      </c>
      <c r="BC34" s="53">
        <f t="shared" si="20"/>
        <v>22706.715828276934</v>
      </c>
      <c r="BD34" s="53">
        <f t="shared" si="21"/>
        <v>10588.29720288436</v>
      </c>
      <c r="BE34" s="53">
        <f t="shared" si="22"/>
        <v>755.5703382833384</v>
      </c>
      <c r="BF34" s="53">
        <f t="shared" si="23"/>
        <v>351.32064584478229</v>
      </c>
      <c r="BG34" s="53">
        <f t="shared" si="24"/>
        <v>-97.2275699780064</v>
      </c>
      <c r="BH34" s="53">
        <f t="shared" si="25"/>
        <v>-146.81363066678966</v>
      </c>
      <c r="BI34" s="53">
        <f t="shared" si="26"/>
        <v>-1683.5657960970871</v>
      </c>
      <c r="BJ34" s="53">
        <f t="shared" si="27"/>
        <v>-28.846692255601486</v>
      </c>
    </row>
    <row r="35" spans="1:62" x14ac:dyDescent="0.25">
      <c r="B35" s="15" t="s">
        <v>75</v>
      </c>
      <c r="C35" s="18" t="s">
        <v>101</v>
      </c>
      <c r="D35" s="15" t="s">
        <v>87</v>
      </c>
      <c r="E35" s="31">
        <v>41000</v>
      </c>
      <c r="F35" s="31">
        <v>41090</v>
      </c>
      <c r="G35" s="27">
        <f>F35</f>
        <v>41090</v>
      </c>
      <c r="H35" s="18">
        <v>30</v>
      </c>
      <c r="I35" s="18" t="s">
        <v>3</v>
      </c>
      <c r="J35" s="18">
        <f>(30*24*13+31*24*14+30*24*15)/K35</f>
        <v>14</v>
      </c>
      <c r="K35" s="18">
        <f>91*24</f>
        <v>2184</v>
      </c>
      <c r="L35" s="18">
        <v>15</v>
      </c>
      <c r="M35" s="15">
        <f t="shared" si="46"/>
        <v>-458640</v>
      </c>
      <c r="N35" s="6">
        <v>12.065561705442301</v>
      </c>
      <c r="O35" s="6">
        <v>0.84935575373779704</v>
      </c>
      <c r="P35" s="6">
        <v>1.55215669415515E-2</v>
      </c>
      <c r="Q35" s="6">
        <v>7.3340321105735899</v>
      </c>
      <c r="R35" s="6">
        <v>-5.77671885293333E-3</v>
      </c>
      <c r="S35" s="6">
        <v>-7.9996326923754104</v>
      </c>
      <c r="T35" s="6">
        <v>0.42318232529628602</v>
      </c>
      <c r="U35" s="16">
        <f t="shared" si="47"/>
        <v>368916.61470560374</v>
      </c>
      <c r="V35" s="6">
        <v>368916.614705602</v>
      </c>
      <c r="W35" s="18">
        <v>0</v>
      </c>
      <c r="X35" s="6">
        <v>-458640</v>
      </c>
      <c r="Y35" s="6">
        <v>368916.614705602</v>
      </c>
      <c r="Z35" s="6">
        <v>-89723.385294397696</v>
      </c>
      <c r="AA35" s="6">
        <v>-458640</v>
      </c>
      <c r="AB35" s="6">
        <v>368916.614705602</v>
      </c>
      <c r="AC35" s="6">
        <v>-89723.385294397696</v>
      </c>
      <c r="AD35" s="9">
        <v>1.9232185361691901E-2</v>
      </c>
      <c r="AE35" s="9">
        <v>41.037284144427048</v>
      </c>
      <c r="AF35" s="9">
        <v>1</v>
      </c>
      <c r="AG35" s="9">
        <f>J35*K35</f>
        <v>30576</v>
      </c>
      <c r="AH35" s="9">
        <v>1</v>
      </c>
      <c r="AI35" s="9">
        <f>L35</f>
        <v>15</v>
      </c>
      <c r="AJ35" s="9" t="s">
        <v>101</v>
      </c>
      <c r="AK35" s="9"/>
      <c r="AL35" s="9">
        <v>0</v>
      </c>
      <c r="AM35" s="9">
        <f>K35</f>
        <v>2184</v>
      </c>
      <c r="AN35" s="9">
        <f>AL35+AM35</f>
        <v>2184</v>
      </c>
      <c r="AO35" s="53">
        <f>IF($E$9&gt;=E35,AM35/(AN35),1)</f>
        <v>1</v>
      </c>
      <c r="AP35" s="53">
        <f>IF($E$9&gt;=E35,(AN35/AM35)*H35-(AL35/AM35)*AK35,H35)</f>
        <v>30</v>
      </c>
      <c r="AQ35" s="1" t="str">
        <f t="shared" si="48"/>
        <v>C</v>
      </c>
      <c r="AR35" s="1">
        <f>B76Future($E$9,AQ35,AE35,AP35,G35,T35,AD35)*AF35*AO35</f>
        <v>12.065561708973</v>
      </c>
      <c r="AS35" s="1">
        <f>AI35*AF35</f>
        <v>15</v>
      </c>
      <c r="AT35" s="1">
        <f>B76Delta($E$9,AQ35,AE35,AP35,G35,T35,AD35)*AO35</f>
        <v>0.84935575382486661</v>
      </c>
      <c r="AU35" s="1">
        <f>B76Gamma($E$9,AQ35,AE35,AP35,G35,T35,AD35)*AO35</f>
        <v>1.5521566941551868E-2</v>
      </c>
      <c r="AV35" s="1">
        <f>B76Vega($E$9,AQ35,AE35,AP35,G35,T35,AD35)*AO35</f>
        <v>7.3340321105736725</v>
      </c>
      <c r="AW35" s="1">
        <f>B76Theta($E$9,AQ35,AE35,AP35,G35,T35,AD35)*AO35</f>
        <v>-5.7767188527473624E-3</v>
      </c>
      <c r="AX35" s="1">
        <f>B76Rho($E$9,AQ35,AE35,AP35,G35,T35,AD35)*AO35</f>
        <v>-7.9996326947163459</v>
      </c>
      <c r="AY35" s="20">
        <f>-AS35*AG35*AH35</f>
        <v>-458640</v>
      </c>
      <c r="AZ35" s="1">
        <f>AR35*AG35*AH35</f>
        <v>368916.61481355847</v>
      </c>
      <c r="BA35" s="1">
        <f>AZ35</f>
        <v>368916.61481355847</v>
      </c>
      <c r="BB35" s="1">
        <f t="shared" si="19"/>
        <v>242</v>
      </c>
      <c r="BC35" s="53">
        <f t="shared" si="20"/>
        <v>26207.195244351566</v>
      </c>
      <c r="BD35" s="53">
        <f t="shared" si="21"/>
        <v>10697.303936812168</v>
      </c>
      <c r="BE35" s="53">
        <f t="shared" si="22"/>
        <v>2242.4536581290063</v>
      </c>
      <c r="BF35" s="53">
        <f t="shared" si="23"/>
        <v>948.96675341619573</v>
      </c>
      <c r="BG35" s="53">
        <f t="shared" si="24"/>
        <v>-176.62895564160334</v>
      </c>
      <c r="BH35" s="53">
        <f t="shared" si="25"/>
        <v>-427.44207265268005</v>
      </c>
      <c r="BI35" s="53">
        <f t="shared" si="26"/>
        <v>-2445.9676927364699</v>
      </c>
      <c r="BJ35" s="53">
        <f t="shared" si="27"/>
        <v>-47.041304055417648</v>
      </c>
    </row>
    <row r="36" spans="1:62" s="19" customFormat="1" x14ac:dyDescent="0.25">
      <c r="B36" s="38"/>
      <c r="C36" s="39"/>
      <c r="D36" s="38"/>
      <c r="E36" s="32"/>
      <c r="F36" s="32"/>
      <c r="G36" s="40"/>
      <c r="H36" s="39"/>
      <c r="I36" s="39"/>
      <c r="J36" s="39"/>
      <c r="K36" s="39"/>
      <c r="L36" s="39"/>
      <c r="M36" s="38"/>
      <c r="U36" s="41"/>
      <c r="W36" s="39"/>
      <c r="AQ36" s="42"/>
      <c r="AR36" s="42"/>
      <c r="AS36" s="42"/>
      <c r="AT36" s="42"/>
      <c r="AU36" s="42"/>
      <c r="AV36" s="42"/>
      <c r="AW36" s="42"/>
      <c r="AX36" s="42"/>
      <c r="AY36" s="43"/>
      <c r="AZ36" s="42"/>
      <c r="BA36" s="42"/>
      <c r="BB36" s="1">
        <f t="shared" si="19"/>
        <v>-40848</v>
      </c>
      <c r="BC36" s="53">
        <f t="shared" si="20"/>
        <v>0</v>
      </c>
      <c r="BD36" s="53">
        <f t="shared" si="21"/>
        <v>0</v>
      </c>
      <c r="BE36" s="53">
        <f t="shared" si="22"/>
        <v>0</v>
      </c>
      <c r="BF36" s="53">
        <f t="shared" si="23"/>
        <v>0</v>
      </c>
      <c r="BG36" s="53">
        <f t="shared" si="24"/>
        <v>0</v>
      </c>
      <c r="BH36" s="53">
        <f t="shared" si="25"/>
        <v>0</v>
      </c>
      <c r="BI36" s="53">
        <f t="shared" si="26"/>
        <v>0</v>
      </c>
      <c r="BJ36" s="53">
        <f t="shared" si="27"/>
        <v>0</v>
      </c>
    </row>
    <row r="37" spans="1:62" x14ac:dyDescent="0.25">
      <c r="A37" s="53" t="s">
        <v>105</v>
      </c>
      <c r="B37" s="15" t="s">
        <v>75</v>
      </c>
      <c r="C37" s="15" t="s">
        <v>96</v>
      </c>
      <c r="D37" s="15" t="s">
        <v>86</v>
      </c>
      <c r="E37" s="31">
        <v>40868</v>
      </c>
      <c r="F37" s="31">
        <v>40868</v>
      </c>
      <c r="G37" s="27">
        <f>F37</f>
        <v>40868</v>
      </c>
      <c r="H37" s="15">
        <v>30</v>
      </c>
      <c r="I37" s="15" t="s">
        <v>3</v>
      </c>
      <c r="J37" s="15">
        <v>10</v>
      </c>
      <c r="K37" s="15">
        <v>12</v>
      </c>
      <c r="L37" s="15">
        <v>15</v>
      </c>
      <c r="M37" s="15">
        <f>-L37*K37*J37</f>
        <v>-1800</v>
      </c>
      <c r="N37" s="6">
        <v>22.352927036982202</v>
      </c>
      <c r="O37" s="6">
        <v>0.98249209078048505</v>
      </c>
      <c r="P37" s="6">
        <v>2.8541820922026802E-3</v>
      </c>
      <c r="Q37" s="6">
        <v>0.51074994942192198</v>
      </c>
      <c r="R37" s="6">
        <v>-1.44764440250088E-2</v>
      </c>
      <c r="S37" s="6">
        <v>-1.2248179198346401</v>
      </c>
      <c r="T37" s="6">
        <v>1.19525924117199</v>
      </c>
      <c r="U37" s="16">
        <f t="shared" ref="U37:U39" si="49">N37*J37*K37</f>
        <v>2682.3512444378644</v>
      </c>
      <c r="V37" s="6">
        <v>2682.3512444378598</v>
      </c>
      <c r="W37" s="15">
        <v>0</v>
      </c>
      <c r="X37" s="6">
        <v>-1800</v>
      </c>
      <c r="Y37" s="6">
        <v>2682.3512444378598</v>
      </c>
      <c r="Z37" s="6">
        <v>882.35124443786503</v>
      </c>
      <c r="AA37" s="6">
        <v>-1800</v>
      </c>
      <c r="AB37" s="6">
        <v>2682.3512444378598</v>
      </c>
      <c r="AC37" s="6">
        <v>882.35124443786503</v>
      </c>
      <c r="AD37" s="9">
        <v>1.2826737536044699E-2</v>
      </c>
      <c r="AE37" s="10">
        <v>52.271348836951368</v>
      </c>
      <c r="AF37" s="9">
        <v>1</v>
      </c>
      <c r="AG37" s="9">
        <f t="shared" ref="AG37:AG41" si="50">J37*K37</f>
        <v>120</v>
      </c>
      <c r="AH37" s="9">
        <v>1</v>
      </c>
      <c r="AI37" s="9">
        <f t="shared" ref="AI37:AI41" si="51">L37</f>
        <v>15</v>
      </c>
      <c r="AJ37" s="9" t="s">
        <v>96</v>
      </c>
      <c r="AK37" s="9">
        <v>0</v>
      </c>
      <c r="AL37" s="9">
        <v>0</v>
      </c>
      <c r="AM37" s="9">
        <v>12</v>
      </c>
      <c r="AN37" s="9">
        <f t="shared" ref="AN37:AN41" si="52">AL37+AM37</f>
        <v>12</v>
      </c>
      <c r="AO37" s="53">
        <f t="shared" ref="AO37:AO41" si="53">IF($E$9&gt;=E37,AM37/(AN37),1)</f>
        <v>1</v>
      </c>
      <c r="AP37" s="53">
        <f t="shared" ref="AP37:AP41" si="54">IF($E$9&gt;=E37,(AN37/AM37)*H37-(AL37/AM37)*AK37,H37)</f>
        <v>30</v>
      </c>
      <c r="AQ37" s="1" t="str">
        <f t="shared" ref="AQ37:AQ39" si="55">MID(C37,4,1)</f>
        <v>C</v>
      </c>
      <c r="AR37" s="1">
        <f t="shared" ref="AR37:AR41" si="56">B76Future($E$9,AQ37,AE37,AP37,G37,T37,AD37)*AF37*AO37</f>
        <v>22.352927037221139</v>
      </c>
      <c r="AS37" s="1">
        <f t="shared" ref="AS37:AS41" si="57">AI37*AF37</f>
        <v>15</v>
      </c>
      <c r="AT37" s="1">
        <f t="shared" ref="AT37:AT41" si="58">B76Delta($E$9,AQ37,AE37,AP37,G37,T37,AD37)*AO37</f>
        <v>0.98249209072479315</v>
      </c>
      <c r="AU37" s="1">
        <f t="shared" ref="AU37:AU41" si="59">B76Gamma($E$9,AQ37,AE37,AP37,G37,T37,AD37)*AO37</f>
        <v>2.8541820922026542E-3</v>
      </c>
      <c r="AV37" s="1">
        <f t="shared" ref="AV37:AV41" si="60">B76Vega($E$9,AQ37,AE37,AP37,G37,T37,AD37)*AO37</f>
        <v>0.51074994942191676</v>
      </c>
      <c r="AW37" s="1">
        <f t="shared" ref="AW37:AW41" si="61">B76Theta($E$9,AQ37,AE37,AP37,G37,T37,AD37)*AO37</f>
        <v>-1.4476444025000259E-2</v>
      </c>
      <c r="AX37" s="1">
        <f t="shared" ref="AX37:AX41" si="62">B76Rho($E$9,AQ37,AE37,AP37,G37,T37,AD37)*AO37</f>
        <v>-1.2248179198477336</v>
      </c>
      <c r="AY37" s="20">
        <f>-AS37*AG37*AH37</f>
        <v>-1800</v>
      </c>
      <c r="AZ37" s="1">
        <f t="shared" ref="AZ37:AZ41" si="63">AR37*AG37*AH37</f>
        <v>2682.3512444665366</v>
      </c>
      <c r="BA37" s="1">
        <f t="shared" ref="BA37:BA41" si="64">AZ37</f>
        <v>2682.3512444665366</v>
      </c>
      <c r="BB37" s="1">
        <f t="shared" si="19"/>
        <v>20</v>
      </c>
      <c r="BC37" s="53">
        <f t="shared" si="20"/>
        <v>118.07030181250734</v>
      </c>
      <c r="BD37" s="53">
        <f t="shared" si="21"/>
        <v>61.674214950663824</v>
      </c>
      <c r="BE37" s="53">
        <f t="shared" si="22"/>
        <v>0.61289993930630016</v>
      </c>
      <c r="BF37" s="53">
        <f t="shared" si="23"/>
        <v>0.73257431636960701</v>
      </c>
      <c r="BG37" s="53">
        <f t="shared" si="24"/>
        <v>-1.737173283000031</v>
      </c>
      <c r="BH37" s="53">
        <f t="shared" si="25"/>
        <v>-0.34743465660000622</v>
      </c>
      <c r="BI37" s="53">
        <f t="shared" si="26"/>
        <v>-1.4697815038172803</v>
      </c>
      <c r="BJ37" s="53">
        <f t="shared" si="27"/>
        <v>-1.8852501584797336E-2</v>
      </c>
    </row>
    <row r="38" spans="1:62" x14ac:dyDescent="0.25">
      <c r="B38" s="15" t="s">
        <v>75</v>
      </c>
      <c r="C38" s="15" t="s">
        <v>96</v>
      </c>
      <c r="D38" s="15" t="s">
        <v>87</v>
      </c>
      <c r="E38" s="31">
        <v>40869</v>
      </c>
      <c r="F38" s="31">
        <v>40869</v>
      </c>
      <c r="G38" s="27">
        <f>F38</f>
        <v>40869</v>
      </c>
      <c r="H38" s="15">
        <v>30</v>
      </c>
      <c r="I38" s="15" t="s">
        <v>3</v>
      </c>
      <c r="J38" s="15">
        <v>10</v>
      </c>
      <c r="K38" s="15">
        <v>12</v>
      </c>
      <c r="L38" s="15">
        <v>15</v>
      </c>
      <c r="M38" s="15">
        <f t="shared" ref="M38:M41" si="65">-L38*K38*J38</f>
        <v>-1800</v>
      </c>
      <c r="N38" s="6">
        <v>22.4478439840899</v>
      </c>
      <c r="O38" s="6">
        <v>0.98094941303579297</v>
      </c>
      <c r="P38" s="6">
        <v>2.99864639259486E-3</v>
      </c>
      <c r="Q38" s="6">
        <v>0.56393181079983201</v>
      </c>
      <c r="R38" s="6">
        <v>-1.52171073259878E-2</v>
      </c>
      <c r="S38" s="6">
        <v>-1.2915197908654501</v>
      </c>
      <c r="T38" s="6">
        <v>1.19252206668955</v>
      </c>
      <c r="U38" s="16">
        <f t="shared" si="49"/>
        <v>2693.741278090788</v>
      </c>
      <c r="V38" s="6">
        <v>2693.7412780907898</v>
      </c>
      <c r="W38" s="15">
        <v>0</v>
      </c>
      <c r="X38" s="6">
        <v>-1800</v>
      </c>
      <c r="Y38" s="6">
        <v>2693.7412780907898</v>
      </c>
      <c r="Z38" s="6">
        <v>893.74127809078698</v>
      </c>
      <c r="AA38" s="6">
        <v>-1800</v>
      </c>
      <c r="AB38" s="6">
        <v>2693.7412780907898</v>
      </c>
      <c r="AC38" s="6">
        <v>893.74127809078698</v>
      </c>
      <c r="AD38" s="9">
        <v>1.2923774390302E-2</v>
      </c>
      <c r="AE38" s="9">
        <v>52.354527162765955</v>
      </c>
      <c r="AF38" s="9">
        <v>1</v>
      </c>
      <c r="AG38" s="9">
        <f t="shared" si="50"/>
        <v>120</v>
      </c>
      <c r="AH38" s="9">
        <v>1</v>
      </c>
      <c r="AI38" s="9">
        <f t="shared" si="51"/>
        <v>15</v>
      </c>
      <c r="AJ38" s="9" t="s">
        <v>96</v>
      </c>
      <c r="AK38" s="9">
        <v>0</v>
      </c>
      <c r="AL38" s="9">
        <v>0</v>
      </c>
      <c r="AM38" s="9">
        <v>12</v>
      </c>
      <c r="AN38" s="9">
        <f t="shared" si="52"/>
        <v>12</v>
      </c>
      <c r="AO38" s="53">
        <f t="shared" si="53"/>
        <v>1</v>
      </c>
      <c r="AP38" s="53">
        <f t="shared" si="54"/>
        <v>30</v>
      </c>
      <c r="AQ38" s="1" t="str">
        <f t="shared" si="55"/>
        <v>C</v>
      </c>
      <c r="AR38" s="1">
        <f t="shared" si="56"/>
        <v>22.44784398730042</v>
      </c>
      <c r="AS38" s="1">
        <f t="shared" si="57"/>
        <v>15</v>
      </c>
      <c r="AT38" s="1">
        <f t="shared" si="58"/>
        <v>0.98094941299655869</v>
      </c>
      <c r="AU38" s="1">
        <f t="shared" si="59"/>
        <v>2.9986463925948527E-3</v>
      </c>
      <c r="AV38" s="1">
        <f t="shared" si="60"/>
        <v>0.56393181079982702</v>
      </c>
      <c r="AW38" s="1">
        <f t="shared" si="61"/>
        <v>-1.5217107325873939E-2</v>
      </c>
      <c r="AX38" s="1">
        <f t="shared" si="62"/>
        <v>-1.2915197910501612</v>
      </c>
      <c r="AY38" s="20">
        <f t="shared" ref="AY38:AY41" si="66">-AS38*AG38*AH38</f>
        <v>-1800</v>
      </c>
      <c r="AZ38" s="1">
        <f t="shared" si="63"/>
        <v>2693.7412784760504</v>
      </c>
      <c r="BA38" s="1">
        <f t="shared" si="64"/>
        <v>2693.7412784760504</v>
      </c>
      <c r="BB38" s="1">
        <f t="shared" si="19"/>
        <v>21</v>
      </c>
      <c r="BC38" s="53">
        <f t="shared" si="20"/>
        <v>117.89384834314274</v>
      </c>
      <c r="BD38" s="53">
        <f t="shared" si="21"/>
        <v>61.677886901493963</v>
      </c>
      <c r="BE38" s="53">
        <f t="shared" si="22"/>
        <v>0.67671817295979242</v>
      </c>
      <c r="BF38" s="53">
        <f t="shared" si="23"/>
        <v>0.80700135418438801</v>
      </c>
      <c r="BG38" s="53">
        <f t="shared" si="24"/>
        <v>-1.8260528791048727</v>
      </c>
      <c r="BH38" s="53">
        <f t="shared" si="25"/>
        <v>-0.38347110461202327</v>
      </c>
      <c r="BI38" s="53">
        <f t="shared" si="26"/>
        <v>-1.5498237492601936</v>
      </c>
      <c r="BJ38" s="53">
        <f t="shared" si="27"/>
        <v>-2.0029572480170718E-2</v>
      </c>
    </row>
    <row r="39" spans="1:62" x14ac:dyDescent="0.25">
      <c r="B39" s="15" t="s">
        <v>75</v>
      </c>
      <c r="C39" s="15" t="s">
        <v>96</v>
      </c>
      <c r="D39" s="15" t="s">
        <v>88</v>
      </c>
      <c r="E39" s="31">
        <v>40870</v>
      </c>
      <c r="F39" s="31">
        <v>40870</v>
      </c>
      <c r="G39" s="27">
        <f>F39</f>
        <v>40870</v>
      </c>
      <c r="H39" s="15">
        <v>30</v>
      </c>
      <c r="I39" s="15" t="s">
        <v>3</v>
      </c>
      <c r="J39" s="18">
        <v>10</v>
      </c>
      <c r="K39" s="15">
        <v>12</v>
      </c>
      <c r="L39" s="18">
        <v>15</v>
      </c>
      <c r="M39" s="15">
        <f t="shared" si="65"/>
        <v>-1800</v>
      </c>
      <c r="N39" s="6">
        <v>22.629869369567398</v>
      </c>
      <c r="O39" s="6">
        <v>0.97970590490881704</v>
      </c>
      <c r="P39" s="6">
        <v>3.0896875036237701E-3</v>
      </c>
      <c r="Q39" s="6">
        <v>0.61129061139301999</v>
      </c>
      <c r="R39" s="6">
        <v>-1.5721819894694199E-2</v>
      </c>
      <c r="S39" s="6">
        <v>-1.36399212638489</v>
      </c>
      <c r="T39" s="6">
        <v>1.18973728006576</v>
      </c>
      <c r="U39" s="16">
        <f t="shared" si="49"/>
        <v>2715.5843243480876</v>
      </c>
      <c r="V39" s="6">
        <v>2715.5843243480899</v>
      </c>
      <c r="W39" s="18">
        <v>0</v>
      </c>
      <c r="X39" s="6">
        <v>-1800</v>
      </c>
      <c r="Y39" s="6">
        <v>2715.5843243480899</v>
      </c>
      <c r="Z39" s="6">
        <v>915.58432434809299</v>
      </c>
      <c r="AA39" s="6">
        <v>-1800</v>
      </c>
      <c r="AB39" s="6">
        <v>2715.5843243480899</v>
      </c>
      <c r="AC39" s="6">
        <v>915.58432434809299</v>
      </c>
      <c r="AD39" s="9">
        <v>1.3018826602779501E-2</v>
      </c>
      <c r="AE39" s="9">
        <v>52.526219152836326</v>
      </c>
      <c r="AF39" s="9">
        <v>1</v>
      </c>
      <c r="AG39" s="9">
        <f t="shared" si="50"/>
        <v>120</v>
      </c>
      <c r="AH39" s="9">
        <v>1</v>
      </c>
      <c r="AI39" s="9">
        <f t="shared" si="51"/>
        <v>15</v>
      </c>
      <c r="AJ39" s="9" t="s">
        <v>96</v>
      </c>
      <c r="AK39" s="9">
        <v>0</v>
      </c>
      <c r="AL39" s="9">
        <v>0</v>
      </c>
      <c r="AM39" s="9">
        <v>12</v>
      </c>
      <c r="AN39" s="9">
        <f t="shared" si="52"/>
        <v>12</v>
      </c>
      <c r="AO39" s="53">
        <f t="shared" si="53"/>
        <v>1</v>
      </c>
      <c r="AP39" s="53">
        <f t="shared" si="54"/>
        <v>30</v>
      </c>
      <c r="AQ39" s="1" t="str">
        <f t="shared" si="55"/>
        <v>C</v>
      </c>
      <c r="AR39" s="1">
        <f t="shared" si="56"/>
        <v>22.629869371269635</v>
      </c>
      <c r="AS39" s="1">
        <f t="shared" si="57"/>
        <v>15</v>
      </c>
      <c r="AT39" s="1">
        <f t="shared" si="58"/>
        <v>0.97970590485574238</v>
      </c>
      <c r="AU39" s="1">
        <f t="shared" si="59"/>
        <v>3.0896875036236959E-3</v>
      </c>
      <c r="AV39" s="1">
        <f t="shared" si="60"/>
        <v>0.61129061139300878</v>
      </c>
      <c r="AW39" s="1">
        <f t="shared" si="61"/>
        <v>-1.5721819894633175E-2</v>
      </c>
      <c r="AX39" s="1">
        <f t="shared" si="62"/>
        <v>-1.3639921264874848</v>
      </c>
      <c r="AY39" s="20">
        <f t="shared" si="66"/>
        <v>-1800</v>
      </c>
      <c r="AZ39" s="1">
        <f t="shared" si="63"/>
        <v>2715.5843245523561</v>
      </c>
      <c r="BA39" s="1">
        <f t="shared" si="64"/>
        <v>2715.5843245523561</v>
      </c>
      <c r="BB39" s="1">
        <f t="shared" si="19"/>
        <v>22</v>
      </c>
      <c r="BC39" s="53">
        <f t="shared" si="20"/>
        <v>117.75008983290651</v>
      </c>
      <c r="BD39" s="53">
        <f t="shared" si="21"/>
        <v>61.803443232034738</v>
      </c>
      <c r="BE39" s="53">
        <f t="shared" si="22"/>
        <v>0.73354873367161044</v>
      </c>
      <c r="BF39" s="53">
        <f t="shared" si="23"/>
        <v>0.87273027519414437</v>
      </c>
      <c r="BG39" s="53">
        <f t="shared" si="24"/>
        <v>-1.886618387355981</v>
      </c>
      <c r="BH39" s="53">
        <f t="shared" si="25"/>
        <v>-0.41505604521831579</v>
      </c>
      <c r="BI39" s="53">
        <f t="shared" si="26"/>
        <v>-1.6367905517849817</v>
      </c>
      <c r="BJ39" s="53">
        <f t="shared" si="27"/>
        <v>-2.1309092378756458E-2</v>
      </c>
    </row>
    <row r="40" spans="1:62" x14ac:dyDescent="0.25">
      <c r="B40" s="15" t="s">
        <v>75</v>
      </c>
      <c r="C40" s="15" t="s">
        <v>96</v>
      </c>
      <c r="D40" s="15" t="s">
        <v>89</v>
      </c>
      <c r="E40" s="31">
        <v>40871</v>
      </c>
      <c r="F40" s="31">
        <v>40871</v>
      </c>
      <c r="G40" s="27">
        <f>F40</f>
        <v>40871</v>
      </c>
      <c r="H40" s="15">
        <v>30</v>
      </c>
      <c r="I40" s="15" t="s">
        <v>3</v>
      </c>
      <c r="J40" s="18">
        <v>10</v>
      </c>
      <c r="K40" s="15">
        <v>12</v>
      </c>
      <c r="L40" s="18">
        <v>15</v>
      </c>
      <c r="M40" s="15">
        <f t="shared" si="65"/>
        <v>-1800</v>
      </c>
      <c r="N40" s="6">
        <v>20.953076495322499</v>
      </c>
      <c r="O40" s="6">
        <v>0.97152660952897296</v>
      </c>
      <c r="P40" s="6">
        <v>4.2005164046769296E-3</v>
      </c>
      <c r="Q40" s="6">
        <v>0.81047996013687895</v>
      </c>
      <c r="R40" s="6">
        <v>-2.0159718998274598E-2</v>
      </c>
      <c r="S40" s="6">
        <v>-1.32033084765046</v>
      </c>
      <c r="T40" s="6">
        <v>1.1869148168163</v>
      </c>
      <c r="U40" s="16">
        <f>N40*J40*K40</f>
        <v>2514.3691794387</v>
      </c>
      <c r="V40" s="6">
        <v>2514.3691794387</v>
      </c>
      <c r="W40" s="18">
        <v>0</v>
      </c>
      <c r="X40" s="6">
        <v>-1800</v>
      </c>
      <c r="Y40" s="6">
        <v>2514.3691794387</v>
      </c>
      <c r="Z40" s="6">
        <v>714.36917943870003</v>
      </c>
      <c r="AA40" s="6">
        <v>-1800</v>
      </c>
      <c r="AB40" s="6">
        <v>2514.3691794387</v>
      </c>
      <c r="AC40" s="6">
        <v>714.36917943870003</v>
      </c>
      <c r="AD40" s="9">
        <v>1.31117134618641E-2</v>
      </c>
      <c r="AE40" s="9">
        <v>50.791675151236525</v>
      </c>
      <c r="AF40" s="9">
        <v>1</v>
      </c>
      <c r="AG40" s="9">
        <f t="shared" si="50"/>
        <v>120</v>
      </c>
      <c r="AH40" s="9">
        <v>1</v>
      </c>
      <c r="AI40" s="9">
        <f t="shared" si="51"/>
        <v>15</v>
      </c>
      <c r="AJ40" s="9" t="s">
        <v>96</v>
      </c>
      <c r="AK40" s="9">
        <v>0</v>
      </c>
      <c r="AL40" s="9">
        <v>0</v>
      </c>
      <c r="AM40" s="9">
        <v>12</v>
      </c>
      <c r="AN40" s="9">
        <f t="shared" si="52"/>
        <v>12</v>
      </c>
      <c r="AO40" s="53">
        <f t="shared" si="53"/>
        <v>1</v>
      </c>
      <c r="AP40" s="53">
        <f t="shared" si="54"/>
        <v>30</v>
      </c>
      <c r="AQ40" s="1" t="str">
        <f>MID(C40,4,1)</f>
        <v>C</v>
      </c>
      <c r="AR40" s="1">
        <f t="shared" si="56"/>
        <v>20.953076490615043</v>
      </c>
      <c r="AS40" s="1">
        <f t="shared" si="57"/>
        <v>15</v>
      </c>
      <c r="AT40" s="1">
        <f t="shared" si="58"/>
        <v>0.97152660944921421</v>
      </c>
      <c r="AU40" s="1">
        <f t="shared" si="59"/>
        <v>4.200516404676842E-3</v>
      </c>
      <c r="AV40" s="1">
        <f t="shared" si="60"/>
        <v>0.8104799601368704</v>
      </c>
      <c r="AW40" s="1">
        <f t="shared" si="61"/>
        <v>-2.0159718998443654E-2</v>
      </c>
      <c r="AX40" s="1">
        <f t="shared" si="62"/>
        <v>-1.3203308473538247</v>
      </c>
      <c r="AY40" s="20">
        <f t="shared" si="66"/>
        <v>-1800</v>
      </c>
      <c r="AZ40" s="1">
        <f t="shared" si="63"/>
        <v>2514.3691788738051</v>
      </c>
      <c r="BA40" s="1">
        <f t="shared" si="64"/>
        <v>2514.3691788738051</v>
      </c>
      <c r="BB40" s="1">
        <f t="shared" si="19"/>
        <v>23</v>
      </c>
      <c r="BC40" s="53">
        <f t="shared" si="20"/>
        <v>116.83522411818632</v>
      </c>
      <c r="BD40" s="53">
        <f t="shared" si="21"/>
        <v>59.279575546288669</v>
      </c>
      <c r="BE40" s="53">
        <f t="shared" si="22"/>
        <v>0.97257595216424453</v>
      </c>
      <c r="BF40" s="53">
        <f t="shared" si="23"/>
        <v>1.1543648081029627</v>
      </c>
      <c r="BG40" s="53">
        <f t="shared" si="24"/>
        <v>-2.4191662798132385</v>
      </c>
      <c r="BH40" s="53">
        <f t="shared" si="25"/>
        <v>-0.55640824435704483</v>
      </c>
      <c r="BI40" s="53">
        <f t="shared" si="26"/>
        <v>-1.5843970168245898</v>
      </c>
      <c r="BJ40" s="53">
        <f t="shared" si="27"/>
        <v>-2.0774159694436294E-2</v>
      </c>
    </row>
    <row r="41" spans="1:62" x14ac:dyDescent="0.25">
      <c r="B41" s="15" t="s">
        <v>75</v>
      </c>
      <c r="C41" s="15" t="s">
        <v>96</v>
      </c>
      <c r="D41" s="15" t="s">
        <v>97</v>
      </c>
      <c r="E41" s="31">
        <v>40872</v>
      </c>
      <c r="F41" s="31">
        <v>40872</v>
      </c>
      <c r="G41" s="27">
        <f>F41</f>
        <v>40872</v>
      </c>
      <c r="H41" s="15">
        <v>30</v>
      </c>
      <c r="I41" s="15" t="s">
        <v>3</v>
      </c>
      <c r="J41" s="18">
        <v>10</v>
      </c>
      <c r="K41" s="15">
        <v>12</v>
      </c>
      <c r="L41" s="18">
        <v>15</v>
      </c>
      <c r="M41" s="15">
        <f t="shared" si="65"/>
        <v>-1800</v>
      </c>
      <c r="N41" s="6">
        <v>19.776826813024002</v>
      </c>
      <c r="O41" s="6">
        <v>0.96361683706955903</v>
      </c>
      <c r="P41" s="6">
        <v>5.1966006670428602E-3</v>
      </c>
      <c r="Q41" s="6">
        <v>0.99359414016164904</v>
      </c>
      <c r="R41" s="6">
        <v>-2.3794619686898499E-2</v>
      </c>
      <c r="S41" s="6">
        <v>-1.3003940918152801</v>
      </c>
      <c r="T41" s="6">
        <v>1.18406293098157</v>
      </c>
      <c r="U41" s="16">
        <f>N41*J41*K41</f>
        <v>2373.2192175628802</v>
      </c>
      <c r="V41" s="6">
        <v>2373.2192175628902</v>
      </c>
      <c r="W41" s="18">
        <v>0</v>
      </c>
      <c r="X41" s="6">
        <v>-1800</v>
      </c>
      <c r="Y41" s="6">
        <v>2373.2192175628902</v>
      </c>
      <c r="Z41" s="6">
        <v>573.21921756288498</v>
      </c>
      <c r="AA41" s="6">
        <v>-1800</v>
      </c>
      <c r="AB41" s="6">
        <v>2373.2192175628902</v>
      </c>
      <c r="AC41" s="6">
        <v>573.21921756288498</v>
      </c>
      <c r="AD41" s="9">
        <v>1.3202245784909399E-2</v>
      </c>
      <c r="AE41" s="9">
        <v>49.556229696209861</v>
      </c>
      <c r="AF41" s="9">
        <v>1</v>
      </c>
      <c r="AG41" s="9">
        <f t="shared" si="50"/>
        <v>120</v>
      </c>
      <c r="AH41" s="9">
        <v>1</v>
      </c>
      <c r="AI41" s="9">
        <f t="shared" si="51"/>
        <v>15</v>
      </c>
      <c r="AJ41" s="9" t="s">
        <v>96</v>
      </c>
      <c r="AK41" s="9">
        <v>0</v>
      </c>
      <c r="AL41" s="9">
        <v>0</v>
      </c>
      <c r="AM41" s="9">
        <v>12</v>
      </c>
      <c r="AN41" s="9">
        <f t="shared" si="52"/>
        <v>12</v>
      </c>
      <c r="AO41" s="53">
        <f t="shared" si="53"/>
        <v>1</v>
      </c>
      <c r="AP41" s="53">
        <f t="shared" si="54"/>
        <v>30</v>
      </c>
      <c r="AQ41" s="1" t="str">
        <f>MID(C41,4,1)</f>
        <v>C</v>
      </c>
      <c r="AR41" s="1">
        <f t="shared" si="56"/>
        <v>19.776826803315295</v>
      </c>
      <c r="AS41" s="1">
        <f t="shared" si="57"/>
        <v>15</v>
      </c>
      <c r="AT41" s="1">
        <f t="shared" si="58"/>
        <v>0.96361683689670263</v>
      </c>
      <c r="AU41" s="1">
        <f t="shared" si="59"/>
        <v>5.1966006670427509E-3</v>
      </c>
      <c r="AV41" s="1">
        <f t="shared" si="60"/>
        <v>0.99359414016164049</v>
      </c>
      <c r="AW41" s="1">
        <f t="shared" si="61"/>
        <v>-2.3794619687249632E-2</v>
      </c>
      <c r="AX41" s="1">
        <f t="shared" si="62"/>
        <v>-1.3003940911768961</v>
      </c>
      <c r="AY41" s="20">
        <f t="shared" si="66"/>
        <v>-1800</v>
      </c>
      <c r="AZ41" s="1">
        <f t="shared" si="63"/>
        <v>2373.2192163978352</v>
      </c>
      <c r="BA41" s="1">
        <f t="shared" si="64"/>
        <v>2373.2192163978352</v>
      </c>
      <c r="BB41" s="1">
        <f t="shared" si="19"/>
        <v>24</v>
      </c>
      <c r="BC41" s="53">
        <f t="shared" si="20"/>
        <v>115.94581646762688</v>
      </c>
      <c r="BD41" s="53">
        <f t="shared" si="21"/>
        <v>57.380432262101799</v>
      </c>
      <c r="BE41" s="53">
        <f t="shared" si="22"/>
        <v>1.1923129681939686</v>
      </c>
      <c r="BF41" s="53">
        <f t="shared" si="23"/>
        <v>1.4117735877670858</v>
      </c>
      <c r="BG41" s="53">
        <f t="shared" si="24"/>
        <v>-2.855354362469956</v>
      </c>
      <c r="BH41" s="53">
        <f t="shared" si="25"/>
        <v>-0.68528504699278936</v>
      </c>
      <c r="BI41" s="53">
        <f t="shared" si="26"/>
        <v>-1.5604729094122751</v>
      </c>
      <c r="BJ41" s="53">
        <f t="shared" si="27"/>
        <v>-2.0601746890753517E-2</v>
      </c>
    </row>
    <row r="42" spans="1:62" s="19" customFormat="1" x14ac:dyDescent="0.25">
      <c r="B42" s="38"/>
      <c r="C42" s="39"/>
      <c r="D42" s="38"/>
      <c r="E42" s="32"/>
      <c r="F42" s="32"/>
      <c r="G42" s="40"/>
      <c r="H42" s="38"/>
      <c r="I42" s="38"/>
      <c r="J42" s="39"/>
      <c r="K42" s="39"/>
      <c r="L42" s="39"/>
      <c r="M42" s="38"/>
      <c r="U42" s="41"/>
      <c r="W42" s="39"/>
      <c r="AJ42" s="39"/>
      <c r="AQ42" s="42"/>
      <c r="AR42" s="42"/>
      <c r="AS42" s="42"/>
      <c r="AT42" s="42"/>
      <c r="AU42" s="42"/>
      <c r="AV42" s="42"/>
      <c r="AW42" s="42"/>
      <c r="AX42" s="42"/>
      <c r="AY42" s="43"/>
      <c r="AZ42" s="42"/>
      <c r="BA42" s="42"/>
      <c r="BB42" s="1">
        <f t="shared" si="19"/>
        <v>-40848</v>
      </c>
      <c r="BC42" s="53">
        <f t="shared" si="20"/>
        <v>0</v>
      </c>
      <c r="BD42" s="53">
        <f t="shared" si="21"/>
        <v>0</v>
      </c>
      <c r="BE42" s="53">
        <f t="shared" si="22"/>
        <v>0</v>
      </c>
      <c r="BF42" s="53">
        <f t="shared" si="23"/>
        <v>0</v>
      </c>
      <c r="BG42" s="53">
        <f t="shared" si="24"/>
        <v>0</v>
      </c>
      <c r="BH42" s="53">
        <f t="shared" si="25"/>
        <v>0</v>
      </c>
      <c r="BI42" s="53">
        <f t="shared" si="26"/>
        <v>0</v>
      </c>
      <c r="BJ42" s="53">
        <f t="shared" si="27"/>
        <v>0</v>
      </c>
    </row>
    <row r="43" spans="1:62" x14ac:dyDescent="0.25">
      <c r="A43" s="53" t="s">
        <v>103</v>
      </c>
      <c r="B43" s="15" t="s">
        <v>75</v>
      </c>
      <c r="C43" s="15" t="s">
        <v>83</v>
      </c>
      <c r="D43" s="15" t="s">
        <v>86</v>
      </c>
      <c r="E43" s="31">
        <v>40544</v>
      </c>
      <c r="F43" s="31">
        <v>40633</v>
      </c>
      <c r="G43" s="27">
        <f>F43</f>
        <v>40633</v>
      </c>
      <c r="H43" s="15">
        <v>30</v>
      </c>
      <c r="I43" s="15" t="s">
        <v>7</v>
      </c>
      <c r="J43" s="15">
        <v>10</v>
      </c>
      <c r="K43" s="15">
        <v>768</v>
      </c>
      <c r="L43" s="15">
        <v>15</v>
      </c>
      <c r="M43" s="15">
        <f>-L43*K43*J43</f>
        <v>-115200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16">
        <f t="shared" ref="U43:U45" si="67">N43*J43*K43</f>
        <v>0</v>
      </c>
      <c r="V43" s="6">
        <v>0</v>
      </c>
      <c r="W43" s="15">
        <v>0</v>
      </c>
      <c r="X43" s="6">
        <v>173449.9</v>
      </c>
      <c r="Y43" s="6">
        <v>0</v>
      </c>
      <c r="Z43" s="6">
        <v>173449.9</v>
      </c>
      <c r="AA43" s="6">
        <v>173449.9</v>
      </c>
      <c r="AB43" s="6">
        <v>0</v>
      </c>
      <c r="AC43" s="6">
        <v>173449.9</v>
      </c>
      <c r="AD43" s="10">
        <v>0</v>
      </c>
      <c r="AE43" s="10">
        <v>0</v>
      </c>
      <c r="AF43" s="9">
        <v>1</v>
      </c>
      <c r="AG43" s="9">
        <f>J43*K43</f>
        <v>7680</v>
      </c>
      <c r="AH43" s="9">
        <v>1</v>
      </c>
      <c r="AI43" s="9">
        <f>L43</f>
        <v>15</v>
      </c>
      <c r="AJ43" s="9" t="s">
        <v>83</v>
      </c>
      <c r="AK43" s="9">
        <v>67.584622395833307</v>
      </c>
      <c r="AL43" s="9">
        <f>K43</f>
        <v>768</v>
      </c>
      <c r="AM43" s="9">
        <v>0</v>
      </c>
      <c r="AN43" s="9">
        <f>AL43+AM43</f>
        <v>768</v>
      </c>
      <c r="AO43" s="53">
        <f>IF($E$9&gt;=E43,AM43/(AN43),1)</f>
        <v>0</v>
      </c>
      <c r="AP43" s="53" t="e">
        <f>IF($E$9&gt;=E43,(AN43/AM43)*H43-(AL43/AM43)*AK43,H43)</f>
        <v>#DIV/0!</v>
      </c>
      <c r="AQ43" s="1" t="str">
        <f t="shared" ref="AQ43:AQ45" si="68">MID(C43,4,1)</f>
        <v>C</v>
      </c>
      <c r="AR43" s="1">
        <f>B76Future($E$9,AQ43,AE43,AP43,G43,T43,AD43)*AF43*AO43</f>
        <v>0</v>
      </c>
      <c r="AS43" s="1">
        <f>AI43*AF43</f>
        <v>15</v>
      </c>
      <c r="AT43" s="1">
        <f>B76Delta($E$9,AQ43,AE43,AP43,G43,T43,AD43)*AO43</f>
        <v>0</v>
      </c>
      <c r="AU43" s="1">
        <f>B76Gamma($E$9,AQ43,AE43,AP43,G43,T43,AD43)*AO43</f>
        <v>0</v>
      </c>
      <c r="AV43" s="1">
        <f>B76Vega($E$9,AQ43,AE43,AP43,G43,T43,AD43)*AO43</f>
        <v>0</v>
      </c>
      <c r="AW43" s="1">
        <f>B76Theta($E$9,AQ43,AE43,AP43,G43,T43,AD43)*AO43</f>
        <v>0</v>
      </c>
      <c r="AX43" s="1">
        <f>B76Rho($E$9,AQ43,AE43,AP43,G43,T43,AD43)*AO43</f>
        <v>0</v>
      </c>
      <c r="AY43" s="20">
        <f>-AS43*AG43*AH43</f>
        <v>-115200</v>
      </c>
      <c r="AZ43" s="1">
        <f>AR43*AG43*AH43</f>
        <v>0</v>
      </c>
      <c r="BA43" s="1">
        <f>AZ43</f>
        <v>0</v>
      </c>
      <c r="BB43" s="1">
        <f t="shared" si="19"/>
        <v>-215</v>
      </c>
      <c r="BC43" s="53">
        <f t="shared" si="20"/>
        <v>0</v>
      </c>
      <c r="BD43" s="53">
        <f t="shared" si="21"/>
        <v>0</v>
      </c>
      <c r="BE43" s="53">
        <f t="shared" si="22"/>
        <v>0</v>
      </c>
      <c r="BF43" s="53">
        <f t="shared" si="23"/>
        <v>0</v>
      </c>
      <c r="BG43" s="53">
        <f t="shared" si="24"/>
        <v>0</v>
      </c>
      <c r="BH43" s="53">
        <f t="shared" si="25"/>
        <v>0</v>
      </c>
      <c r="BI43" s="53">
        <f t="shared" si="26"/>
        <v>0</v>
      </c>
      <c r="BJ43" s="53">
        <f t="shared" si="27"/>
        <v>0</v>
      </c>
    </row>
    <row r="44" spans="1:62" x14ac:dyDescent="0.25">
      <c r="B44" s="15" t="s">
        <v>75</v>
      </c>
      <c r="C44" s="15" t="s">
        <v>83</v>
      </c>
      <c r="D44" s="15" t="s">
        <v>87</v>
      </c>
      <c r="E44" s="31">
        <v>40634</v>
      </c>
      <c r="F44" s="31">
        <v>40724</v>
      </c>
      <c r="G44" s="27">
        <f t="shared" ref="G44:G46" si="69">F44</f>
        <v>40724</v>
      </c>
      <c r="H44" s="15">
        <v>30</v>
      </c>
      <c r="I44" s="15" t="s">
        <v>7</v>
      </c>
      <c r="J44" s="15">
        <v>10</v>
      </c>
      <c r="K44" s="15">
        <v>780</v>
      </c>
      <c r="L44" s="15">
        <v>15</v>
      </c>
      <c r="M44" s="15">
        <f t="shared" ref="M44:M46" si="70">-L44*K44*J44</f>
        <v>-117000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16">
        <f t="shared" si="67"/>
        <v>0</v>
      </c>
      <c r="V44" s="6">
        <v>0</v>
      </c>
      <c r="W44" s="15">
        <v>0</v>
      </c>
      <c r="X44" s="6">
        <v>85171.899999999194</v>
      </c>
      <c r="Y44" s="6">
        <v>0</v>
      </c>
      <c r="Z44" s="6">
        <v>85171.899999999194</v>
      </c>
      <c r="AA44" s="6">
        <v>85171.899999999194</v>
      </c>
      <c r="AB44" s="6">
        <v>0</v>
      </c>
      <c r="AC44" s="6">
        <v>85171.899999999194</v>
      </c>
      <c r="AD44" s="10">
        <v>0</v>
      </c>
      <c r="AE44" s="10">
        <v>0</v>
      </c>
      <c r="AF44" s="9">
        <v>1</v>
      </c>
      <c r="AG44" s="9">
        <f t="shared" ref="AG44:AG46" si="71">J44*K44</f>
        <v>7800</v>
      </c>
      <c r="AH44" s="9">
        <v>1</v>
      </c>
      <c r="AI44" s="9">
        <f t="shared" ref="AI44:AI46" si="72">L44</f>
        <v>15</v>
      </c>
      <c r="AJ44" s="9" t="s">
        <v>83</v>
      </c>
      <c r="AK44" s="9">
        <v>55.919474358974298</v>
      </c>
      <c r="AL44" s="9">
        <f t="shared" ref="AL44:AL45" si="73">K44</f>
        <v>780</v>
      </c>
      <c r="AM44" s="9">
        <v>0</v>
      </c>
      <c r="AN44" s="9">
        <f t="shared" ref="AN44:AN46" si="74">AL44+AM44</f>
        <v>780</v>
      </c>
      <c r="AO44" s="53">
        <f t="shared" ref="AO44:AO46" si="75">IF($E$9&gt;=E44,AM44/(AN44),1)</f>
        <v>0</v>
      </c>
      <c r="AP44" s="53" t="e">
        <f t="shared" ref="AP44:AP45" si="76">IF($E$9&gt;=E44,(AN44/AM44)*H44-(AL44/AM44)*AK44,H44)</f>
        <v>#DIV/0!</v>
      </c>
      <c r="AQ44" s="1" t="str">
        <f t="shared" si="68"/>
        <v>C</v>
      </c>
      <c r="AR44" s="1">
        <f t="shared" ref="AR44:AR46" si="77">B76Future($E$9,AQ44,AE44,AP44,G44,T44,AD44)*AF44*AO44</f>
        <v>0</v>
      </c>
      <c r="AS44" s="1">
        <f t="shared" ref="AS44:AS46" si="78">AI44*AF44</f>
        <v>15</v>
      </c>
      <c r="AT44" s="1">
        <f t="shared" ref="AT44:AT46" si="79">B76Delta($E$9,AQ44,AE44,AP44,G44,T44,AD44)*AO44</f>
        <v>0</v>
      </c>
      <c r="AU44" s="1">
        <f t="shared" ref="AU44:AU46" si="80">B76Gamma($E$9,AQ44,AE44,AP44,G44,T44,AD44)*AO44</f>
        <v>0</v>
      </c>
      <c r="AV44" s="1">
        <f t="shared" ref="AV44:AV46" si="81">B76Vega($E$9,AQ44,AE44,AP44,G44,T44,AD44)*AO44</f>
        <v>0</v>
      </c>
      <c r="AW44" s="1">
        <f t="shared" ref="AW44:AW46" si="82">B76Theta($E$9,AQ44,AE44,AP44,G44,T44,AD44)*AO44</f>
        <v>0</v>
      </c>
      <c r="AX44" s="1">
        <f t="shared" ref="AX44:AX46" si="83">B76Rho($E$9,AQ44,AE44,AP44,G44,T44,AD44)*AO44</f>
        <v>0</v>
      </c>
      <c r="AY44" s="20">
        <f t="shared" ref="AY44:AY46" si="84">-AS44*AG44*AH44</f>
        <v>-117000</v>
      </c>
      <c r="AZ44" s="1">
        <f t="shared" ref="AZ44:AZ46" si="85">AR44*AG44*AH44</f>
        <v>0</v>
      </c>
      <c r="BA44" s="1">
        <f t="shared" ref="BA44:BA46" si="86">AZ44</f>
        <v>0</v>
      </c>
      <c r="BB44" s="1">
        <f t="shared" si="19"/>
        <v>-124</v>
      </c>
      <c r="BC44" s="53">
        <f t="shared" si="20"/>
        <v>0</v>
      </c>
      <c r="BD44" s="53">
        <f t="shared" si="21"/>
        <v>0</v>
      </c>
      <c r="BE44" s="53">
        <f t="shared" si="22"/>
        <v>0</v>
      </c>
      <c r="BF44" s="53">
        <f t="shared" si="23"/>
        <v>0</v>
      </c>
      <c r="BG44" s="53">
        <f t="shared" si="24"/>
        <v>0</v>
      </c>
      <c r="BH44" s="53">
        <f t="shared" si="25"/>
        <v>0</v>
      </c>
      <c r="BI44" s="53">
        <f t="shared" si="26"/>
        <v>0</v>
      </c>
      <c r="BJ44" s="53">
        <f t="shared" si="27"/>
        <v>0</v>
      </c>
    </row>
    <row r="45" spans="1:62" x14ac:dyDescent="0.25">
      <c r="B45" s="15" t="s">
        <v>75</v>
      </c>
      <c r="C45" s="15" t="s">
        <v>83</v>
      </c>
      <c r="D45" s="15" t="s">
        <v>88</v>
      </c>
      <c r="E45" s="31">
        <v>40725</v>
      </c>
      <c r="F45" s="31">
        <v>40816</v>
      </c>
      <c r="G45" s="27">
        <f t="shared" si="69"/>
        <v>40816</v>
      </c>
      <c r="H45" s="15">
        <v>30</v>
      </c>
      <c r="I45" s="15" t="s">
        <v>7</v>
      </c>
      <c r="J45" s="15">
        <v>10</v>
      </c>
      <c r="K45" s="15">
        <v>792</v>
      </c>
      <c r="L45" s="15">
        <v>15</v>
      </c>
      <c r="M45" s="15">
        <f t="shared" si="70"/>
        <v>-118800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16">
        <f t="shared" si="67"/>
        <v>0</v>
      </c>
      <c r="V45" s="6">
        <v>0</v>
      </c>
      <c r="W45" s="15">
        <v>0</v>
      </c>
      <c r="X45" s="6">
        <v>-32591.3999999997</v>
      </c>
      <c r="Y45" s="6">
        <v>0</v>
      </c>
      <c r="Z45" s="6">
        <v>-32591.3999999997</v>
      </c>
      <c r="AA45" s="6">
        <v>-32591.3999999997</v>
      </c>
      <c r="AB45" s="6">
        <v>0</v>
      </c>
      <c r="AC45" s="6">
        <v>-32591.3999999997</v>
      </c>
      <c r="AD45" s="10">
        <v>0</v>
      </c>
      <c r="AE45" s="10">
        <v>0</v>
      </c>
      <c r="AF45" s="9">
        <v>1</v>
      </c>
      <c r="AG45" s="9">
        <f t="shared" si="71"/>
        <v>7920</v>
      </c>
      <c r="AH45" s="9">
        <v>1</v>
      </c>
      <c r="AI45" s="9">
        <f t="shared" si="72"/>
        <v>15</v>
      </c>
      <c r="AJ45" s="9" t="s">
        <v>83</v>
      </c>
      <c r="AK45" s="9">
        <v>40.884924242424297</v>
      </c>
      <c r="AL45" s="9">
        <f t="shared" si="73"/>
        <v>792</v>
      </c>
      <c r="AM45" s="9">
        <v>0</v>
      </c>
      <c r="AN45" s="9">
        <f t="shared" si="74"/>
        <v>792</v>
      </c>
      <c r="AO45" s="53">
        <f t="shared" si="75"/>
        <v>0</v>
      </c>
      <c r="AP45" s="53" t="e">
        <f t="shared" si="76"/>
        <v>#DIV/0!</v>
      </c>
      <c r="AQ45" s="1" t="str">
        <f t="shared" si="68"/>
        <v>C</v>
      </c>
      <c r="AR45" s="1">
        <f t="shared" si="77"/>
        <v>0</v>
      </c>
      <c r="AS45" s="1">
        <f t="shared" si="78"/>
        <v>15</v>
      </c>
      <c r="AT45" s="1">
        <f t="shared" si="79"/>
        <v>0</v>
      </c>
      <c r="AU45" s="1">
        <f t="shared" si="80"/>
        <v>0</v>
      </c>
      <c r="AV45" s="1">
        <f t="shared" si="81"/>
        <v>0</v>
      </c>
      <c r="AW45" s="1">
        <f t="shared" si="82"/>
        <v>0</v>
      </c>
      <c r="AX45" s="1">
        <f t="shared" si="83"/>
        <v>0</v>
      </c>
      <c r="AY45" s="20">
        <f t="shared" si="84"/>
        <v>-118800</v>
      </c>
      <c r="AZ45" s="1">
        <f t="shared" si="85"/>
        <v>0</v>
      </c>
      <c r="BA45" s="1">
        <f t="shared" si="86"/>
        <v>0</v>
      </c>
      <c r="BB45" s="1">
        <f t="shared" si="19"/>
        <v>-32</v>
      </c>
      <c r="BC45" s="53">
        <f t="shared" si="20"/>
        <v>0</v>
      </c>
      <c r="BD45" s="53">
        <f t="shared" si="21"/>
        <v>0</v>
      </c>
      <c r="BE45" s="53">
        <f t="shared" si="22"/>
        <v>0</v>
      </c>
      <c r="BF45" s="53">
        <f t="shared" si="23"/>
        <v>0</v>
      </c>
      <c r="BG45" s="53">
        <f t="shared" si="24"/>
        <v>0</v>
      </c>
      <c r="BH45" s="53">
        <f t="shared" si="25"/>
        <v>0</v>
      </c>
      <c r="BI45" s="53">
        <f t="shared" si="26"/>
        <v>0</v>
      </c>
      <c r="BJ45" s="53">
        <f t="shared" si="27"/>
        <v>0</v>
      </c>
    </row>
    <row r="46" spans="1:62" x14ac:dyDescent="0.25">
      <c r="B46" s="15" t="s">
        <v>75</v>
      </c>
      <c r="C46" s="15" t="s">
        <v>83</v>
      </c>
      <c r="D46" s="15" t="s">
        <v>89</v>
      </c>
      <c r="E46" s="31">
        <v>40817</v>
      </c>
      <c r="F46" s="31">
        <v>40908</v>
      </c>
      <c r="G46" s="27">
        <f t="shared" si="69"/>
        <v>40908</v>
      </c>
      <c r="H46" s="15">
        <v>30</v>
      </c>
      <c r="I46" s="15" t="s">
        <v>3</v>
      </c>
      <c r="J46" s="15">
        <v>10</v>
      </c>
      <c r="K46" s="15">
        <v>780</v>
      </c>
      <c r="L46" s="15">
        <v>15</v>
      </c>
      <c r="M46" s="15">
        <f t="shared" si="70"/>
        <v>-117000</v>
      </c>
      <c r="N46" s="6">
        <v>15.440862134253701</v>
      </c>
      <c r="O46" s="6">
        <v>0.65373679337627399</v>
      </c>
      <c r="P46" s="6">
        <v>1.1858053021294101E-3</v>
      </c>
      <c r="Q46" s="6">
        <v>0.34946248933414398</v>
      </c>
      <c r="R46" s="6">
        <v>-1.29643316749548E-3</v>
      </c>
      <c r="S46" s="6">
        <v>-2.5382239124800701</v>
      </c>
      <c r="T46" s="6">
        <v>0.66353721104510899</v>
      </c>
      <c r="U46" s="16">
        <f>N46*J46*K46</f>
        <v>120438.72464717887</v>
      </c>
      <c r="V46" s="6">
        <v>120438.724647179</v>
      </c>
      <c r="W46" s="15">
        <v>0</v>
      </c>
      <c r="X46" s="6">
        <v>-117000</v>
      </c>
      <c r="Y46" s="6">
        <v>120438.724647179</v>
      </c>
      <c r="Z46" s="6">
        <v>3438.72464717909</v>
      </c>
      <c r="AA46" s="6">
        <v>-117000</v>
      </c>
      <c r="AB46" s="6">
        <v>120438.724647179</v>
      </c>
      <c r="AC46" s="6">
        <v>3438.72464717909</v>
      </c>
      <c r="AD46" s="10">
        <f>1.50320436788494/100</f>
        <v>1.50320436788494E-2</v>
      </c>
      <c r="AE46" s="9">
        <v>51.9794589528789</v>
      </c>
      <c r="AF46" s="9">
        <v>1</v>
      </c>
      <c r="AG46" s="9">
        <f t="shared" si="71"/>
        <v>7800</v>
      </c>
      <c r="AH46" s="9">
        <v>1</v>
      </c>
      <c r="AI46" s="9">
        <f t="shared" si="72"/>
        <v>15</v>
      </c>
      <c r="AJ46" s="9" t="s">
        <v>83</v>
      </c>
      <c r="AK46" s="9">
        <v>32.68</v>
      </c>
      <c r="AL46" s="9">
        <f>22*12</f>
        <v>264</v>
      </c>
      <c r="AM46" s="9">
        <f>K46-AL46</f>
        <v>516</v>
      </c>
      <c r="AN46" s="9">
        <f t="shared" si="74"/>
        <v>780</v>
      </c>
      <c r="AO46" s="53">
        <f t="shared" si="75"/>
        <v>0.66153846153846152</v>
      </c>
      <c r="AP46" s="53">
        <f>IF($E$9&gt;=E46,(AN46/AM46)*H46-(AL46/AM46)*AK46,H46)</f>
        <v>28.628837209302326</v>
      </c>
      <c r="AQ46" s="1" t="str">
        <f>MID(C46,4,1)</f>
        <v>C</v>
      </c>
      <c r="AR46" s="1">
        <f t="shared" si="77"/>
        <v>15.440862134210722</v>
      </c>
      <c r="AS46" s="1">
        <f t="shared" si="78"/>
        <v>15</v>
      </c>
      <c r="AT46" s="1">
        <f t="shared" si="79"/>
        <v>0.65373679335992763</v>
      </c>
      <c r="AU46" s="1">
        <f t="shared" si="80"/>
        <v>1.1858053021294003E-3</v>
      </c>
      <c r="AV46" s="1">
        <f t="shared" si="81"/>
        <v>0.34946248933414126</v>
      </c>
      <c r="AW46" s="1">
        <f t="shared" si="82"/>
        <v>-1.296433167497242E-3</v>
      </c>
      <c r="AX46" s="1">
        <f t="shared" si="83"/>
        <v>-2.5382239124729953</v>
      </c>
      <c r="AY46" s="20">
        <f t="shared" si="84"/>
        <v>-117000</v>
      </c>
      <c r="AZ46" s="1">
        <f t="shared" si="85"/>
        <v>120438.72464684364</v>
      </c>
      <c r="BA46" s="1">
        <f t="shared" si="86"/>
        <v>120438.72464684364</v>
      </c>
      <c r="BB46" s="1">
        <f t="shared" si="19"/>
        <v>60</v>
      </c>
      <c r="BC46" s="53">
        <f t="shared" si="20"/>
        <v>5103.77162888574</v>
      </c>
      <c r="BD46" s="53">
        <f t="shared" si="21"/>
        <v>2651.758530769182</v>
      </c>
      <c r="BE46" s="53">
        <f t="shared" si="22"/>
        <v>27.258074168063018</v>
      </c>
      <c r="BF46" s="53">
        <f t="shared" si="23"/>
        <v>18.086746511937264</v>
      </c>
      <c r="BG46" s="53">
        <f t="shared" si="24"/>
        <v>-10.112178706478488</v>
      </c>
      <c r="BH46" s="53">
        <f t="shared" si="25"/>
        <v>-6.0673072238870933</v>
      </c>
      <c r="BI46" s="53">
        <f t="shared" si="26"/>
        <v>-197.98146517289362</v>
      </c>
      <c r="BJ46" s="53">
        <f t="shared" si="27"/>
        <v>-2.9760660320815382</v>
      </c>
    </row>
    <row r="47" spans="1:62" s="19" customFormat="1" x14ac:dyDescent="0.25">
      <c r="B47" s="38"/>
      <c r="C47" s="38"/>
      <c r="D47" s="38"/>
      <c r="E47" s="32"/>
      <c r="F47" s="32"/>
      <c r="G47" s="40"/>
      <c r="H47" s="38"/>
      <c r="I47" s="38"/>
      <c r="J47" s="38"/>
      <c r="K47" s="38"/>
      <c r="L47" s="38"/>
      <c r="M47" s="38"/>
      <c r="U47" s="41"/>
      <c r="W47" s="38"/>
      <c r="AD47" s="42"/>
      <c r="AQ47" s="42"/>
      <c r="AR47" s="42"/>
      <c r="AS47" s="42"/>
      <c r="AT47" s="42"/>
      <c r="AU47" s="42"/>
      <c r="AV47" s="42"/>
      <c r="AW47" s="42"/>
      <c r="AX47" s="42"/>
      <c r="AY47" s="43"/>
      <c r="AZ47" s="42"/>
      <c r="BA47" s="42"/>
      <c r="BB47" s="42"/>
    </row>
    <row r="48" spans="1:62" s="19" customFormat="1" x14ac:dyDescent="0.25">
      <c r="B48" s="38"/>
      <c r="C48" s="39"/>
      <c r="D48" s="38"/>
      <c r="E48" s="32"/>
      <c r="F48" s="32"/>
      <c r="G48" s="40"/>
      <c r="H48" s="38"/>
      <c r="I48" s="38"/>
      <c r="J48" s="39"/>
      <c r="K48" s="39"/>
      <c r="L48" s="39"/>
      <c r="M48" s="38"/>
      <c r="U48" s="41"/>
      <c r="W48" s="39"/>
      <c r="AQ48" s="42"/>
      <c r="AR48" s="42"/>
      <c r="AS48" s="42"/>
      <c r="AT48" s="42"/>
      <c r="AU48" s="42"/>
      <c r="AV48" s="42"/>
      <c r="AW48" s="42"/>
      <c r="AX48" s="42"/>
      <c r="AY48" s="43"/>
      <c r="AZ48" s="42"/>
      <c r="BA48" s="42"/>
      <c r="BB48" s="42"/>
    </row>
    <row r="54" spans="2:54" s="19" customFormat="1" x14ac:dyDescent="0.25">
      <c r="B54" s="38"/>
      <c r="C54" s="39"/>
      <c r="D54" s="38"/>
      <c r="E54" s="32"/>
      <c r="F54" s="32"/>
      <c r="G54" s="40"/>
      <c r="H54" s="38"/>
      <c r="I54" s="38"/>
      <c r="J54" s="39"/>
      <c r="K54" s="39"/>
      <c r="L54" s="39"/>
      <c r="M54" s="38"/>
      <c r="U54" s="41"/>
      <c r="W54" s="39"/>
      <c r="AQ54" s="42"/>
      <c r="AR54" s="42"/>
      <c r="AS54" s="42"/>
      <c r="AT54" s="42"/>
      <c r="AU54" s="42"/>
      <c r="AV54" s="42"/>
      <c r="AW54" s="42"/>
      <c r="AX54" s="42"/>
      <c r="AY54" s="43"/>
      <c r="AZ54" s="42"/>
      <c r="BA54" s="42"/>
      <c r="BB54" s="42"/>
    </row>
    <row r="62" spans="2:54" s="19" customFormat="1" x14ac:dyDescent="0.25">
      <c r="B62" s="38"/>
      <c r="C62" s="39"/>
      <c r="D62" s="38"/>
      <c r="E62" s="32"/>
      <c r="F62" s="32"/>
      <c r="G62" s="40"/>
      <c r="H62" s="38"/>
      <c r="I62" s="38"/>
      <c r="J62" s="39"/>
      <c r="K62" s="39"/>
      <c r="L62" s="39"/>
      <c r="M62" s="38"/>
      <c r="U62" s="41"/>
      <c r="W62" s="39"/>
      <c r="AJ62" s="39"/>
      <c r="AQ62" s="42"/>
      <c r="AR62" s="42"/>
      <c r="AS62" s="42"/>
      <c r="AT62" s="42"/>
      <c r="AU62" s="42"/>
      <c r="AV62" s="42"/>
      <c r="AW62" s="42"/>
      <c r="AX62" s="42"/>
      <c r="AY62" s="43"/>
      <c r="AZ62" s="42"/>
      <c r="BA62" s="42"/>
      <c r="BB62" s="42"/>
    </row>
    <row r="63" spans="2:54" s="19" customFormat="1" x14ac:dyDescent="0.25">
      <c r="B63" s="38"/>
      <c r="C63" s="39"/>
      <c r="D63" s="39"/>
      <c r="E63" s="45"/>
      <c r="F63" s="45"/>
      <c r="G63" s="40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Q63" s="42"/>
      <c r="AR63" s="42"/>
      <c r="AS63" s="42"/>
      <c r="AT63" s="42"/>
      <c r="AU63" s="42"/>
      <c r="AV63" s="42"/>
      <c r="AW63" s="42"/>
      <c r="AX63" s="42"/>
      <c r="AY63" s="43"/>
      <c r="AZ63" s="42"/>
      <c r="BA63" s="42"/>
      <c r="BB63" s="42"/>
    </row>
    <row r="67" spans="31:31" x14ac:dyDescent="0.25">
      <c r="AE67" s="19"/>
    </row>
    <row r="68" spans="31:31" x14ac:dyDescent="0.25">
      <c r="AE68" s="19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PosMon-EUR-MtM</vt:lpstr>
      <vt:lpstr>CF</vt:lpstr>
      <vt:lpstr>Greeks on a timeline</vt:lpstr>
      <vt:lpstr>Exposure</vt:lpstr>
      <vt:lpstr>CurrExp</vt:lpstr>
      <vt:lpstr>Sens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Kerstin Moe Smebye</cp:lastModifiedBy>
  <dcterms:created xsi:type="dcterms:W3CDTF">2013-08-22T06:34:41Z</dcterms:created>
  <dcterms:modified xsi:type="dcterms:W3CDTF">2015-11-24T13:26:20Z</dcterms:modified>
</cp:coreProperties>
</file>