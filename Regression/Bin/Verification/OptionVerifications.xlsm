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.watanabe\Documents\TFS\Elviz\Development\QA\Regression\Bin\Verification\"/>
    </mc:Choice>
  </mc:AlternateContent>
  <bookViews>
    <workbookView xWindow="240" yWindow="105" windowWidth="19320" windowHeight="9030" firstSheet="2" activeTab="8"/>
  </bookViews>
  <sheets>
    <sheet name="volsurfIntraday" sheetId="16" r:id="rId1"/>
    <sheet name="NoVolSurf-EndOfDay" sheetId="12" r:id="rId2"/>
    <sheet name="NoVolSurf-NotEndofday" sheetId="7" r:id="rId3"/>
    <sheet name="Asian-Volsurf" sheetId="17" r:id="rId4"/>
    <sheet name="Asian" sheetId="18" r:id="rId5"/>
    <sheet name="Sheet3" sheetId="21" r:id="rId6"/>
    <sheet name="Sheet4" sheetId="22" r:id="rId7"/>
    <sheet name="Asian-Spread-Adhoc" sheetId="23" r:id="rId8"/>
    <sheet name="Asian-Spread" sheetId="24" r:id="rId9"/>
    <sheet name="Asian-NOK" sheetId="13" r:id="rId10"/>
  </sheets>
  <functionGroups builtInGroupCount="18"/>
  <definedNames>
    <definedName name="_xlnm._FilterDatabase" localSheetId="8" hidden="1">'Asian-Spread'!$A$21:$AD$69</definedName>
  </definedNames>
  <calcPr calcId="152511"/>
</workbook>
</file>

<file path=xl/calcChain.xml><?xml version="1.0" encoding="utf-8"?>
<calcChain xmlns="http://schemas.openxmlformats.org/spreadsheetml/2006/main">
  <c r="V38" i="24" l="1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Q22" i="24"/>
  <c r="Q23" i="24"/>
  <c r="Q24" i="24"/>
  <c r="Q25" i="24"/>
  <c r="Q26" i="24"/>
  <c r="Q27" i="24"/>
  <c r="Q28" i="24"/>
  <c r="Q29" i="24"/>
  <c r="Q30" i="24"/>
  <c r="Q31" i="24"/>
  <c r="Q32" i="24"/>
  <c r="Q33" i="24"/>
  <c r="Q34" i="24"/>
  <c r="Q35" i="24"/>
  <c r="Q36" i="24"/>
  <c r="Q37" i="24"/>
  <c r="Q38" i="24"/>
  <c r="Q39" i="24"/>
  <c r="Q40" i="24"/>
  <c r="Q41" i="24"/>
  <c r="Q42" i="24"/>
  <c r="Q43" i="24"/>
  <c r="Q44" i="24"/>
  <c r="Q45" i="24"/>
  <c r="Q46" i="24"/>
  <c r="Q47" i="24"/>
  <c r="Q48" i="24"/>
  <c r="Q49" i="24"/>
  <c r="Q50" i="24"/>
  <c r="Q51" i="24"/>
  <c r="Q52" i="24"/>
  <c r="Q53" i="24"/>
  <c r="Q54" i="24"/>
  <c r="Q55" i="24"/>
  <c r="Q56" i="24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AD46" i="24" l="1"/>
  <c r="P12" i="24"/>
  <c r="P13" i="24"/>
  <c r="P14" i="24"/>
  <c r="P15" i="24"/>
  <c r="P16" i="24"/>
  <c r="P17" i="24"/>
  <c r="P8" i="24"/>
  <c r="P9" i="24"/>
  <c r="P10" i="24"/>
  <c r="P11" i="24"/>
  <c r="P7" i="24"/>
  <c r="N16" i="23"/>
  <c r="K8" i="22"/>
  <c r="K9" i="22"/>
  <c r="K10" i="22"/>
  <c r="K11" i="22"/>
  <c r="K12" i="22"/>
  <c r="K13" i="22"/>
  <c r="L13" i="22" s="1"/>
  <c r="K14" i="22"/>
  <c r="K15" i="22"/>
  <c r="L15" i="22" s="1"/>
  <c r="K16" i="22"/>
  <c r="K17" i="22"/>
  <c r="K18" i="22"/>
  <c r="K19" i="22"/>
  <c r="K20" i="22"/>
  <c r="K21" i="22"/>
  <c r="K22" i="22"/>
  <c r="K23" i="22"/>
  <c r="L23" i="22" s="1"/>
  <c r="K24" i="22"/>
  <c r="K25" i="22"/>
  <c r="K26" i="22"/>
  <c r="K27" i="22"/>
  <c r="K28" i="22"/>
  <c r="K29" i="22"/>
  <c r="K30" i="22"/>
  <c r="K31" i="22"/>
  <c r="L31" i="22" s="1"/>
  <c r="K32" i="22"/>
  <c r="K33" i="22"/>
  <c r="K34" i="22"/>
  <c r="K35" i="22"/>
  <c r="K36" i="22"/>
  <c r="L36" i="22" s="1"/>
  <c r="K37" i="22"/>
  <c r="K38" i="22"/>
  <c r="K39" i="22"/>
  <c r="L39" i="22" s="1"/>
  <c r="K40" i="22"/>
  <c r="K41" i="22"/>
  <c r="K42" i="22"/>
  <c r="L8" i="22"/>
  <c r="L7" i="22"/>
  <c r="L9" i="22"/>
  <c r="L10" i="22"/>
  <c r="L11" i="22"/>
  <c r="L12" i="22"/>
  <c r="L14" i="22"/>
  <c r="L16" i="22"/>
  <c r="L17" i="22"/>
  <c r="L18" i="22"/>
  <c r="L19" i="22"/>
  <c r="L20" i="22"/>
  <c r="L21" i="22"/>
  <c r="L22" i="22"/>
  <c r="L24" i="22"/>
  <c r="L25" i="22"/>
  <c r="L26" i="22"/>
  <c r="L27" i="22"/>
  <c r="L28" i="22"/>
  <c r="L29" i="22"/>
  <c r="L30" i="22"/>
  <c r="L32" i="22"/>
  <c r="L33" i="22"/>
  <c r="L34" i="22"/>
  <c r="L35" i="22"/>
  <c r="L37" i="22"/>
  <c r="L38" i="22"/>
  <c r="L40" i="22"/>
  <c r="L41" i="22"/>
  <c r="L42" i="22"/>
  <c r="K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7" i="22"/>
  <c r="G7" i="22"/>
  <c r="F7" i="22"/>
  <c r="F3" i="22"/>
  <c r="I14" i="22" s="1"/>
  <c r="M16" i="23"/>
  <c r="U7" i="18"/>
  <c r="V9" i="18"/>
  <c r="V7" i="18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62" i="24"/>
  <c r="M63" i="24"/>
  <c r="M64" i="24"/>
  <c r="M65" i="24"/>
  <c r="M66" i="24"/>
  <c r="M67" i="24"/>
  <c r="M68" i="24"/>
  <c r="M69" i="24"/>
  <c r="O8" i="17"/>
  <c r="I37" i="22" l="1"/>
  <c r="I29" i="22"/>
  <c r="I21" i="22"/>
  <c r="I13" i="22"/>
  <c r="I36" i="22"/>
  <c r="I28" i="22"/>
  <c r="I20" i="22"/>
  <c r="I12" i="22"/>
  <c r="I35" i="22"/>
  <c r="I27" i="22"/>
  <c r="I19" i="22"/>
  <c r="I11" i="22"/>
  <c r="I42" i="22"/>
  <c r="I34" i="22"/>
  <c r="I26" i="22"/>
  <c r="I18" i="22"/>
  <c r="I10" i="22"/>
  <c r="I41" i="22"/>
  <c r="I33" i="22"/>
  <c r="I25" i="22"/>
  <c r="I17" i="22"/>
  <c r="I9" i="22"/>
  <c r="I40" i="22"/>
  <c r="I32" i="22"/>
  <c r="I24" i="22"/>
  <c r="I16" i="22"/>
  <c r="I8" i="22"/>
  <c r="I39" i="22"/>
  <c r="I31" i="22"/>
  <c r="I23" i="22"/>
  <c r="I15" i="22"/>
  <c r="I7" i="22"/>
  <c r="I38" i="22"/>
  <c r="I30" i="22"/>
  <c r="I22" i="22"/>
  <c r="J21" i="23"/>
  <c r="J27" i="23"/>
  <c r="J26" i="23"/>
  <c r="M13" i="23"/>
  <c r="W47" i="24" l="1"/>
  <c r="S23" i="24"/>
  <c r="S24" i="24"/>
  <c r="S25" i="24"/>
  <c r="S26" i="24"/>
  <c r="S27" i="24"/>
  <c r="S28" i="24"/>
  <c r="S29" i="24"/>
  <c r="S30" i="24"/>
  <c r="S31" i="24"/>
  <c r="S32" i="24"/>
  <c r="S33" i="24"/>
  <c r="S34" i="24"/>
  <c r="S35" i="24"/>
  <c r="S36" i="24"/>
  <c r="S37" i="24"/>
  <c r="S38" i="24"/>
  <c r="S39" i="24"/>
  <c r="S40" i="24"/>
  <c r="S41" i="24"/>
  <c r="S42" i="24"/>
  <c r="S43" i="24"/>
  <c r="S44" i="24"/>
  <c r="S45" i="24"/>
  <c r="S46" i="24"/>
  <c r="S47" i="24"/>
  <c r="S48" i="24"/>
  <c r="S49" i="24"/>
  <c r="S50" i="24"/>
  <c r="S51" i="24"/>
  <c r="S52" i="24"/>
  <c r="S53" i="24"/>
  <c r="S54" i="24"/>
  <c r="S55" i="24"/>
  <c r="S56" i="24"/>
  <c r="S57" i="24"/>
  <c r="S58" i="24"/>
  <c r="S59" i="24"/>
  <c r="S60" i="24"/>
  <c r="S61" i="24"/>
  <c r="S62" i="24"/>
  <c r="S63" i="24"/>
  <c r="S64" i="24"/>
  <c r="S65" i="24"/>
  <c r="S66" i="24"/>
  <c r="S67" i="24"/>
  <c r="S68" i="24"/>
  <c r="S69" i="24"/>
  <c r="S22" i="24"/>
  <c r="W23" i="24"/>
  <c r="W24" i="24"/>
  <c r="W25" i="24"/>
  <c r="W26" i="24"/>
  <c r="W27" i="24"/>
  <c r="W28" i="24"/>
  <c r="W29" i="24"/>
  <c r="W30" i="24"/>
  <c r="W31" i="24"/>
  <c r="W32" i="24"/>
  <c r="W33" i="24"/>
  <c r="W34" i="24"/>
  <c r="W35" i="24"/>
  <c r="W36" i="24"/>
  <c r="W37" i="24"/>
  <c r="W38" i="24"/>
  <c r="W39" i="24"/>
  <c r="W40" i="24"/>
  <c r="W41" i="24"/>
  <c r="W42" i="24"/>
  <c r="W43" i="24"/>
  <c r="W44" i="24"/>
  <c r="W45" i="24"/>
  <c r="W46" i="24"/>
  <c r="W48" i="24"/>
  <c r="W49" i="24"/>
  <c r="W50" i="24"/>
  <c r="W51" i="24"/>
  <c r="W52" i="24"/>
  <c r="W53" i="24"/>
  <c r="W54" i="24"/>
  <c r="AB54" i="24" s="1"/>
  <c r="AC54" i="24" s="1"/>
  <c r="W55" i="24"/>
  <c r="AB55" i="24" s="1"/>
  <c r="AC55" i="24" s="1"/>
  <c r="W56" i="24"/>
  <c r="AB56" i="24" s="1"/>
  <c r="AC56" i="24" s="1"/>
  <c r="W57" i="24"/>
  <c r="AB57" i="24" s="1"/>
  <c r="AC57" i="24" s="1"/>
  <c r="W58" i="24"/>
  <c r="AB58" i="24" s="1"/>
  <c r="AC58" i="24" s="1"/>
  <c r="W59" i="24"/>
  <c r="AB59" i="24" s="1"/>
  <c r="AC59" i="24" s="1"/>
  <c r="W60" i="24"/>
  <c r="AB60" i="24" s="1"/>
  <c r="AC60" i="24" s="1"/>
  <c r="W61" i="24"/>
  <c r="AB61" i="24" s="1"/>
  <c r="AC61" i="24" s="1"/>
  <c r="W62" i="24"/>
  <c r="AB62" i="24" s="1"/>
  <c r="AC62" i="24" s="1"/>
  <c r="W63" i="24"/>
  <c r="AB63" i="24" s="1"/>
  <c r="AC63" i="24" s="1"/>
  <c r="W64" i="24"/>
  <c r="AB64" i="24" s="1"/>
  <c r="AC64" i="24" s="1"/>
  <c r="W65" i="24"/>
  <c r="AB65" i="24" s="1"/>
  <c r="AC65" i="24" s="1"/>
  <c r="W66" i="24"/>
  <c r="AB66" i="24" s="1"/>
  <c r="AC66" i="24" s="1"/>
  <c r="W67" i="24"/>
  <c r="AB67" i="24" s="1"/>
  <c r="AC67" i="24" s="1"/>
  <c r="W68" i="24"/>
  <c r="AB68" i="24" s="1"/>
  <c r="AC68" i="24" s="1"/>
  <c r="W69" i="24"/>
  <c r="AB69" i="24" s="1"/>
  <c r="AC69" i="24" s="1"/>
  <c r="W22" i="24"/>
  <c r="E17" i="24"/>
  <c r="E16" i="24"/>
  <c r="E15" i="24"/>
  <c r="E14" i="24"/>
  <c r="E13" i="24"/>
  <c r="E12" i="24"/>
  <c r="E7" i="24"/>
  <c r="E8" i="24"/>
  <c r="E9" i="24"/>
  <c r="E10" i="24"/>
  <c r="E11" i="24"/>
  <c r="E6" i="24"/>
  <c r="Y30" i="24" s="1"/>
  <c r="X65" i="24" l="1"/>
  <c r="X49" i="24"/>
  <c r="Y65" i="24"/>
  <c r="Y33" i="24"/>
  <c r="X64" i="24"/>
  <c r="X48" i="24"/>
  <c r="X32" i="24"/>
  <c r="Y64" i="24"/>
  <c r="Y48" i="24"/>
  <c r="Y32" i="24"/>
  <c r="X63" i="24"/>
  <c r="X47" i="24"/>
  <c r="X31" i="24"/>
  <c r="Y63" i="24"/>
  <c r="Y47" i="24"/>
  <c r="Y31" i="24"/>
  <c r="Y49" i="24"/>
  <c r="X62" i="24"/>
  <c r="X46" i="24"/>
  <c r="X30" i="24"/>
  <c r="Y62" i="24"/>
  <c r="Y46" i="24"/>
  <c r="X33" i="24"/>
  <c r="R23" i="24"/>
  <c r="R31" i="24"/>
  <c r="R39" i="24"/>
  <c r="R47" i="24"/>
  <c r="R55" i="24"/>
  <c r="R63" i="24"/>
  <c r="N23" i="24"/>
  <c r="N39" i="24"/>
  <c r="N55" i="24"/>
  <c r="R62" i="24"/>
  <c r="R24" i="24"/>
  <c r="R32" i="24"/>
  <c r="R40" i="24"/>
  <c r="R48" i="24"/>
  <c r="R56" i="24"/>
  <c r="R64" i="24"/>
  <c r="N24" i="24"/>
  <c r="N40" i="24"/>
  <c r="N56" i="24"/>
  <c r="R38" i="24"/>
  <c r="R25" i="24"/>
  <c r="R33" i="24"/>
  <c r="R41" i="24"/>
  <c r="R49" i="24"/>
  <c r="R57" i="24"/>
  <c r="R65" i="24"/>
  <c r="N25" i="24"/>
  <c r="N41" i="24"/>
  <c r="N57" i="24"/>
  <c r="R26" i="24"/>
  <c r="R34" i="24"/>
  <c r="R42" i="24"/>
  <c r="R50" i="24"/>
  <c r="R58" i="24"/>
  <c r="R66" i="24"/>
  <c r="N30" i="24"/>
  <c r="N46" i="24"/>
  <c r="N62" i="24"/>
  <c r="R22" i="24"/>
  <c r="N22" i="24"/>
  <c r="R27" i="24"/>
  <c r="R35" i="24"/>
  <c r="R43" i="24"/>
  <c r="R51" i="24"/>
  <c r="R59" i="24"/>
  <c r="R67" i="24"/>
  <c r="N31" i="24"/>
  <c r="P31" i="24" s="1"/>
  <c r="N47" i="24"/>
  <c r="N63" i="24"/>
  <c r="R54" i="24"/>
  <c r="N38" i="24"/>
  <c r="R28" i="24"/>
  <c r="R36" i="24"/>
  <c r="R44" i="24"/>
  <c r="R52" i="24"/>
  <c r="R60" i="24"/>
  <c r="R68" i="24"/>
  <c r="N32" i="24"/>
  <c r="N48" i="24"/>
  <c r="N64" i="24"/>
  <c r="R46" i="24"/>
  <c r="N54" i="24"/>
  <c r="R29" i="24"/>
  <c r="R37" i="24"/>
  <c r="R45" i="24"/>
  <c r="R53" i="24"/>
  <c r="R61" i="24"/>
  <c r="R69" i="24"/>
  <c r="N33" i="24"/>
  <c r="N49" i="24"/>
  <c r="N65" i="24"/>
  <c r="R30" i="24"/>
  <c r="AA23" i="24"/>
  <c r="AA39" i="24"/>
  <c r="AA55" i="24"/>
  <c r="AA48" i="24"/>
  <c r="AA24" i="24"/>
  <c r="AA40" i="24"/>
  <c r="AA56" i="24"/>
  <c r="AA64" i="24"/>
  <c r="AA25" i="24"/>
  <c r="AA41" i="24"/>
  <c r="AA57" i="24"/>
  <c r="AA62" i="24"/>
  <c r="AA63" i="24"/>
  <c r="AA30" i="24"/>
  <c r="AA46" i="24"/>
  <c r="AA47" i="24"/>
  <c r="AA65" i="24"/>
  <c r="AA31" i="24"/>
  <c r="AA38" i="24"/>
  <c r="AA32" i="24"/>
  <c r="AA54" i="24"/>
  <c r="AA33" i="24"/>
  <c r="AA49" i="24"/>
  <c r="AA22" i="24"/>
  <c r="X57" i="24"/>
  <c r="X41" i="24"/>
  <c r="X25" i="24"/>
  <c r="Y57" i="24"/>
  <c r="Y41" i="24"/>
  <c r="Y25" i="24"/>
  <c r="X56" i="24"/>
  <c r="X40" i="24"/>
  <c r="X24" i="24"/>
  <c r="Y56" i="24"/>
  <c r="Y40" i="24"/>
  <c r="Y24" i="24"/>
  <c r="X55" i="24"/>
  <c r="X39" i="24"/>
  <c r="X23" i="24"/>
  <c r="Y55" i="24"/>
  <c r="Y39" i="24"/>
  <c r="Y23" i="24"/>
  <c r="X22" i="24"/>
  <c r="X54" i="24"/>
  <c r="X38" i="24"/>
  <c r="Y22" i="24"/>
  <c r="Y54" i="24"/>
  <c r="Y38" i="24"/>
  <c r="Y28" i="24"/>
  <c r="X37" i="24"/>
  <c r="Y29" i="24"/>
  <c r="X68" i="24"/>
  <c r="X60" i="24"/>
  <c r="X52" i="24"/>
  <c r="X44" i="24"/>
  <c r="X36" i="24"/>
  <c r="X28" i="24"/>
  <c r="Y68" i="24"/>
  <c r="Y60" i="24"/>
  <c r="Y52" i="24"/>
  <c r="Y44" i="24"/>
  <c r="Y36" i="24"/>
  <c r="N26" i="24"/>
  <c r="N34" i="24"/>
  <c r="N42" i="24"/>
  <c r="N50" i="24"/>
  <c r="N58" i="24"/>
  <c r="N66" i="24"/>
  <c r="N27" i="24"/>
  <c r="N35" i="24"/>
  <c r="N43" i="24"/>
  <c r="N51" i="24"/>
  <c r="N59" i="24"/>
  <c r="N67" i="24"/>
  <c r="N28" i="24"/>
  <c r="N36" i="24"/>
  <c r="N44" i="24"/>
  <c r="N52" i="24"/>
  <c r="N60" i="24"/>
  <c r="N68" i="24"/>
  <c r="N29" i="24"/>
  <c r="N37" i="24"/>
  <c r="N45" i="24"/>
  <c r="N53" i="24"/>
  <c r="N61" i="24"/>
  <c r="N69" i="24"/>
  <c r="AA26" i="24"/>
  <c r="AA34" i="24"/>
  <c r="AA42" i="24"/>
  <c r="AA50" i="24"/>
  <c r="AA58" i="24"/>
  <c r="AA66" i="24"/>
  <c r="AA27" i="24"/>
  <c r="AA35" i="24"/>
  <c r="AA43" i="24"/>
  <c r="AA51" i="24"/>
  <c r="AA59" i="24"/>
  <c r="AA67" i="24"/>
  <c r="AA68" i="24"/>
  <c r="AA28" i="24"/>
  <c r="AA36" i="24"/>
  <c r="AA44" i="24"/>
  <c r="AA52" i="24"/>
  <c r="AA60" i="24"/>
  <c r="AA29" i="24"/>
  <c r="AA37" i="24"/>
  <c r="AA45" i="24"/>
  <c r="AA53" i="24"/>
  <c r="AA61" i="24"/>
  <c r="AA69" i="24"/>
  <c r="X67" i="24"/>
  <c r="X59" i="24"/>
  <c r="X51" i="24"/>
  <c r="X43" i="24"/>
  <c r="X35" i="24"/>
  <c r="X27" i="24"/>
  <c r="Y67" i="24"/>
  <c r="Y59" i="24"/>
  <c r="Y51" i="24"/>
  <c r="Y43" i="24"/>
  <c r="Y35" i="24"/>
  <c r="Y27" i="24"/>
  <c r="X29" i="24"/>
  <c r="Y37" i="24"/>
  <c r="X66" i="24"/>
  <c r="X58" i="24"/>
  <c r="X50" i="24"/>
  <c r="X42" i="24"/>
  <c r="X34" i="24"/>
  <c r="X26" i="24"/>
  <c r="Y66" i="24"/>
  <c r="Y58" i="24"/>
  <c r="Y50" i="24"/>
  <c r="Y42" i="24"/>
  <c r="Y34" i="24"/>
  <c r="Y26" i="24"/>
  <c r="X45" i="24"/>
  <c r="Y45" i="24"/>
  <c r="X69" i="24"/>
  <c r="Y53" i="24"/>
  <c r="X61" i="24"/>
  <c r="Y61" i="24"/>
  <c r="X53" i="24"/>
  <c r="Y69" i="24"/>
  <c r="G8" i="22"/>
  <c r="F8" i="22"/>
  <c r="E8" i="22"/>
  <c r="D8" i="22"/>
  <c r="D9" i="22"/>
  <c r="D7" i="22"/>
  <c r="C10" i="22"/>
  <c r="C11" i="22" s="1"/>
  <c r="C9" i="22"/>
  <c r="G9" i="22" s="1"/>
  <c r="C7" i="22"/>
  <c r="L14" i="21"/>
  <c r="L13" i="21"/>
  <c r="H12" i="21"/>
  <c r="F12" i="21"/>
  <c r="E12" i="21"/>
  <c r="H7" i="21"/>
  <c r="B9" i="21"/>
  <c r="E9" i="21"/>
  <c r="G96" i="21"/>
  <c r="H96" i="21"/>
  <c r="J96" i="21"/>
  <c r="G97" i="21"/>
  <c r="H97" i="21"/>
  <c r="J97" i="21"/>
  <c r="G98" i="21"/>
  <c r="H98" i="21"/>
  <c r="J98" i="21"/>
  <c r="G99" i="21"/>
  <c r="H99" i="21"/>
  <c r="J99" i="21"/>
  <c r="G100" i="21"/>
  <c r="H100" i="21"/>
  <c r="J100" i="21"/>
  <c r="G101" i="21"/>
  <c r="H101" i="21"/>
  <c r="J101" i="21"/>
  <c r="G102" i="21"/>
  <c r="H102" i="21"/>
  <c r="J102" i="21"/>
  <c r="G103" i="21"/>
  <c r="H103" i="21"/>
  <c r="J103" i="21"/>
  <c r="G104" i="21"/>
  <c r="H104" i="21"/>
  <c r="J104" i="21"/>
  <c r="G105" i="21"/>
  <c r="H105" i="21"/>
  <c r="J105" i="21"/>
  <c r="G106" i="21"/>
  <c r="H106" i="21"/>
  <c r="J106" i="21"/>
  <c r="G107" i="21"/>
  <c r="H107" i="21"/>
  <c r="J107" i="21"/>
  <c r="G108" i="21"/>
  <c r="H108" i="21"/>
  <c r="J108" i="21"/>
  <c r="G109" i="21"/>
  <c r="H109" i="21"/>
  <c r="J109" i="21"/>
  <c r="G110" i="21"/>
  <c r="H110" i="21"/>
  <c r="J110" i="21"/>
  <c r="G111" i="21"/>
  <c r="H111" i="21"/>
  <c r="J111" i="21"/>
  <c r="G112" i="21"/>
  <c r="H112" i="21"/>
  <c r="J112" i="21"/>
  <c r="G113" i="21"/>
  <c r="H113" i="21"/>
  <c r="J113" i="21"/>
  <c r="G114" i="21"/>
  <c r="H114" i="21"/>
  <c r="J114" i="21"/>
  <c r="G115" i="21"/>
  <c r="H115" i="21"/>
  <c r="J115" i="21"/>
  <c r="G116" i="21"/>
  <c r="H116" i="21"/>
  <c r="J116" i="21"/>
  <c r="G117" i="21"/>
  <c r="H117" i="21"/>
  <c r="J117" i="21"/>
  <c r="G118" i="21"/>
  <c r="H118" i="21"/>
  <c r="J118" i="21"/>
  <c r="G119" i="21"/>
  <c r="H119" i="21"/>
  <c r="J119" i="21"/>
  <c r="G120" i="21"/>
  <c r="H120" i="21"/>
  <c r="J120" i="21"/>
  <c r="G121" i="21"/>
  <c r="H121" i="21"/>
  <c r="J121" i="21"/>
  <c r="G122" i="21"/>
  <c r="H122" i="21"/>
  <c r="J122" i="21"/>
  <c r="G123" i="21"/>
  <c r="H123" i="21"/>
  <c r="J123" i="21"/>
  <c r="G124" i="21"/>
  <c r="H124" i="21"/>
  <c r="J124" i="21"/>
  <c r="G125" i="21"/>
  <c r="H125" i="21"/>
  <c r="J125" i="21"/>
  <c r="G126" i="21"/>
  <c r="H126" i="21"/>
  <c r="J126" i="21"/>
  <c r="G127" i="21"/>
  <c r="H127" i="21"/>
  <c r="J127" i="21"/>
  <c r="G128" i="21"/>
  <c r="H128" i="21"/>
  <c r="J128" i="21"/>
  <c r="G129" i="21"/>
  <c r="H129" i="21"/>
  <c r="J129" i="21"/>
  <c r="G130" i="21"/>
  <c r="H130" i="21"/>
  <c r="J130" i="21"/>
  <c r="G131" i="21"/>
  <c r="H131" i="21"/>
  <c r="J131" i="21"/>
  <c r="G132" i="21"/>
  <c r="H132" i="21"/>
  <c r="J132" i="21"/>
  <c r="G133" i="21"/>
  <c r="H133" i="21"/>
  <c r="J133" i="21"/>
  <c r="G134" i="21"/>
  <c r="H134" i="21"/>
  <c r="J134" i="21"/>
  <c r="G135" i="21"/>
  <c r="H135" i="21"/>
  <c r="J135" i="21"/>
  <c r="G136" i="21"/>
  <c r="H136" i="21"/>
  <c r="J136" i="21"/>
  <c r="G137" i="21"/>
  <c r="H137" i="21"/>
  <c r="J137" i="21"/>
  <c r="G138" i="21"/>
  <c r="H138" i="21"/>
  <c r="J138" i="21"/>
  <c r="G139" i="21"/>
  <c r="H139" i="21"/>
  <c r="J139" i="21"/>
  <c r="G140" i="21"/>
  <c r="H140" i="21"/>
  <c r="J140" i="21"/>
  <c r="G141" i="21"/>
  <c r="H141" i="21"/>
  <c r="J141" i="21"/>
  <c r="G142" i="21"/>
  <c r="H142" i="21"/>
  <c r="J142" i="21"/>
  <c r="G143" i="21"/>
  <c r="H143" i="21"/>
  <c r="J143" i="21"/>
  <c r="G144" i="21"/>
  <c r="H144" i="21"/>
  <c r="J144" i="21"/>
  <c r="G145" i="21"/>
  <c r="H145" i="21"/>
  <c r="J145" i="21"/>
  <c r="G146" i="21"/>
  <c r="H146" i="21"/>
  <c r="J146" i="21"/>
  <c r="G147" i="21"/>
  <c r="H147" i="21"/>
  <c r="J147" i="21"/>
  <c r="G148" i="21"/>
  <c r="H148" i="21"/>
  <c r="J148" i="21"/>
  <c r="G149" i="21"/>
  <c r="H149" i="21"/>
  <c r="J149" i="21"/>
  <c r="G150" i="21"/>
  <c r="H150" i="21"/>
  <c r="J150" i="21"/>
  <c r="G151" i="21"/>
  <c r="H151" i="21"/>
  <c r="J151" i="21"/>
  <c r="G152" i="21"/>
  <c r="H152" i="21"/>
  <c r="J152" i="21"/>
  <c r="G153" i="21"/>
  <c r="H153" i="21"/>
  <c r="J153" i="21"/>
  <c r="G154" i="21"/>
  <c r="H154" i="21"/>
  <c r="J154" i="21"/>
  <c r="G155" i="21"/>
  <c r="H155" i="21"/>
  <c r="J155" i="21"/>
  <c r="G156" i="21"/>
  <c r="H156" i="21"/>
  <c r="J156" i="21"/>
  <c r="G157" i="21"/>
  <c r="H157" i="21"/>
  <c r="J157" i="21"/>
  <c r="G158" i="21"/>
  <c r="H158" i="21"/>
  <c r="J158" i="21"/>
  <c r="G159" i="21"/>
  <c r="H159" i="21"/>
  <c r="J159" i="21"/>
  <c r="G160" i="21"/>
  <c r="H160" i="21"/>
  <c r="J160" i="21"/>
  <c r="G161" i="21"/>
  <c r="H161" i="21"/>
  <c r="J161" i="21"/>
  <c r="G162" i="21"/>
  <c r="H162" i="21"/>
  <c r="J162" i="21"/>
  <c r="G163" i="21"/>
  <c r="H163" i="21"/>
  <c r="J163" i="21"/>
  <c r="G164" i="21"/>
  <c r="H164" i="21"/>
  <c r="J164" i="21"/>
  <c r="G165" i="21"/>
  <c r="H165" i="21"/>
  <c r="J165" i="21"/>
  <c r="G166" i="21"/>
  <c r="H166" i="21"/>
  <c r="J166" i="21"/>
  <c r="G167" i="21"/>
  <c r="H167" i="21"/>
  <c r="J167" i="21"/>
  <c r="G168" i="21"/>
  <c r="H168" i="21"/>
  <c r="J168" i="21"/>
  <c r="G169" i="21"/>
  <c r="H169" i="21"/>
  <c r="J169" i="21"/>
  <c r="G170" i="21"/>
  <c r="H170" i="21"/>
  <c r="J170" i="21"/>
  <c r="G171" i="21"/>
  <c r="H171" i="21"/>
  <c r="J171" i="21"/>
  <c r="G172" i="21"/>
  <c r="H172" i="21"/>
  <c r="J172" i="21"/>
  <c r="G173" i="21"/>
  <c r="H173" i="21"/>
  <c r="J173" i="21"/>
  <c r="G174" i="21"/>
  <c r="H174" i="21"/>
  <c r="J174" i="21"/>
  <c r="G175" i="21"/>
  <c r="H175" i="21"/>
  <c r="J175" i="21"/>
  <c r="G176" i="21"/>
  <c r="H176" i="21"/>
  <c r="J176" i="21"/>
  <c r="G177" i="21"/>
  <c r="H177" i="21"/>
  <c r="J177" i="21"/>
  <c r="G178" i="21"/>
  <c r="H178" i="21"/>
  <c r="J178" i="21"/>
  <c r="G179" i="21"/>
  <c r="H179" i="21"/>
  <c r="J179" i="21"/>
  <c r="G180" i="21"/>
  <c r="H180" i="21"/>
  <c r="J180" i="21"/>
  <c r="G181" i="21"/>
  <c r="H181" i="21"/>
  <c r="J181" i="21"/>
  <c r="G182" i="21"/>
  <c r="H182" i="21"/>
  <c r="J182" i="21"/>
  <c r="G183" i="21"/>
  <c r="H183" i="21"/>
  <c r="J183" i="21"/>
  <c r="G184" i="21"/>
  <c r="H184" i="21"/>
  <c r="J184" i="21"/>
  <c r="G185" i="21"/>
  <c r="H185" i="21"/>
  <c r="J185" i="21"/>
  <c r="J95" i="21"/>
  <c r="H95" i="21"/>
  <c r="G95" i="21"/>
  <c r="J94" i="21"/>
  <c r="H94" i="21"/>
  <c r="G94" i="21"/>
  <c r="J93" i="21"/>
  <c r="H93" i="21"/>
  <c r="G93" i="21"/>
  <c r="J92" i="21"/>
  <c r="H92" i="21"/>
  <c r="G92" i="21"/>
  <c r="J91" i="21"/>
  <c r="H91" i="21"/>
  <c r="G91" i="21"/>
  <c r="J90" i="21"/>
  <c r="H90" i="21"/>
  <c r="G90" i="21"/>
  <c r="J89" i="21"/>
  <c r="H89" i="21"/>
  <c r="G89" i="21"/>
  <c r="J88" i="21"/>
  <c r="H88" i="21"/>
  <c r="G88" i="21"/>
  <c r="J87" i="21"/>
  <c r="H87" i="21"/>
  <c r="G87" i="21"/>
  <c r="J86" i="21"/>
  <c r="H86" i="21"/>
  <c r="G86" i="21"/>
  <c r="J85" i="21"/>
  <c r="H85" i="21"/>
  <c r="G85" i="21"/>
  <c r="J84" i="21"/>
  <c r="H84" i="21"/>
  <c r="G84" i="21"/>
  <c r="J83" i="21"/>
  <c r="H83" i="21"/>
  <c r="G83" i="21"/>
  <c r="J82" i="21"/>
  <c r="H82" i="21"/>
  <c r="G82" i="21"/>
  <c r="J81" i="21"/>
  <c r="H81" i="21"/>
  <c r="G81" i="21"/>
  <c r="J80" i="21"/>
  <c r="H80" i="21"/>
  <c r="G80" i="21"/>
  <c r="J79" i="21"/>
  <c r="H79" i="21"/>
  <c r="G79" i="21"/>
  <c r="J78" i="21"/>
  <c r="H78" i="21"/>
  <c r="G78" i="21"/>
  <c r="J77" i="21"/>
  <c r="H77" i="21"/>
  <c r="G77" i="21"/>
  <c r="J76" i="21"/>
  <c r="H76" i="21"/>
  <c r="G76" i="21"/>
  <c r="J75" i="21"/>
  <c r="H75" i="21"/>
  <c r="G75" i="21"/>
  <c r="J74" i="21"/>
  <c r="H74" i="21"/>
  <c r="G74" i="21"/>
  <c r="J73" i="21"/>
  <c r="H73" i="21"/>
  <c r="G73" i="21"/>
  <c r="J72" i="21"/>
  <c r="H72" i="21"/>
  <c r="G72" i="21"/>
  <c r="J71" i="21"/>
  <c r="H71" i="21"/>
  <c r="G71" i="21"/>
  <c r="J70" i="21"/>
  <c r="H70" i="21"/>
  <c r="G70" i="21"/>
  <c r="J69" i="21"/>
  <c r="H69" i="21"/>
  <c r="G69" i="21"/>
  <c r="J68" i="21"/>
  <c r="H68" i="21"/>
  <c r="G68" i="21"/>
  <c r="J67" i="21"/>
  <c r="H67" i="21"/>
  <c r="G67" i="21"/>
  <c r="J66" i="21"/>
  <c r="H66" i="21"/>
  <c r="G66" i="21"/>
  <c r="J65" i="21"/>
  <c r="H65" i="21"/>
  <c r="G65" i="21"/>
  <c r="J64" i="21"/>
  <c r="H64" i="21"/>
  <c r="G64" i="21"/>
  <c r="J63" i="21"/>
  <c r="H63" i="21"/>
  <c r="G63" i="21"/>
  <c r="J62" i="21"/>
  <c r="H62" i="21"/>
  <c r="G62" i="21"/>
  <c r="J61" i="21"/>
  <c r="H61" i="21"/>
  <c r="G61" i="21"/>
  <c r="J60" i="21"/>
  <c r="H60" i="21"/>
  <c r="G60" i="21"/>
  <c r="J59" i="21"/>
  <c r="H59" i="21"/>
  <c r="G59" i="21"/>
  <c r="J58" i="21"/>
  <c r="H58" i="21"/>
  <c r="G58" i="21"/>
  <c r="J57" i="21"/>
  <c r="H57" i="21"/>
  <c r="G57" i="21"/>
  <c r="J56" i="21"/>
  <c r="H56" i="21"/>
  <c r="G56" i="21"/>
  <c r="J55" i="21"/>
  <c r="H55" i="21"/>
  <c r="G55" i="21"/>
  <c r="J54" i="21"/>
  <c r="H54" i="21"/>
  <c r="G54" i="21"/>
  <c r="J53" i="21"/>
  <c r="H53" i="21"/>
  <c r="G53" i="21"/>
  <c r="J52" i="21"/>
  <c r="H52" i="21"/>
  <c r="G52" i="21"/>
  <c r="J51" i="21"/>
  <c r="H51" i="21"/>
  <c r="G51" i="21"/>
  <c r="J50" i="21"/>
  <c r="H50" i="21"/>
  <c r="G50" i="21"/>
  <c r="J49" i="21"/>
  <c r="H49" i="21"/>
  <c r="G49" i="21"/>
  <c r="J48" i="21"/>
  <c r="H48" i="21"/>
  <c r="G48" i="21"/>
  <c r="J47" i="21"/>
  <c r="H47" i="21"/>
  <c r="G47" i="21"/>
  <c r="J46" i="21"/>
  <c r="H46" i="21"/>
  <c r="G46" i="21"/>
  <c r="J45" i="21"/>
  <c r="H45" i="21"/>
  <c r="G45" i="21"/>
  <c r="J44" i="21"/>
  <c r="H44" i="21"/>
  <c r="G44" i="21"/>
  <c r="J43" i="21"/>
  <c r="H43" i="21"/>
  <c r="G43" i="21"/>
  <c r="J42" i="21"/>
  <c r="H42" i="21"/>
  <c r="G42" i="21"/>
  <c r="J41" i="21"/>
  <c r="H41" i="21"/>
  <c r="G41" i="21"/>
  <c r="J40" i="21"/>
  <c r="H40" i="21"/>
  <c r="G40" i="21"/>
  <c r="J39" i="21"/>
  <c r="H39" i="21"/>
  <c r="G39" i="21"/>
  <c r="J38" i="21"/>
  <c r="H38" i="21"/>
  <c r="G38" i="21"/>
  <c r="J37" i="21"/>
  <c r="H37" i="21"/>
  <c r="G37" i="21"/>
  <c r="J36" i="21"/>
  <c r="H36" i="21"/>
  <c r="G36" i="21"/>
  <c r="J35" i="21"/>
  <c r="H35" i="21"/>
  <c r="G35" i="21"/>
  <c r="J34" i="21"/>
  <c r="H34" i="21"/>
  <c r="G34" i="21"/>
  <c r="J33" i="21"/>
  <c r="H33" i="21"/>
  <c r="G33" i="21"/>
  <c r="J32" i="21"/>
  <c r="H32" i="21"/>
  <c r="G32" i="21"/>
  <c r="J31" i="21"/>
  <c r="H31" i="21"/>
  <c r="G31" i="21"/>
  <c r="J30" i="21"/>
  <c r="H30" i="21"/>
  <c r="G30" i="21"/>
  <c r="J29" i="21"/>
  <c r="H29" i="21"/>
  <c r="G29" i="21"/>
  <c r="J28" i="21"/>
  <c r="H28" i="21"/>
  <c r="G28" i="21"/>
  <c r="J27" i="21"/>
  <c r="H27" i="21"/>
  <c r="G27" i="21"/>
  <c r="J26" i="21"/>
  <c r="H26" i="21"/>
  <c r="G26" i="21"/>
  <c r="H11" i="21"/>
  <c r="F11" i="21"/>
  <c r="E11" i="21"/>
  <c r="H10" i="21"/>
  <c r="F9" i="21"/>
  <c r="H9" i="21"/>
  <c r="O29" i="21"/>
  <c r="O145" i="21"/>
  <c r="O73" i="21"/>
  <c r="O52" i="21"/>
  <c r="O30" i="21"/>
  <c r="O42" i="21"/>
  <c r="O134" i="21"/>
  <c r="O151" i="21"/>
  <c r="O136" i="21"/>
  <c r="O161" i="21"/>
  <c r="O169" i="21"/>
  <c r="O97" i="21"/>
  <c r="O88" i="21"/>
  <c r="O101" i="21"/>
  <c r="O141" i="21"/>
  <c r="O148" i="21"/>
  <c r="O118" i="21"/>
  <c r="O111" i="21"/>
  <c r="O137" i="21"/>
  <c r="O98" i="21"/>
  <c r="O132" i="21"/>
  <c r="O94" i="21"/>
  <c r="O175" i="21"/>
  <c r="O61" i="21"/>
  <c r="O81" i="21"/>
  <c r="O102" i="21"/>
  <c r="M11" i="21"/>
  <c r="O117" i="21"/>
  <c r="O160" i="21"/>
  <c r="O171" i="21"/>
  <c r="O51" i="21"/>
  <c r="O181" i="21"/>
  <c r="O146" i="21"/>
  <c r="O173" i="21"/>
  <c r="O38" i="21"/>
  <c r="O36" i="21"/>
  <c r="O121" i="21"/>
  <c r="O89" i="21"/>
  <c r="O41" i="21"/>
  <c r="O31" i="21"/>
  <c r="O179" i="21"/>
  <c r="O170" i="21"/>
  <c r="O128" i="21"/>
  <c r="O110" i="21"/>
  <c r="O163" i="21"/>
  <c r="O32" i="21"/>
  <c r="O99" i="21"/>
  <c r="O34" i="21"/>
  <c r="O115" i="21"/>
  <c r="O108" i="21"/>
  <c r="O155" i="21"/>
  <c r="O119" i="21"/>
  <c r="O130" i="21"/>
  <c r="O165" i="21"/>
  <c r="O123" i="21"/>
  <c r="O62" i="21"/>
  <c r="O28" i="21"/>
  <c r="O139" i="21"/>
  <c r="O71" i="21"/>
  <c r="O56" i="21"/>
  <c r="O144" i="21"/>
  <c r="O72" i="21"/>
  <c r="O60" i="21"/>
  <c r="O43" i="21"/>
  <c r="O107" i="21"/>
  <c r="O37" i="21"/>
  <c r="O35" i="21"/>
  <c r="O79" i="21"/>
  <c r="O53" i="21"/>
  <c r="O180" i="21"/>
  <c r="O82" i="21"/>
  <c r="O105" i="21"/>
  <c r="O50" i="21"/>
  <c r="O125" i="21"/>
  <c r="O133" i="21"/>
  <c r="O58" i="21"/>
  <c r="O95" i="21"/>
  <c r="O26" i="21"/>
  <c r="O67" i="21"/>
  <c r="O153" i="21"/>
  <c r="O65" i="21"/>
  <c r="O90" i="21"/>
  <c r="O96" i="21"/>
  <c r="O68" i="21"/>
  <c r="O103" i="21"/>
  <c r="O91" i="21"/>
  <c r="O120" i="21"/>
  <c r="O78" i="21"/>
  <c r="O83" i="21"/>
  <c r="O138" i="21"/>
  <c r="O147" i="21"/>
  <c r="O57" i="21"/>
  <c r="O44" i="21"/>
  <c r="O150" i="21"/>
  <c r="O47" i="21"/>
  <c r="O106" i="21"/>
  <c r="O164" i="21"/>
  <c r="O76" i="21"/>
  <c r="O142" i="21"/>
  <c r="O131" i="21"/>
  <c r="O93" i="21"/>
  <c r="O45" i="21"/>
  <c r="O178" i="21"/>
  <c r="O116" i="21"/>
  <c r="O184" i="21"/>
  <c r="O64" i="21"/>
  <c r="O157" i="21"/>
  <c r="O172" i="21"/>
  <c r="O158" i="21"/>
  <c r="M12" i="21"/>
  <c r="O54" i="21"/>
  <c r="O59" i="21"/>
  <c r="O80" i="21"/>
  <c r="O126" i="21"/>
  <c r="O77" i="21"/>
  <c r="O109" i="21"/>
  <c r="O167" i="21"/>
  <c r="O159" i="21"/>
  <c r="O174" i="21"/>
  <c r="O27" i="21"/>
  <c r="M9" i="21"/>
  <c r="O182" i="21"/>
  <c r="O143" i="21"/>
  <c r="O183" i="21"/>
  <c r="O40" i="21"/>
  <c r="O135" i="21"/>
  <c r="O48" i="21"/>
  <c r="O127" i="21"/>
  <c r="O69" i="21"/>
  <c r="O129" i="21"/>
  <c r="O33" i="21"/>
  <c r="O92" i="21"/>
  <c r="O124" i="21"/>
  <c r="O87" i="21"/>
  <c r="O156" i="21"/>
  <c r="O104" i="21"/>
  <c r="O166" i="21"/>
  <c r="O140" i="21"/>
  <c r="M10" i="21"/>
  <c r="O185" i="21"/>
  <c r="O63" i="21"/>
  <c r="O113" i="21"/>
  <c r="O49" i="21"/>
  <c r="O74" i="21"/>
  <c r="O112" i="21"/>
  <c r="O176" i="21"/>
  <c r="O70" i="21"/>
  <c r="O75" i="21"/>
  <c r="O84" i="21"/>
  <c r="O66" i="21"/>
  <c r="O154" i="21"/>
  <c r="O55" i="21"/>
  <c r="O46" i="21"/>
  <c r="O177" i="21"/>
  <c r="O149" i="21"/>
  <c r="O122" i="21"/>
  <c r="O86" i="21"/>
  <c r="O100" i="21"/>
  <c r="O85" i="21"/>
  <c r="O162" i="21"/>
  <c r="O168" i="21"/>
  <c r="O39" i="21"/>
  <c r="O114" i="21"/>
  <c r="O152" i="21"/>
  <c r="N9" i="21"/>
  <c r="P53" i="24" l="1"/>
  <c r="O53" i="24"/>
  <c r="P36" i="24"/>
  <c r="V36" i="24" s="1"/>
  <c r="O36" i="24"/>
  <c r="P66" i="24"/>
  <c r="V66" i="24" s="1"/>
  <c r="O66" i="24"/>
  <c r="P33" i="24"/>
  <c r="V33" i="24" s="1"/>
  <c r="O33" i="24"/>
  <c r="O48" i="24"/>
  <c r="P48" i="24"/>
  <c r="P63" i="24"/>
  <c r="V63" i="24" s="1"/>
  <c r="O63" i="24"/>
  <c r="P45" i="24"/>
  <c r="O45" i="24"/>
  <c r="P28" i="24"/>
  <c r="V28" i="24" s="1"/>
  <c r="O28" i="24"/>
  <c r="P58" i="24"/>
  <c r="V58" i="24" s="1"/>
  <c r="O58" i="24"/>
  <c r="O32" i="24"/>
  <c r="P32" i="24"/>
  <c r="V32" i="24" s="1"/>
  <c r="P47" i="24"/>
  <c r="O47" i="24"/>
  <c r="P37" i="24"/>
  <c r="V37" i="24" s="1"/>
  <c r="O37" i="24"/>
  <c r="O67" i="24"/>
  <c r="P67" i="24"/>
  <c r="V67" i="24" s="1"/>
  <c r="P50" i="24"/>
  <c r="O50" i="24"/>
  <c r="V31" i="24"/>
  <c r="O31" i="24"/>
  <c r="P62" i="24"/>
  <c r="V62" i="24" s="1"/>
  <c r="O62" i="24"/>
  <c r="P29" i="24"/>
  <c r="V29" i="24" s="1"/>
  <c r="O29" i="24"/>
  <c r="O59" i="24"/>
  <c r="P59" i="24"/>
  <c r="V59" i="24" s="1"/>
  <c r="P42" i="24"/>
  <c r="O42" i="24"/>
  <c r="P46" i="24"/>
  <c r="O46" i="24"/>
  <c r="P57" i="24"/>
  <c r="V57" i="24" s="1"/>
  <c r="O57" i="24"/>
  <c r="P68" i="24"/>
  <c r="V68" i="24" s="1"/>
  <c r="O68" i="24"/>
  <c r="P51" i="24"/>
  <c r="O51" i="24"/>
  <c r="P34" i="24"/>
  <c r="V34" i="24" s="1"/>
  <c r="O34" i="24"/>
  <c r="P30" i="24"/>
  <c r="O30" i="24"/>
  <c r="P41" i="24"/>
  <c r="O41" i="24"/>
  <c r="O56" i="24"/>
  <c r="P56" i="24"/>
  <c r="V56" i="24" s="1"/>
  <c r="P60" i="24"/>
  <c r="V60" i="24" s="1"/>
  <c r="O60" i="24"/>
  <c r="O43" i="24"/>
  <c r="P43" i="24"/>
  <c r="P26" i="24"/>
  <c r="V26" i="24" s="1"/>
  <c r="O26" i="24"/>
  <c r="P54" i="24"/>
  <c r="V54" i="24" s="1"/>
  <c r="O54" i="24"/>
  <c r="P25" i="24"/>
  <c r="V25" i="24" s="1"/>
  <c r="O25" i="24"/>
  <c r="O40" i="24"/>
  <c r="P40" i="24"/>
  <c r="P55" i="24"/>
  <c r="V55" i="24" s="1"/>
  <c r="O55" i="24"/>
  <c r="P69" i="24"/>
  <c r="V69" i="24" s="1"/>
  <c r="O69" i="24"/>
  <c r="P52" i="24"/>
  <c r="O52" i="24"/>
  <c r="O35" i="24"/>
  <c r="P35" i="24"/>
  <c r="V35" i="24" s="1"/>
  <c r="P65" i="24"/>
  <c r="V65" i="24" s="1"/>
  <c r="O65" i="24"/>
  <c r="P38" i="24"/>
  <c r="O38" i="24"/>
  <c r="P24" i="24"/>
  <c r="V24" i="24" s="1"/>
  <c r="O24" i="24"/>
  <c r="P39" i="24"/>
  <c r="O39" i="24"/>
  <c r="P61" i="24"/>
  <c r="V61" i="24" s="1"/>
  <c r="O61" i="24"/>
  <c r="P44" i="24"/>
  <c r="O44" i="24"/>
  <c r="P27" i="24"/>
  <c r="V27" i="24" s="1"/>
  <c r="O27" i="24"/>
  <c r="P49" i="24"/>
  <c r="O49" i="24"/>
  <c r="O64" i="24"/>
  <c r="P64" i="24"/>
  <c r="V64" i="24" s="1"/>
  <c r="P22" i="24"/>
  <c r="V22" i="24" s="1"/>
  <c r="O22" i="24"/>
  <c r="P23" i="24"/>
  <c r="V23" i="24" s="1"/>
  <c r="O23" i="24"/>
  <c r="C12" i="22"/>
  <c r="G11" i="22"/>
  <c r="E11" i="22"/>
  <c r="D11" i="22"/>
  <c r="F11" i="22"/>
  <c r="F10" i="22"/>
  <c r="D10" i="22"/>
  <c r="F9" i="22"/>
  <c r="H8" i="22"/>
  <c r="E7" i="22"/>
  <c r="E10" i="22"/>
  <c r="G10" i="22"/>
  <c r="E9" i="22"/>
  <c r="O11" i="21"/>
  <c r="O12" i="21"/>
  <c r="M13" i="21"/>
  <c r="O9" i="21"/>
  <c r="F23" i="21"/>
  <c r="E15" i="21"/>
  <c r="Z8" i="13"/>
  <c r="V8" i="13"/>
  <c r="V30" i="24" l="1"/>
  <c r="T30" i="24"/>
  <c r="AD56" i="24"/>
  <c r="U56" i="24"/>
  <c r="T56" i="24"/>
  <c r="AD60" i="24"/>
  <c r="U60" i="24"/>
  <c r="T60" i="24"/>
  <c r="AD54" i="24"/>
  <c r="U54" i="24"/>
  <c r="T54" i="24"/>
  <c r="U51" i="24"/>
  <c r="T51" i="24"/>
  <c r="U47" i="24"/>
  <c r="T47" i="24"/>
  <c r="AD66" i="24"/>
  <c r="U66" i="24"/>
  <c r="T66" i="24"/>
  <c r="U52" i="24"/>
  <c r="T52" i="24"/>
  <c r="AD62" i="24"/>
  <c r="U62" i="24"/>
  <c r="T62" i="24"/>
  <c r="AD59" i="24"/>
  <c r="U59" i="24"/>
  <c r="T59" i="24"/>
  <c r="AD69" i="24"/>
  <c r="U69" i="24"/>
  <c r="T69" i="24"/>
  <c r="AD64" i="24"/>
  <c r="U64" i="24"/>
  <c r="T64" i="24"/>
  <c r="AD61" i="24"/>
  <c r="U61" i="24"/>
  <c r="T61" i="24"/>
  <c r="AD65" i="24"/>
  <c r="U65" i="24"/>
  <c r="T65" i="24"/>
  <c r="AD55" i="24"/>
  <c r="U55" i="24"/>
  <c r="T55" i="24"/>
  <c r="AD68" i="24"/>
  <c r="U68" i="24"/>
  <c r="T68" i="24"/>
  <c r="U50" i="24"/>
  <c r="T50" i="24"/>
  <c r="AD63" i="24"/>
  <c r="U63" i="24"/>
  <c r="T63" i="24"/>
  <c r="U46" i="24"/>
  <c r="T46" i="24"/>
  <c r="AD67" i="24"/>
  <c r="T67" i="24"/>
  <c r="U67" i="24"/>
  <c r="U48" i="24"/>
  <c r="T48" i="24"/>
  <c r="U49" i="24"/>
  <c r="T49" i="24"/>
  <c r="AD57" i="24"/>
  <c r="U57" i="24"/>
  <c r="T57" i="24"/>
  <c r="AD58" i="24"/>
  <c r="U58" i="24"/>
  <c r="T58" i="24"/>
  <c r="U53" i="24"/>
  <c r="T53" i="24"/>
  <c r="U25" i="24"/>
  <c r="T25" i="24"/>
  <c r="U34" i="24"/>
  <c r="T34" i="24"/>
  <c r="U37" i="24"/>
  <c r="T37" i="24"/>
  <c r="U28" i="24"/>
  <c r="T28" i="24"/>
  <c r="U33" i="24"/>
  <c r="T33" i="24"/>
  <c r="U23" i="24"/>
  <c r="T23" i="24"/>
  <c r="U27" i="24"/>
  <c r="T27" i="24"/>
  <c r="U24" i="24"/>
  <c r="T24" i="24"/>
  <c r="U22" i="24"/>
  <c r="T22" i="24"/>
  <c r="U45" i="24"/>
  <c r="T45" i="24"/>
  <c r="U40" i="24"/>
  <c r="T40" i="24"/>
  <c r="U44" i="24"/>
  <c r="T44" i="24"/>
  <c r="U38" i="24"/>
  <c r="T38" i="24"/>
  <c r="U42" i="24"/>
  <c r="T42" i="24"/>
  <c r="U31" i="24"/>
  <c r="T31" i="24"/>
  <c r="U32" i="24"/>
  <c r="T32" i="24"/>
  <c r="U26" i="24"/>
  <c r="T26" i="24"/>
  <c r="U41" i="24"/>
  <c r="T41" i="24"/>
  <c r="U36" i="24"/>
  <c r="T36" i="24"/>
  <c r="U43" i="24"/>
  <c r="T43" i="24"/>
  <c r="U35" i="24"/>
  <c r="T35" i="24"/>
  <c r="U39" i="24"/>
  <c r="T39" i="24"/>
  <c r="U30" i="24"/>
  <c r="T29" i="24"/>
  <c r="U29" i="24"/>
  <c r="H9" i="22"/>
  <c r="H10" i="22"/>
  <c r="H11" i="22"/>
  <c r="H7" i="22"/>
  <c r="C13" i="22"/>
  <c r="F12" i="22"/>
  <c r="G12" i="22"/>
  <c r="E12" i="22"/>
  <c r="D12" i="22"/>
  <c r="AK44" i="13"/>
  <c r="AK45" i="13"/>
  <c r="AK46" i="13"/>
  <c r="AK47" i="13"/>
  <c r="AK48" i="13"/>
  <c r="AK49" i="13"/>
  <c r="AK50" i="13"/>
  <c r="AK51" i="13"/>
  <c r="AK52" i="13"/>
  <c r="AK53" i="13"/>
  <c r="AK54" i="13"/>
  <c r="AK55" i="13"/>
  <c r="AK56" i="13"/>
  <c r="AK57" i="13"/>
  <c r="AK58" i="13"/>
  <c r="AK59" i="13"/>
  <c r="AK60" i="13"/>
  <c r="AK61" i="13"/>
  <c r="AI44" i="13"/>
  <c r="AI45" i="13"/>
  <c r="AI46" i="13"/>
  <c r="AI47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8" i="13"/>
  <c r="W9" i="13"/>
  <c r="S6" i="13"/>
  <c r="AF9" i="13"/>
  <c r="W10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AB48" i="24"/>
  <c r="AB28" i="24"/>
  <c r="AB31" i="24"/>
  <c r="AB30" i="24"/>
  <c r="AB23" i="24"/>
  <c r="AB26" i="24"/>
  <c r="AB51" i="24"/>
  <c r="AB27" i="24"/>
  <c r="AB45" i="24"/>
  <c r="AB41" i="24"/>
  <c r="AB33" i="24"/>
  <c r="AB32" i="24"/>
  <c r="AB29" i="24"/>
  <c r="AB52" i="24"/>
  <c r="AB34" i="24"/>
  <c r="AB38" i="24"/>
  <c r="AB35" i="24"/>
  <c r="AB22" i="24"/>
  <c r="AB47" i="24"/>
  <c r="AB46" i="24"/>
  <c r="AB53" i="24"/>
  <c r="AB24" i="24"/>
  <c r="AB40" i="24"/>
  <c r="AB36" i="24"/>
  <c r="AB50" i="24"/>
  <c r="AB37" i="24"/>
  <c r="AB42" i="24"/>
  <c r="AB39" i="24"/>
  <c r="AB25" i="24"/>
  <c r="AB44" i="24"/>
  <c r="AB43" i="24"/>
  <c r="AB49" i="24"/>
  <c r="X25" i="13"/>
  <c r="AG46" i="13"/>
  <c r="X10" i="13"/>
  <c r="X8" i="13"/>
  <c r="X43" i="13"/>
  <c r="AG44" i="13"/>
  <c r="X36" i="13"/>
  <c r="X42" i="13"/>
  <c r="X35" i="13"/>
  <c r="X11" i="13"/>
  <c r="X12" i="13"/>
  <c r="X40" i="13"/>
  <c r="X21" i="13"/>
  <c r="AG45" i="13"/>
  <c r="X39" i="13"/>
  <c r="X14" i="13"/>
  <c r="X18" i="13"/>
  <c r="X23" i="13"/>
  <c r="X15" i="13"/>
  <c r="X30" i="13"/>
  <c r="X17" i="13"/>
  <c r="X19" i="13"/>
  <c r="X37" i="13"/>
  <c r="X38" i="13"/>
  <c r="X20" i="13"/>
  <c r="X24" i="13"/>
  <c r="X9" i="13"/>
  <c r="X16" i="13"/>
  <c r="X34" i="13"/>
  <c r="X33" i="13"/>
  <c r="AG47" i="13"/>
  <c r="X26" i="13"/>
  <c r="X41" i="13"/>
  <c r="X32" i="13"/>
  <c r="X28" i="13"/>
  <c r="X22" i="13"/>
  <c r="X29" i="13"/>
  <c r="X13" i="13"/>
  <c r="X27" i="13"/>
  <c r="X31" i="13"/>
  <c r="AC49" i="24" l="1"/>
  <c r="AC43" i="24"/>
  <c r="AC44" i="24"/>
  <c r="AC25" i="24"/>
  <c r="AC39" i="24"/>
  <c r="AC42" i="24"/>
  <c r="AC37" i="24"/>
  <c r="AC50" i="24"/>
  <c r="AC36" i="24"/>
  <c r="AC40" i="24"/>
  <c r="AC24" i="24"/>
  <c r="AC53" i="24"/>
  <c r="AC46" i="24"/>
  <c r="AC47" i="24"/>
  <c r="AC22" i="24"/>
  <c r="AC35" i="24"/>
  <c r="AC38" i="24"/>
  <c r="AC34" i="24"/>
  <c r="AC52" i="24"/>
  <c r="AC29" i="24"/>
  <c r="AC32" i="24"/>
  <c r="AC33" i="24"/>
  <c r="AC41" i="24"/>
  <c r="AC45" i="24"/>
  <c r="AC27" i="24"/>
  <c r="AC51" i="24"/>
  <c r="AC26" i="24"/>
  <c r="AC23" i="24"/>
  <c r="AC30" i="24"/>
  <c r="AC31" i="24"/>
  <c r="AC28" i="24"/>
  <c r="AC48" i="24"/>
  <c r="AD22" i="24"/>
  <c r="AD50" i="24"/>
  <c r="AD53" i="24"/>
  <c r="AD47" i="24"/>
  <c r="AD49" i="24"/>
  <c r="AD52" i="24"/>
  <c r="AD51" i="24"/>
  <c r="AD48" i="24"/>
  <c r="AD26" i="24"/>
  <c r="AD23" i="24"/>
  <c r="AD29" i="24"/>
  <c r="AD32" i="24"/>
  <c r="AD33" i="24"/>
  <c r="AD27" i="24"/>
  <c r="AD24" i="24"/>
  <c r="AD30" i="24"/>
  <c r="AD31" i="24"/>
  <c r="AD28" i="24"/>
  <c r="AD25" i="24"/>
  <c r="AD37" i="24"/>
  <c r="AD36" i="24"/>
  <c r="AD40" i="24"/>
  <c r="AD35" i="24"/>
  <c r="AD38" i="24"/>
  <c r="AD34" i="24"/>
  <c r="AD41" i="24"/>
  <c r="AD45" i="24"/>
  <c r="AD39" i="24"/>
  <c r="AD42" i="24"/>
  <c r="AD43" i="24"/>
  <c r="AD44" i="24"/>
  <c r="H12" i="22"/>
  <c r="C14" i="22"/>
  <c r="D13" i="22"/>
  <c r="F13" i="22"/>
  <c r="G13" i="22"/>
  <c r="E13" i="22"/>
  <c r="S5" i="13"/>
  <c r="AH47" i="13"/>
  <c r="AH46" i="13"/>
  <c r="AH45" i="13"/>
  <c r="AH44" i="13"/>
  <c r="Y8" i="13"/>
  <c r="Y34" i="13"/>
  <c r="Y10" i="13"/>
  <c r="Y33" i="13"/>
  <c r="Y17" i="13"/>
  <c r="Y40" i="13"/>
  <c r="Y32" i="13"/>
  <c r="Y24" i="13"/>
  <c r="Y16" i="13"/>
  <c r="Y26" i="13"/>
  <c r="Y18" i="13"/>
  <c r="Y41" i="13"/>
  <c r="Y25" i="13"/>
  <c r="Y39" i="13"/>
  <c r="Y31" i="13"/>
  <c r="Y23" i="13"/>
  <c r="Y15" i="13"/>
  <c r="Y13" i="13"/>
  <c r="Y38" i="13"/>
  <c r="Y14" i="13"/>
  <c r="Y37" i="13"/>
  <c r="Y21" i="13"/>
  <c r="Y36" i="13"/>
  <c r="Y28" i="13"/>
  <c r="Y20" i="13"/>
  <c r="Y12" i="13"/>
  <c r="Y30" i="13"/>
  <c r="Y22" i="13"/>
  <c r="Y29" i="13"/>
  <c r="Y43" i="13"/>
  <c r="Y35" i="13"/>
  <c r="Y27" i="13"/>
  <c r="Y19" i="13"/>
  <c r="Y11" i="13"/>
  <c r="Y42" i="13"/>
  <c r="Y9" i="13"/>
  <c r="AC12" i="12"/>
  <c r="M6" i="13"/>
  <c r="C15" i="22" l="1"/>
  <c r="D14" i="22"/>
  <c r="F14" i="22"/>
  <c r="G14" i="22"/>
  <c r="E14" i="22"/>
  <c r="H13" i="22"/>
  <c r="U45" i="18"/>
  <c r="T45" i="18"/>
  <c r="R45" i="18"/>
  <c r="M45" i="18"/>
  <c r="I45" i="18"/>
  <c r="S45" i="18" s="1"/>
  <c r="AD45" i="18"/>
  <c r="X46" i="18"/>
  <c r="H14" i="22" l="1"/>
  <c r="C16" i="22"/>
  <c r="D15" i="22"/>
  <c r="F15" i="22"/>
  <c r="E15" i="22"/>
  <c r="G15" i="22"/>
  <c r="O45" i="18"/>
  <c r="AE45" i="18"/>
  <c r="Y45" i="18"/>
  <c r="AA45" i="18"/>
  <c r="AF45" i="18"/>
  <c r="H15" i="22" l="1"/>
  <c r="C17" i="22"/>
  <c r="G16" i="22"/>
  <c r="E16" i="22"/>
  <c r="D16" i="22"/>
  <c r="F16" i="22"/>
  <c r="AB45" i="18"/>
  <c r="AC45" i="18"/>
  <c r="Z45" i="18"/>
  <c r="H16" i="22" l="1"/>
  <c r="C18" i="22"/>
  <c r="G17" i="22"/>
  <c r="E17" i="22"/>
  <c r="D17" i="22"/>
  <c r="F17" i="22"/>
  <c r="T75" i="17"/>
  <c r="T76" i="17"/>
  <c r="T77" i="17"/>
  <c r="T78" i="17"/>
  <c r="T79" i="17"/>
  <c r="T80" i="17"/>
  <c r="T81" i="17"/>
  <c r="T82" i="17"/>
  <c r="T83" i="17"/>
  <c r="T84" i="17"/>
  <c r="T74" i="17"/>
  <c r="M72" i="17"/>
  <c r="P69" i="17"/>
  <c r="P70" i="17"/>
  <c r="P68" i="17"/>
  <c r="AA57" i="17"/>
  <c r="AA58" i="17"/>
  <c r="AA59" i="17"/>
  <c r="AA60" i="17"/>
  <c r="AA61" i="17"/>
  <c r="AA62" i="17"/>
  <c r="AA63" i="17"/>
  <c r="AA64" i="17"/>
  <c r="AA65" i="17"/>
  <c r="AA66" i="17"/>
  <c r="AA56" i="17"/>
  <c r="Y49" i="18"/>
  <c r="Y50" i="18"/>
  <c r="Y51" i="18"/>
  <c r="Y52" i="18"/>
  <c r="Y53" i="18"/>
  <c r="Y54" i="18"/>
  <c r="Y55" i="18"/>
  <c r="Y56" i="18"/>
  <c r="Y57" i="18"/>
  <c r="Y58" i="18"/>
  <c r="Y48" i="18"/>
  <c r="AD49" i="18"/>
  <c r="AD50" i="18"/>
  <c r="AD51" i="18"/>
  <c r="AD52" i="18"/>
  <c r="AD53" i="18"/>
  <c r="AD54" i="18"/>
  <c r="AD55" i="18"/>
  <c r="AD56" i="18"/>
  <c r="AD57" i="18"/>
  <c r="AD58" i="18"/>
  <c r="AD48" i="18"/>
  <c r="AD53" i="12"/>
  <c r="AD54" i="12"/>
  <c r="AD55" i="12"/>
  <c r="AD56" i="12"/>
  <c r="AD57" i="12"/>
  <c r="AD58" i="12"/>
  <c r="AD59" i="12"/>
  <c r="AD60" i="12"/>
  <c r="AD61" i="12"/>
  <c r="AD62" i="12"/>
  <c r="AD5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12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AD39" i="18"/>
  <c r="AC20" i="12"/>
  <c r="AC34" i="12"/>
  <c r="AD28" i="18"/>
  <c r="AD25" i="18"/>
  <c r="AC46" i="12"/>
  <c r="AD32" i="18"/>
  <c r="AC19" i="12"/>
  <c r="AC32" i="12"/>
  <c r="AD35" i="18"/>
  <c r="AD27" i="18"/>
  <c r="AC28" i="12"/>
  <c r="AD10" i="18"/>
  <c r="AD19" i="18"/>
  <c r="AD40" i="18"/>
  <c r="AC35" i="12"/>
  <c r="AD36" i="18"/>
  <c r="AD20" i="18"/>
  <c r="AC16" i="12"/>
  <c r="AC22" i="12"/>
  <c r="AD29" i="18"/>
  <c r="Q68" i="17"/>
  <c r="AC39" i="12"/>
  <c r="AC24" i="12"/>
  <c r="AC14" i="12"/>
  <c r="AC43" i="12"/>
  <c r="AD41" i="18"/>
  <c r="AC47" i="12"/>
  <c r="AC23" i="12"/>
  <c r="AC21" i="12"/>
  <c r="AD43" i="18"/>
  <c r="AC41" i="12"/>
  <c r="AC44" i="12"/>
  <c r="AC29" i="12"/>
  <c r="AC37" i="12"/>
  <c r="AD15" i="18"/>
  <c r="AD26" i="18"/>
  <c r="AD44" i="18"/>
  <c r="AD9" i="18"/>
  <c r="AC27" i="12"/>
  <c r="Q70" i="17"/>
  <c r="AD13" i="18"/>
  <c r="AD16" i="18"/>
  <c r="AC13" i="12"/>
  <c r="AC18" i="12"/>
  <c r="AD24" i="18"/>
  <c r="Z50" i="17"/>
  <c r="AC15" i="12"/>
  <c r="AC17" i="12"/>
  <c r="AD33" i="18"/>
  <c r="Z49" i="17"/>
  <c r="AD22" i="18"/>
  <c r="AD42" i="18"/>
  <c r="AC38" i="12"/>
  <c r="AC36" i="12"/>
  <c r="AD31" i="18"/>
  <c r="AD23" i="18"/>
  <c r="AD14" i="18"/>
  <c r="AC45" i="12"/>
  <c r="AC40" i="12"/>
  <c r="AD37" i="18"/>
  <c r="AC30" i="12"/>
  <c r="AD30" i="18"/>
  <c r="AD34" i="18"/>
  <c r="AD18" i="18"/>
  <c r="AC31" i="12"/>
  <c r="AD11" i="18"/>
  <c r="AD12" i="18"/>
  <c r="Q69" i="17"/>
  <c r="AC42" i="12"/>
  <c r="AC26" i="12"/>
  <c r="AD21" i="18"/>
  <c r="AC25" i="12"/>
  <c r="AD17" i="18"/>
  <c r="AC33" i="12"/>
  <c r="AD38" i="18"/>
  <c r="H17" i="22" l="1"/>
  <c r="C19" i="22"/>
  <c r="G18" i="22"/>
  <c r="E18" i="22"/>
  <c r="D18" i="22"/>
  <c r="F18" i="22"/>
  <c r="AE37" i="18"/>
  <c r="AE43" i="18"/>
  <c r="AE21" i="18"/>
  <c r="AE40" i="18"/>
  <c r="AE24" i="18"/>
  <c r="AE27" i="18"/>
  <c r="AE11" i="18"/>
  <c r="AE30" i="18"/>
  <c r="AE14" i="18"/>
  <c r="R68" i="17"/>
  <c r="AE33" i="18"/>
  <c r="AE17" i="18"/>
  <c r="AE36" i="18"/>
  <c r="AE20" i="18"/>
  <c r="AE39" i="18"/>
  <c r="AE23" i="18"/>
  <c r="AE42" i="18"/>
  <c r="AE26" i="18"/>
  <c r="AE10" i="18"/>
  <c r="R70" i="17"/>
  <c r="AE9" i="18"/>
  <c r="AE29" i="18"/>
  <c r="AE13" i="18"/>
  <c r="AE32" i="18"/>
  <c r="AE16" i="18"/>
  <c r="AE35" i="18"/>
  <c r="AE19" i="18"/>
  <c r="AE38" i="18"/>
  <c r="AE22" i="18"/>
  <c r="R69" i="17"/>
  <c r="AE41" i="18"/>
  <c r="AE25" i="18"/>
  <c r="AE44" i="18"/>
  <c r="AE28" i="18"/>
  <c r="AE12" i="18"/>
  <c r="AE31" i="18"/>
  <c r="AE15" i="18"/>
  <c r="AE34" i="18"/>
  <c r="AE18" i="18"/>
  <c r="AA49" i="17"/>
  <c r="AA50" i="17"/>
  <c r="AD12" i="12"/>
  <c r="AD44" i="12"/>
  <c r="AD40" i="12"/>
  <c r="AD36" i="12"/>
  <c r="AD32" i="12"/>
  <c r="AD28" i="12"/>
  <c r="AD24" i="12"/>
  <c r="AD20" i="12"/>
  <c r="AD16" i="12"/>
  <c r="AD47" i="12"/>
  <c r="AD43" i="12"/>
  <c r="AD39" i="12"/>
  <c r="AD35" i="12"/>
  <c r="AD31" i="12"/>
  <c r="AD27" i="12"/>
  <c r="AD23" i="12"/>
  <c r="AD19" i="12"/>
  <c r="AD15" i="12"/>
  <c r="AD46" i="12"/>
  <c r="AD42" i="12"/>
  <c r="AD38" i="12"/>
  <c r="AD34" i="12"/>
  <c r="AD30" i="12"/>
  <c r="AD26" i="12"/>
  <c r="AD22" i="12"/>
  <c r="AD18" i="12"/>
  <c r="AD14" i="12"/>
  <c r="AD45" i="12"/>
  <c r="AD41" i="12"/>
  <c r="AD37" i="12"/>
  <c r="AD33" i="12"/>
  <c r="AD29" i="12"/>
  <c r="AD25" i="12"/>
  <c r="AD21" i="12"/>
  <c r="AD17" i="12"/>
  <c r="AD13" i="12"/>
  <c r="K49" i="17"/>
  <c r="K50" i="17"/>
  <c r="M50" i="17"/>
  <c r="M49" i="17"/>
  <c r="U50" i="17"/>
  <c r="U49" i="17"/>
  <c r="P49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8" i="17"/>
  <c r="Z9" i="17"/>
  <c r="Z44" i="17"/>
  <c r="Z45" i="17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9" i="18"/>
  <c r="S70" i="17"/>
  <c r="S69" i="17"/>
  <c r="S68" i="17"/>
  <c r="H18" i="22" l="1"/>
  <c r="C20" i="22"/>
  <c r="G19" i="22"/>
  <c r="E19" i="22"/>
  <c r="F19" i="22"/>
  <c r="D19" i="22"/>
  <c r="S72" i="17"/>
  <c r="R73" i="17" s="1"/>
  <c r="X44" i="18"/>
  <c r="V44" i="18"/>
  <c r="U44" i="18"/>
  <c r="T44" i="18"/>
  <c r="R44" i="18"/>
  <c r="I44" i="18"/>
  <c r="S44" i="18" s="1"/>
  <c r="X43" i="18"/>
  <c r="V43" i="18"/>
  <c r="U43" i="18"/>
  <c r="T43" i="18"/>
  <c r="R43" i="18"/>
  <c r="I43" i="18"/>
  <c r="S43" i="18" s="1"/>
  <c r="X42" i="18"/>
  <c r="V42" i="18"/>
  <c r="U42" i="18"/>
  <c r="T42" i="18"/>
  <c r="R42" i="18"/>
  <c r="I42" i="18"/>
  <c r="S42" i="18" s="1"/>
  <c r="X41" i="18"/>
  <c r="V41" i="18"/>
  <c r="U41" i="18"/>
  <c r="T41" i="18"/>
  <c r="R41" i="18"/>
  <c r="I41" i="18"/>
  <c r="S41" i="18" s="1"/>
  <c r="X40" i="18"/>
  <c r="V40" i="18"/>
  <c r="U40" i="18"/>
  <c r="T40" i="18"/>
  <c r="R40" i="18"/>
  <c r="I40" i="18"/>
  <c r="S40" i="18" s="1"/>
  <c r="X39" i="18"/>
  <c r="V39" i="18"/>
  <c r="U39" i="18"/>
  <c r="T39" i="18"/>
  <c r="R39" i="18"/>
  <c r="I39" i="18"/>
  <c r="S39" i="18" s="1"/>
  <c r="X38" i="18"/>
  <c r="V38" i="18"/>
  <c r="U38" i="18"/>
  <c r="T38" i="18"/>
  <c r="R38" i="18"/>
  <c r="I38" i="18"/>
  <c r="S38" i="18" s="1"/>
  <c r="X37" i="18"/>
  <c r="V37" i="18"/>
  <c r="U37" i="18"/>
  <c r="T37" i="18"/>
  <c r="R37" i="18"/>
  <c r="I37" i="18"/>
  <c r="S37" i="18" s="1"/>
  <c r="X36" i="18"/>
  <c r="V36" i="18"/>
  <c r="U36" i="18"/>
  <c r="T36" i="18"/>
  <c r="R36" i="18"/>
  <c r="I36" i="18"/>
  <c r="S36" i="18" s="1"/>
  <c r="X35" i="18"/>
  <c r="V35" i="18"/>
  <c r="U35" i="18"/>
  <c r="T35" i="18"/>
  <c r="R35" i="18"/>
  <c r="I35" i="18"/>
  <c r="S35" i="18" s="1"/>
  <c r="X34" i="18"/>
  <c r="V34" i="18"/>
  <c r="U34" i="18"/>
  <c r="T34" i="18"/>
  <c r="R34" i="18"/>
  <c r="I34" i="18"/>
  <c r="S34" i="18" s="1"/>
  <c r="X33" i="18"/>
  <c r="V33" i="18"/>
  <c r="U33" i="18"/>
  <c r="T33" i="18"/>
  <c r="R33" i="18"/>
  <c r="I33" i="18"/>
  <c r="S33" i="18" s="1"/>
  <c r="X32" i="18"/>
  <c r="V32" i="18"/>
  <c r="U32" i="18"/>
  <c r="T32" i="18"/>
  <c r="R32" i="18"/>
  <c r="I32" i="18"/>
  <c r="S32" i="18" s="1"/>
  <c r="X31" i="18"/>
  <c r="V31" i="18"/>
  <c r="U31" i="18"/>
  <c r="T31" i="18"/>
  <c r="R31" i="18"/>
  <c r="I31" i="18"/>
  <c r="S31" i="18" s="1"/>
  <c r="X30" i="18"/>
  <c r="V30" i="18"/>
  <c r="U30" i="18"/>
  <c r="T30" i="18"/>
  <c r="R30" i="18"/>
  <c r="I30" i="18"/>
  <c r="S30" i="18" s="1"/>
  <c r="X29" i="18"/>
  <c r="V29" i="18"/>
  <c r="U29" i="18"/>
  <c r="T29" i="18"/>
  <c r="R29" i="18"/>
  <c r="I29" i="18"/>
  <c r="S29" i="18" s="1"/>
  <c r="X28" i="18"/>
  <c r="V28" i="18"/>
  <c r="U28" i="18"/>
  <c r="T28" i="18"/>
  <c r="R28" i="18"/>
  <c r="I28" i="18"/>
  <c r="S28" i="18" s="1"/>
  <c r="X27" i="18"/>
  <c r="V27" i="18"/>
  <c r="U27" i="18"/>
  <c r="T27" i="18"/>
  <c r="R27" i="18"/>
  <c r="I27" i="18"/>
  <c r="S27" i="18" s="1"/>
  <c r="X26" i="18"/>
  <c r="T26" i="18"/>
  <c r="R26" i="18"/>
  <c r="I26" i="18"/>
  <c r="S26" i="18" s="1"/>
  <c r="X25" i="18"/>
  <c r="T25" i="18"/>
  <c r="R25" i="18"/>
  <c r="I25" i="18"/>
  <c r="S25" i="18" s="1"/>
  <c r="X24" i="18"/>
  <c r="T24" i="18"/>
  <c r="R24" i="18"/>
  <c r="I24" i="18"/>
  <c r="S24" i="18" s="1"/>
  <c r="X23" i="18"/>
  <c r="T23" i="18"/>
  <c r="R23" i="18"/>
  <c r="I23" i="18"/>
  <c r="S23" i="18" s="1"/>
  <c r="X22" i="18"/>
  <c r="T22" i="18"/>
  <c r="R22" i="18"/>
  <c r="I22" i="18"/>
  <c r="S22" i="18" s="1"/>
  <c r="X21" i="18"/>
  <c r="T21" i="18"/>
  <c r="R21" i="18"/>
  <c r="I21" i="18"/>
  <c r="S21" i="18" s="1"/>
  <c r="X20" i="18"/>
  <c r="T20" i="18"/>
  <c r="R20" i="18"/>
  <c r="I20" i="18"/>
  <c r="S20" i="18" s="1"/>
  <c r="X19" i="18"/>
  <c r="T19" i="18"/>
  <c r="R19" i="18"/>
  <c r="I19" i="18"/>
  <c r="S19" i="18" s="1"/>
  <c r="X18" i="18"/>
  <c r="T18" i="18"/>
  <c r="R18" i="18"/>
  <c r="I18" i="18"/>
  <c r="S18" i="18" s="1"/>
  <c r="X17" i="18"/>
  <c r="T17" i="18"/>
  <c r="R17" i="18"/>
  <c r="I17" i="18"/>
  <c r="S17" i="18" s="1"/>
  <c r="X16" i="18"/>
  <c r="T16" i="18"/>
  <c r="R16" i="18"/>
  <c r="I16" i="18"/>
  <c r="S16" i="18" s="1"/>
  <c r="X15" i="18"/>
  <c r="T15" i="18"/>
  <c r="R15" i="18"/>
  <c r="I15" i="18"/>
  <c r="S15" i="18" s="1"/>
  <c r="X14" i="18"/>
  <c r="T14" i="18"/>
  <c r="R14" i="18"/>
  <c r="I14" i="18"/>
  <c r="S14" i="18" s="1"/>
  <c r="X13" i="18"/>
  <c r="T13" i="18"/>
  <c r="R13" i="18"/>
  <c r="I13" i="18"/>
  <c r="S13" i="18" s="1"/>
  <c r="X12" i="18"/>
  <c r="T12" i="18"/>
  <c r="R12" i="18"/>
  <c r="I12" i="18"/>
  <c r="S12" i="18" s="1"/>
  <c r="X11" i="18"/>
  <c r="T11" i="18"/>
  <c r="R11" i="18"/>
  <c r="I11" i="18"/>
  <c r="S11" i="18" s="1"/>
  <c r="X10" i="18"/>
  <c r="T10" i="18"/>
  <c r="R10" i="18"/>
  <c r="I10" i="18"/>
  <c r="S10" i="18" s="1"/>
  <c r="X9" i="18"/>
  <c r="T9" i="18"/>
  <c r="R9" i="18"/>
  <c r="I9" i="18"/>
  <c r="S9" i="18" s="1"/>
  <c r="O9" i="17"/>
  <c r="S9" i="17" s="1"/>
  <c r="O10" i="17"/>
  <c r="R10" i="17" s="1"/>
  <c r="O11" i="17"/>
  <c r="R11" i="17" s="1"/>
  <c r="O12" i="17"/>
  <c r="S12" i="17" s="1"/>
  <c r="O13" i="17"/>
  <c r="S13" i="17" s="1"/>
  <c r="O14" i="17"/>
  <c r="S14" i="17" s="1"/>
  <c r="O15" i="17"/>
  <c r="R15" i="17" s="1"/>
  <c r="O16" i="17"/>
  <c r="S16" i="17" s="1"/>
  <c r="O17" i="17"/>
  <c r="S17" i="17" s="1"/>
  <c r="O18" i="17"/>
  <c r="R18" i="17" s="1"/>
  <c r="O19" i="17"/>
  <c r="R19" i="17" s="1"/>
  <c r="O20" i="17"/>
  <c r="S20" i="17" s="1"/>
  <c r="O21" i="17"/>
  <c r="S21" i="17" s="1"/>
  <c r="O22" i="17"/>
  <c r="S22" i="17" s="1"/>
  <c r="O23" i="17"/>
  <c r="S23" i="17" s="1"/>
  <c r="O24" i="17"/>
  <c r="S24" i="17" s="1"/>
  <c r="O25" i="17"/>
  <c r="S25" i="17" s="1"/>
  <c r="O26" i="17"/>
  <c r="S26" i="17" s="1"/>
  <c r="O27" i="17"/>
  <c r="S27" i="17" s="1"/>
  <c r="O28" i="17"/>
  <c r="S28" i="17" s="1"/>
  <c r="O29" i="17"/>
  <c r="S29" i="17" s="1"/>
  <c r="O30" i="17"/>
  <c r="S30" i="17" s="1"/>
  <c r="O31" i="17"/>
  <c r="S31" i="17" s="1"/>
  <c r="O32" i="17"/>
  <c r="S32" i="17" s="1"/>
  <c r="O33" i="17"/>
  <c r="S33" i="17" s="1"/>
  <c r="O34" i="17"/>
  <c r="O35" i="17"/>
  <c r="S35" i="17" s="1"/>
  <c r="O36" i="17"/>
  <c r="S36" i="17" s="1"/>
  <c r="O37" i="17"/>
  <c r="S37" i="17" s="1"/>
  <c r="O38" i="17"/>
  <c r="S38" i="17" s="1"/>
  <c r="O39" i="17"/>
  <c r="S39" i="17" s="1"/>
  <c r="O40" i="17"/>
  <c r="S40" i="17" s="1"/>
  <c r="O41" i="17"/>
  <c r="S41" i="17" s="1"/>
  <c r="O42" i="17"/>
  <c r="S42" i="17" s="1"/>
  <c r="O43" i="17"/>
  <c r="S43" i="17" s="1"/>
  <c r="B7" i="17"/>
  <c r="S11" i="17"/>
  <c r="S34" i="17"/>
  <c r="R13" i="17"/>
  <c r="R14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L10" i="13"/>
  <c r="L56" i="17"/>
  <c r="R55" i="17"/>
  <c r="Q55" i="17"/>
  <c r="R54" i="17"/>
  <c r="Q54" i="17"/>
  <c r="V50" i="17"/>
  <c r="T50" i="17"/>
  <c r="S50" i="17"/>
  <c r="R50" i="17"/>
  <c r="V49" i="17"/>
  <c r="U43" i="17"/>
  <c r="U42" i="17"/>
  <c r="U41" i="17"/>
  <c r="U40" i="17"/>
  <c r="U39" i="17"/>
  <c r="U38" i="17"/>
  <c r="U37" i="17"/>
  <c r="U36" i="17"/>
  <c r="U35" i="17"/>
  <c r="U34" i="17"/>
  <c r="U33" i="17"/>
  <c r="U32" i="17"/>
  <c r="U31" i="17"/>
  <c r="U30" i="17"/>
  <c r="U29" i="17"/>
  <c r="U28" i="17"/>
  <c r="U27" i="17"/>
  <c r="U26" i="17"/>
  <c r="U25" i="17"/>
  <c r="U24" i="17"/>
  <c r="U23" i="17"/>
  <c r="U22" i="17"/>
  <c r="U21" i="17"/>
  <c r="U20" i="17"/>
  <c r="U19" i="17"/>
  <c r="U18" i="17"/>
  <c r="U17" i="17"/>
  <c r="U16" i="17"/>
  <c r="U15" i="17"/>
  <c r="U14" i="17"/>
  <c r="U13" i="17"/>
  <c r="U12" i="17"/>
  <c r="U11" i="17"/>
  <c r="U10" i="17"/>
  <c r="U9" i="17"/>
  <c r="U8" i="17"/>
  <c r="AA31" i="18"/>
  <c r="Y28" i="18"/>
  <c r="V31" i="17"/>
  <c r="X29" i="17"/>
  <c r="AA33" i="18"/>
  <c r="P50" i="17"/>
  <c r="V41" i="17"/>
  <c r="X37" i="17"/>
  <c r="X32" i="17"/>
  <c r="Q50" i="17"/>
  <c r="W50" i="17"/>
  <c r="Y35" i="18"/>
  <c r="V42" i="17"/>
  <c r="Y36" i="18"/>
  <c r="X27" i="17"/>
  <c r="Y43" i="18"/>
  <c r="AA34" i="18"/>
  <c r="AA29" i="18"/>
  <c r="X43" i="17"/>
  <c r="AA30" i="18"/>
  <c r="X34" i="17"/>
  <c r="AA35" i="18"/>
  <c r="X40" i="17"/>
  <c r="X28" i="17"/>
  <c r="X31" i="17"/>
  <c r="AA43" i="18"/>
  <c r="AA41" i="18"/>
  <c r="V30" i="17"/>
  <c r="V26" i="17"/>
  <c r="Y42" i="18"/>
  <c r="X36" i="17"/>
  <c r="V43" i="17"/>
  <c r="AA42" i="18"/>
  <c r="Y34" i="18"/>
  <c r="X41" i="17"/>
  <c r="V36" i="17"/>
  <c r="V35" i="17"/>
  <c r="V37" i="17"/>
  <c r="V39" i="17"/>
  <c r="Y31" i="18"/>
  <c r="Y33" i="18"/>
  <c r="Y38" i="18"/>
  <c r="Y39" i="18"/>
  <c r="V38" i="17"/>
  <c r="Y32" i="18"/>
  <c r="V33" i="17"/>
  <c r="V40" i="17"/>
  <c r="X35" i="17"/>
  <c r="Y37" i="18"/>
  <c r="Y44" i="18"/>
  <c r="AA38" i="18"/>
  <c r="V29" i="17"/>
  <c r="AA27" i="18"/>
  <c r="Y40" i="18"/>
  <c r="X33" i="17"/>
  <c r="V28" i="17"/>
  <c r="X39" i="17"/>
  <c r="Y41" i="18"/>
  <c r="Y27" i="18"/>
  <c r="V27" i="17"/>
  <c r="V32" i="17"/>
  <c r="AF44" i="18"/>
  <c r="AF33" i="18"/>
  <c r="AF32" i="18"/>
  <c r="AF31" i="18"/>
  <c r="AF39" i="18"/>
  <c r="AF37" i="18"/>
  <c r="AF29" i="18"/>
  <c r="AF34" i="18"/>
  <c r="AF35" i="18"/>
  <c r="AF36" i="18"/>
  <c r="AF38" i="18"/>
  <c r="AF28" i="18"/>
  <c r="AF27" i="18"/>
  <c r="AF42" i="18"/>
  <c r="AF43" i="18"/>
  <c r="AF40" i="18"/>
  <c r="H19" i="22" l="1"/>
  <c r="C21" i="22"/>
  <c r="F20" i="22"/>
  <c r="D20" i="22"/>
  <c r="G20" i="22"/>
  <c r="E20" i="22"/>
  <c r="S10" i="17"/>
  <c r="S18" i="17"/>
  <c r="R8" i="17"/>
  <c r="S8" i="17"/>
  <c r="V8" i="17" s="1"/>
  <c r="Z8" i="17" s="1"/>
  <c r="U18" i="18"/>
  <c r="R23" i="17"/>
  <c r="R22" i="17"/>
  <c r="U15" i="18"/>
  <c r="S15" i="17"/>
  <c r="R17" i="17"/>
  <c r="R21" i="17"/>
  <c r="R9" i="17"/>
  <c r="R25" i="17"/>
  <c r="S19" i="17"/>
  <c r="Z30" i="17"/>
  <c r="Z26" i="17"/>
  <c r="Z28" i="17"/>
  <c r="Z40" i="17"/>
  <c r="Z33" i="17"/>
  <c r="Z41" i="17"/>
  <c r="Z32" i="17"/>
  <c r="Z35" i="17"/>
  <c r="Z43" i="17"/>
  <c r="Z38" i="17"/>
  <c r="Z36" i="17"/>
  <c r="Z29" i="17"/>
  <c r="Z37" i="17"/>
  <c r="Z42" i="17"/>
  <c r="Z27" i="17"/>
  <c r="Z31" i="17"/>
  <c r="Z39" i="17"/>
  <c r="V21" i="18"/>
  <c r="U10" i="18"/>
  <c r="U11" i="18"/>
  <c r="U13" i="18"/>
  <c r="U24" i="18"/>
  <c r="V24" i="18"/>
  <c r="U22" i="18"/>
  <c r="AC31" i="18"/>
  <c r="AC28" i="18"/>
  <c r="AC37" i="18"/>
  <c r="AC39" i="18"/>
  <c r="AC34" i="18"/>
  <c r="AC36" i="18"/>
  <c r="AC41" i="18"/>
  <c r="AC38" i="18"/>
  <c r="AC32" i="18"/>
  <c r="AC44" i="18"/>
  <c r="AC27" i="18"/>
  <c r="AC43" i="18"/>
  <c r="AC42" i="18"/>
  <c r="AC33" i="18"/>
  <c r="AC40" i="18"/>
  <c r="AC35" i="18"/>
  <c r="U17" i="18"/>
  <c r="V17" i="18"/>
  <c r="V13" i="18"/>
  <c r="V22" i="18"/>
  <c r="U14" i="18"/>
  <c r="V18" i="18"/>
  <c r="V15" i="18"/>
  <c r="U9" i="18"/>
  <c r="U21" i="18"/>
  <c r="V14" i="18"/>
  <c r="V10" i="18"/>
  <c r="V11" i="18"/>
  <c r="U19" i="18"/>
  <c r="Z28" i="18"/>
  <c r="AB31" i="18"/>
  <c r="AB34" i="18"/>
  <c r="Z36" i="18"/>
  <c r="AB42" i="18"/>
  <c r="Z44" i="18"/>
  <c r="AB27" i="18"/>
  <c r="AB30" i="18"/>
  <c r="Z32" i="18"/>
  <c r="AB35" i="18"/>
  <c r="AB38" i="18"/>
  <c r="Z40" i="18"/>
  <c r="AB43" i="18"/>
  <c r="Z27" i="18"/>
  <c r="Z34" i="18"/>
  <c r="Z38" i="18"/>
  <c r="Z42" i="18"/>
  <c r="AB33" i="18"/>
  <c r="Z39" i="18"/>
  <c r="AB41" i="18"/>
  <c r="Z33" i="18"/>
  <c r="Z37" i="18"/>
  <c r="Z41" i="18"/>
  <c r="AB29" i="18"/>
  <c r="Z31" i="18"/>
  <c r="Z35" i="18"/>
  <c r="Z43" i="18"/>
  <c r="U23" i="18"/>
  <c r="V20" i="18"/>
  <c r="U20" i="18"/>
  <c r="U16" i="18"/>
  <c r="V16" i="18"/>
  <c r="V23" i="18"/>
  <c r="U12" i="18"/>
  <c r="V12" i="18"/>
  <c r="V19" i="18"/>
  <c r="U25" i="18"/>
  <c r="V25" i="18"/>
  <c r="V26" i="18"/>
  <c r="U26" i="18"/>
  <c r="Y31" i="17"/>
  <c r="Y35" i="17"/>
  <c r="Y39" i="17"/>
  <c r="Y43" i="17"/>
  <c r="Y34" i="17"/>
  <c r="Y29" i="17"/>
  <c r="Y33" i="17"/>
  <c r="Y37" i="17"/>
  <c r="Y41" i="17"/>
  <c r="Y27" i="17"/>
  <c r="Y28" i="17"/>
  <c r="Y32" i="17"/>
  <c r="Y36" i="17"/>
  <c r="Y40" i="17"/>
  <c r="R16" i="17"/>
  <c r="R24" i="17"/>
  <c r="R12" i="17"/>
  <c r="R20" i="17"/>
  <c r="W30" i="17"/>
  <c r="W38" i="17"/>
  <c r="W42" i="17"/>
  <c r="W26" i="17"/>
  <c r="X50" i="17"/>
  <c r="W27" i="17"/>
  <c r="W28" i="17"/>
  <c r="W32" i="17"/>
  <c r="W36" i="17"/>
  <c r="W40" i="17"/>
  <c r="S49" i="17"/>
  <c r="W29" i="17"/>
  <c r="W31" i="17"/>
  <c r="W33" i="17"/>
  <c r="W35" i="17"/>
  <c r="W37" i="17"/>
  <c r="W39" i="17"/>
  <c r="W41" i="17"/>
  <c r="W43" i="17"/>
  <c r="AB22" i="17"/>
  <c r="T49" i="17"/>
  <c r="I70" i="12"/>
  <c r="I71" i="12"/>
  <c r="I72" i="12"/>
  <c r="I73" i="12"/>
  <c r="I74" i="12"/>
  <c r="I75" i="12"/>
  <c r="I76" i="12"/>
  <c r="I77" i="12"/>
  <c r="I78" i="12"/>
  <c r="I79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91" i="12"/>
  <c r="I92" i="12"/>
  <c r="I93" i="12"/>
  <c r="I94" i="12"/>
  <c r="I95" i="12"/>
  <c r="I96" i="12"/>
  <c r="I97" i="12"/>
  <c r="I98" i="12"/>
  <c r="I99" i="12"/>
  <c r="I100" i="12"/>
  <c r="I101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12" i="12"/>
  <c r="I103" i="12"/>
  <c r="I104" i="12"/>
  <c r="I105" i="12"/>
  <c r="I106" i="12"/>
  <c r="I107" i="12"/>
  <c r="I108" i="12"/>
  <c r="I109" i="12"/>
  <c r="I110" i="12"/>
  <c r="I111" i="12"/>
  <c r="I112" i="12"/>
  <c r="I102" i="12"/>
  <c r="AG15" i="12"/>
  <c r="Y15" i="18"/>
  <c r="AA12" i="12"/>
  <c r="AG47" i="12"/>
  <c r="Y19" i="18"/>
  <c r="AG31" i="12"/>
  <c r="AA20" i="12"/>
  <c r="AG42" i="12"/>
  <c r="AA15" i="12"/>
  <c r="AA13" i="18"/>
  <c r="AB50" i="17"/>
  <c r="AG14" i="12"/>
  <c r="AA28" i="12"/>
  <c r="AA24" i="18"/>
  <c r="AA37" i="18"/>
  <c r="AG37" i="12"/>
  <c r="AA19" i="12"/>
  <c r="AA29" i="12"/>
  <c r="AA33" i="12"/>
  <c r="AA45" i="12"/>
  <c r="AA46" i="12"/>
  <c r="AG28" i="12"/>
  <c r="AA43" i="12"/>
  <c r="AG46" i="12"/>
  <c r="X38" i="17"/>
  <c r="X42" i="17"/>
  <c r="AG29" i="12"/>
  <c r="AA36" i="12"/>
  <c r="AA17" i="12"/>
  <c r="AA25" i="12"/>
  <c r="AA13" i="12"/>
  <c r="AG34" i="12"/>
  <c r="AG25" i="12"/>
  <c r="AC23" i="17"/>
  <c r="AC22" i="17"/>
  <c r="AG44" i="12"/>
  <c r="V34" i="17"/>
  <c r="AA34" i="12"/>
  <c r="AA32" i="12"/>
  <c r="AA23" i="12"/>
  <c r="X30" i="17"/>
  <c r="AA26" i="12"/>
  <c r="Y13" i="18"/>
  <c r="AG13" i="12"/>
  <c r="AA11" i="18"/>
  <c r="AG39" i="12"/>
  <c r="AA39" i="18"/>
  <c r="AG27" i="12"/>
  <c r="AG30" i="12"/>
  <c r="AG32" i="12"/>
  <c r="Y22" i="18"/>
  <c r="AG16" i="12"/>
  <c r="AA9" i="18"/>
  <c r="AA17" i="18"/>
  <c r="AG24" i="12"/>
  <c r="AA21" i="12"/>
  <c r="AG41" i="12"/>
  <c r="AB49" i="17"/>
  <c r="AA35" i="12"/>
  <c r="AG17" i="12"/>
  <c r="AA14" i="12"/>
  <c r="AA15" i="18"/>
  <c r="AG35" i="12"/>
  <c r="AA18" i="12"/>
  <c r="AG23" i="12"/>
  <c r="AA41" i="12"/>
  <c r="AA40" i="12"/>
  <c r="X26" i="17"/>
  <c r="AA32" i="18"/>
  <c r="Y18" i="18"/>
  <c r="AA37" i="12"/>
  <c r="AA22" i="18"/>
  <c r="AA16" i="12"/>
  <c r="AA31" i="12"/>
  <c r="AA42" i="12"/>
  <c r="Y9" i="18"/>
  <c r="Y29" i="18"/>
  <c r="AA39" i="12"/>
  <c r="Y24" i="18"/>
  <c r="AA47" i="12"/>
  <c r="AG36" i="12"/>
  <c r="AG40" i="12"/>
  <c r="AG38" i="12"/>
  <c r="AA18" i="18"/>
  <c r="AA30" i="12"/>
  <c r="Y30" i="18"/>
  <c r="AA27" i="12"/>
  <c r="AA44" i="12"/>
  <c r="AA36" i="18"/>
  <c r="AG26" i="12"/>
  <c r="AG19" i="12"/>
  <c r="AA19" i="18"/>
  <c r="X10" i="17"/>
  <c r="AG45" i="12"/>
  <c r="AG18" i="12"/>
  <c r="AG21" i="12"/>
  <c r="AG20" i="12"/>
  <c r="Y14" i="18"/>
  <c r="AG22" i="12"/>
  <c r="AA22" i="12"/>
  <c r="AA24" i="12"/>
  <c r="Y10" i="18"/>
  <c r="AA10" i="18"/>
  <c r="AA38" i="12"/>
  <c r="Y11" i="18"/>
  <c r="AA28" i="18"/>
  <c r="AG43" i="12"/>
  <c r="AG33" i="12"/>
  <c r="Y50" i="17"/>
  <c r="AF21" i="18"/>
  <c r="AF17" i="18"/>
  <c r="AF22" i="18"/>
  <c r="AF24" i="18"/>
  <c r="AF11" i="18"/>
  <c r="AF10" i="18"/>
  <c r="AF25" i="18"/>
  <c r="AF30" i="18"/>
  <c r="AF26" i="18"/>
  <c r="AF19" i="18"/>
  <c r="AF16" i="18"/>
  <c r="AF13" i="18"/>
  <c r="AF9" i="18"/>
  <c r="AF23" i="18"/>
  <c r="AF12" i="18"/>
  <c r="AF14" i="18"/>
  <c r="AF18" i="18"/>
  <c r="AF15" i="18"/>
  <c r="AF41" i="18"/>
  <c r="AF20" i="18"/>
  <c r="H20" i="22" l="1"/>
  <c r="C22" i="22"/>
  <c r="D21" i="22"/>
  <c r="F21" i="22"/>
  <c r="G21" i="22"/>
  <c r="E21" i="22"/>
  <c r="AI15" i="12"/>
  <c r="AI46" i="12"/>
  <c r="AI38" i="12"/>
  <c r="AI30" i="12"/>
  <c r="AI22" i="12"/>
  <c r="AI14" i="12"/>
  <c r="AI32" i="12"/>
  <c r="AI39" i="12"/>
  <c r="AI45" i="12"/>
  <c r="AI37" i="12"/>
  <c r="AI29" i="12"/>
  <c r="AI21" i="12"/>
  <c r="AI13" i="12"/>
  <c r="AI16" i="12"/>
  <c r="AI23" i="12"/>
  <c r="AI44" i="12"/>
  <c r="AI36" i="12"/>
  <c r="AI28" i="12"/>
  <c r="AI20" i="12"/>
  <c r="AI40" i="12"/>
  <c r="AI47" i="12"/>
  <c r="AI43" i="12"/>
  <c r="AI35" i="12"/>
  <c r="AI27" i="12"/>
  <c r="AI19" i="12"/>
  <c r="AI24" i="12"/>
  <c r="AI31" i="12"/>
  <c r="AI42" i="12"/>
  <c r="AI34" i="12"/>
  <c r="AI26" i="12"/>
  <c r="AI18" i="12"/>
  <c r="AI41" i="12"/>
  <c r="AI33" i="12"/>
  <c r="AI25" i="12"/>
  <c r="AI17" i="12"/>
  <c r="V5" i="17"/>
  <c r="U5" i="17" s="1"/>
  <c r="V4" i="17"/>
  <c r="W8" i="17"/>
  <c r="Y38" i="17"/>
  <c r="Y42" i="17"/>
  <c r="Y30" i="17"/>
  <c r="Y26" i="17"/>
  <c r="W34" i="17"/>
  <c r="Z34" i="17"/>
  <c r="AB52" i="17"/>
  <c r="Y55" i="17" s="1"/>
  <c r="AF7" i="18"/>
  <c r="AC10" i="18"/>
  <c r="AC14" i="18"/>
  <c r="AC15" i="18"/>
  <c r="AC29" i="18"/>
  <c r="Z29" i="18"/>
  <c r="AC22" i="18"/>
  <c r="AB37" i="18"/>
  <c r="AC30" i="18"/>
  <c r="AC24" i="18"/>
  <c r="AC19" i="18"/>
  <c r="AC18" i="18"/>
  <c r="AC11" i="18"/>
  <c r="AC13" i="18"/>
  <c r="AB39" i="18"/>
  <c r="AB9" i="18"/>
  <c r="Z9" i="18"/>
  <c r="AC9" i="18"/>
  <c r="AB15" i="18"/>
  <c r="Z19" i="18"/>
  <c r="Z14" i="18"/>
  <c r="Z30" i="18"/>
  <c r="Z18" i="18"/>
  <c r="AB28" i="18"/>
  <c r="Z24" i="18"/>
  <c r="AB18" i="18"/>
  <c r="Z15" i="18"/>
  <c r="AB19" i="18"/>
  <c r="AB36" i="18"/>
  <c r="Z22" i="18"/>
  <c r="AB24" i="18"/>
  <c r="Z11" i="18"/>
  <c r="Y3" i="18"/>
  <c r="Y4" i="18" s="1"/>
  <c r="AB13" i="18"/>
  <c r="AB17" i="18"/>
  <c r="AB32" i="18"/>
  <c r="AB22" i="18"/>
  <c r="AB11" i="18"/>
  <c r="Z13" i="18"/>
  <c r="Y8" i="17"/>
  <c r="AC25" i="17"/>
  <c r="X21" i="17"/>
  <c r="X17" i="17"/>
  <c r="Y16" i="18"/>
  <c r="V13" i="17"/>
  <c r="AA14" i="18"/>
  <c r="AA20" i="18"/>
  <c r="V16" i="17"/>
  <c r="AA23" i="18"/>
  <c r="Y49" i="17"/>
  <c r="AA44" i="18"/>
  <c r="V25" i="17"/>
  <c r="X14" i="17"/>
  <c r="X16" i="17"/>
  <c r="Y12" i="18"/>
  <c r="V24" i="17"/>
  <c r="X25" i="17"/>
  <c r="V11" i="17"/>
  <c r="V20" i="17"/>
  <c r="V19" i="17"/>
  <c r="AA40" i="18"/>
  <c r="X13" i="17"/>
  <c r="Y25" i="18"/>
  <c r="X22" i="17"/>
  <c r="Y17" i="18"/>
  <c r="Y26" i="18"/>
  <c r="V18" i="17"/>
  <c r="X24" i="17"/>
  <c r="V12" i="17"/>
  <c r="Y20" i="18"/>
  <c r="V15" i="17"/>
  <c r="AA16" i="18"/>
  <c r="X19" i="17"/>
  <c r="V14" i="17"/>
  <c r="X12" i="17"/>
  <c r="X11" i="17"/>
  <c r="W49" i="17"/>
  <c r="X20" i="17"/>
  <c r="AA25" i="18"/>
  <c r="AA21" i="18"/>
  <c r="Y23" i="18"/>
  <c r="V22" i="17"/>
  <c r="AA12" i="18"/>
  <c r="X15" i="17"/>
  <c r="X18" i="17"/>
  <c r="V10" i="17"/>
  <c r="Y21" i="18"/>
  <c r="AA26" i="18"/>
  <c r="V21" i="17"/>
  <c r="V17" i="17"/>
  <c r="V23" i="17"/>
  <c r="X23" i="17"/>
  <c r="H21" i="22" l="1"/>
  <c r="C23" i="22"/>
  <c r="D22" i="22"/>
  <c r="F22" i="22"/>
  <c r="G22" i="22"/>
  <c r="E22" i="22"/>
  <c r="W47" i="18"/>
  <c r="AB47" i="18"/>
  <c r="Z15" i="17"/>
  <c r="Z14" i="17"/>
  <c r="Z11" i="17"/>
  <c r="Z13" i="17"/>
  <c r="Z16" i="17"/>
  <c r="Z20" i="17"/>
  <c r="Z19" i="17"/>
  <c r="Z21" i="17"/>
  <c r="Z17" i="17"/>
  <c r="Z22" i="17"/>
  <c r="Z10" i="17"/>
  <c r="Z23" i="17"/>
  <c r="Z25" i="17"/>
  <c r="Z12" i="17"/>
  <c r="Z24" i="17"/>
  <c r="Z18" i="17"/>
  <c r="AB40" i="18"/>
  <c r="AB14" i="18"/>
  <c r="AC17" i="18"/>
  <c r="Z17" i="18"/>
  <c r="AB21" i="18"/>
  <c r="AB44" i="18"/>
  <c r="AC23" i="18"/>
  <c r="AC25" i="18"/>
  <c r="AC16" i="18"/>
  <c r="AC12" i="18"/>
  <c r="AC26" i="18"/>
  <c r="AC21" i="18"/>
  <c r="Z21" i="18"/>
  <c r="AC20" i="18"/>
  <c r="AB16" i="18"/>
  <c r="Z23" i="18"/>
  <c r="Z16" i="18"/>
  <c r="AB25" i="18"/>
  <c r="AB12" i="18"/>
  <c r="Z25" i="18"/>
  <c r="Z12" i="18"/>
  <c r="AB26" i="18"/>
  <c r="AB23" i="18"/>
  <c r="AB20" i="18"/>
  <c r="Z26" i="18"/>
  <c r="Z20" i="18"/>
  <c r="Y25" i="17"/>
  <c r="Y23" i="17"/>
  <c r="Y11" i="17"/>
  <c r="Y19" i="17"/>
  <c r="Y22" i="17"/>
  <c r="Y14" i="17"/>
  <c r="Y21" i="17"/>
  <c r="Y18" i="17"/>
  <c r="Y16" i="17"/>
  <c r="Y17" i="17"/>
  <c r="Y20" i="17"/>
  <c r="Y13" i="17"/>
  <c r="Y15" i="17"/>
  <c r="Y12" i="17"/>
  <c r="Y24" i="17"/>
  <c r="W15" i="17"/>
  <c r="W17" i="17"/>
  <c r="W25" i="17"/>
  <c r="W14" i="17"/>
  <c r="W20" i="17"/>
  <c r="W12" i="17"/>
  <c r="X49" i="17"/>
  <c r="W52" i="17" s="1"/>
  <c r="Y10" i="17"/>
  <c r="W19" i="17"/>
  <c r="W22" i="17"/>
  <c r="W24" i="17"/>
  <c r="W13" i="17"/>
  <c r="W21" i="17"/>
  <c r="W10" i="17"/>
  <c r="W18" i="17"/>
  <c r="W23" i="17"/>
  <c r="W16" i="17"/>
  <c r="Q46" i="16"/>
  <c r="O46" i="16"/>
  <c r="H46" i="16"/>
  <c r="X42" i="16"/>
  <c r="Y42" i="16" s="1"/>
  <c r="H42" i="16"/>
  <c r="X41" i="16"/>
  <c r="Y41" i="16" s="1"/>
  <c r="H41" i="16"/>
  <c r="X40" i="16"/>
  <c r="Y40" i="16" s="1"/>
  <c r="H40" i="16"/>
  <c r="X39" i="16"/>
  <c r="Y39" i="16" s="1"/>
  <c r="H39" i="16"/>
  <c r="X38" i="16"/>
  <c r="Y38" i="16" s="1"/>
  <c r="H38" i="16"/>
  <c r="X37" i="16"/>
  <c r="Y37" i="16" s="1"/>
  <c r="H37" i="16"/>
  <c r="X36" i="16"/>
  <c r="Y36" i="16" s="1"/>
  <c r="H36" i="16"/>
  <c r="X35" i="16"/>
  <c r="Y35" i="16" s="1"/>
  <c r="H35" i="16"/>
  <c r="X34" i="16"/>
  <c r="Y34" i="16" s="1"/>
  <c r="H34" i="16"/>
  <c r="X33" i="16"/>
  <c r="Y33" i="16" s="1"/>
  <c r="H33" i="16"/>
  <c r="X32" i="16"/>
  <c r="Y32" i="16" s="1"/>
  <c r="H32" i="16"/>
  <c r="X31" i="16"/>
  <c r="Y31" i="16" s="1"/>
  <c r="H31" i="16"/>
  <c r="X30" i="16"/>
  <c r="Y30" i="16" s="1"/>
  <c r="H30" i="16"/>
  <c r="X29" i="16"/>
  <c r="Y29" i="16" s="1"/>
  <c r="H29" i="16"/>
  <c r="X28" i="16"/>
  <c r="Y28" i="16" s="1"/>
  <c r="H28" i="16"/>
  <c r="X27" i="16"/>
  <c r="Y27" i="16" s="1"/>
  <c r="H27" i="16"/>
  <c r="X26" i="16"/>
  <c r="Y26" i="16" s="1"/>
  <c r="H26" i="16"/>
  <c r="X25" i="16"/>
  <c r="Y25" i="16" s="1"/>
  <c r="H25" i="16"/>
  <c r="X24" i="16"/>
  <c r="Y24" i="16" s="1"/>
  <c r="H24" i="16"/>
  <c r="X23" i="16"/>
  <c r="Y23" i="16" s="1"/>
  <c r="H23" i="16"/>
  <c r="X22" i="16"/>
  <c r="Y22" i="16" s="1"/>
  <c r="H22" i="16"/>
  <c r="X21" i="16"/>
  <c r="Y21" i="16" s="1"/>
  <c r="H21" i="16"/>
  <c r="X20" i="16"/>
  <c r="Y20" i="16" s="1"/>
  <c r="H20" i="16"/>
  <c r="X19" i="16"/>
  <c r="Y19" i="16" s="1"/>
  <c r="H19" i="16"/>
  <c r="X18" i="16"/>
  <c r="Y18" i="16" s="1"/>
  <c r="H18" i="16"/>
  <c r="X17" i="16"/>
  <c r="Y17" i="16" s="1"/>
  <c r="H17" i="16"/>
  <c r="X16" i="16"/>
  <c r="Y16" i="16" s="1"/>
  <c r="H16" i="16"/>
  <c r="X15" i="16"/>
  <c r="Y15" i="16" s="1"/>
  <c r="H15" i="16"/>
  <c r="X14" i="16"/>
  <c r="Y14" i="16" s="1"/>
  <c r="H14" i="16"/>
  <c r="X13" i="16"/>
  <c r="Y13" i="16" s="1"/>
  <c r="H13" i="16"/>
  <c r="X12" i="16"/>
  <c r="Y12" i="16" s="1"/>
  <c r="H12" i="16"/>
  <c r="X11" i="16"/>
  <c r="Y11" i="16" s="1"/>
  <c r="H11" i="16"/>
  <c r="X10" i="16"/>
  <c r="Y10" i="16" s="1"/>
  <c r="H10" i="16"/>
  <c r="X9" i="16"/>
  <c r="Y9" i="16" s="1"/>
  <c r="H9" i="16"/>
  <c r="X8" i="16"/>
  <c r="Y8" i="16" s="1"/>
  <c r="H8" i="16"/>
  <c r="X7" i="16"/>
  <c r="Y7" i="16" s="1"/>
  <c r="H7" i="16"/>
  <c r="S36" i="16"/>
  <c r="S11" i="16"/>
  <c r="U26" i="16"/>
  <c r="S28" i="16"/>
  <c r="S30" i="16"/>
  <c r="S13" i="16"/>
  <c r="U23" i="16"/>
  <c r="U14" i="16"/>
  <c r="U27" i="16"/>
  <c r="U34" i="16"/>
  <c r="S9" i="16"/>
  <c r="U12" i="16"/>
  <c r="U24" i="16"/>
  <c r="S21" i="16"/>
  <c r="S24" i="16"/>
  <c r="S19" i="16"/>
  <c r="S33" i="16"/>
  <c r="S12" i="16"/>
  <c r="U11" i="16"/>
  <c r="S29" i="16"/>
  <c r="S14" i="16"/>
  <c r="U8" i="16"/>
  <c r="S41" i="16"/>
  <c r="S18" i="16"/>
  <c r="S7" i="16"/>
  <c r="S35" i="16"/>
  <c r="S17" i="16"/>
  <c r="U32" i="16"/>
  <c r="S26" i="16"/>
  <c r="U15" i="16"/>
  <c r="U9" i="16"/>
  <c r="U35" i="16"/>
  <c r="U16" i="16"/>
  <c r="S40" i="16"/>
  <c r="U29" i="16"/>
  <c r="S16" i="16"/>
  <c r="U33" i="16"/>
  <c r="S42" i="16"/>
  <c r="U30" i="16"/>
  <c r="S15" i="16"/>
  <c r="U22" i="16"/>
  <c r="S37" i="16"/>
  <c r="S23" i="16"/>
  <c r="U37" i="16"/>
  <c r="U39" i="16"/>
  <c r="S8" i="16"/>
  <c r="U17" i="16"/>
  <c r="S39" i="16"/>
  <c r="U10" i="16"/>
  <c r="S25" i="16"/>
  <c r="S20" i="16"/>
  <c r="S22" i="16"/>
  <c r="S46" i="16"/>
  <c r="U40" i="16"/>
  <c r="S34" i="16"/>
  <c r="U42" i="16"/>
  <c r="U19" i="16"/>
  <c r="U36" i="16"/>
  <c r="U31" i="16"/>
  <c r="U41" i="16"/>
  <c r="U7" i="16"/>
  <c r="P46" i="16"/>
  <c r="U20" i="16"/>
  <c r="S31" i="16"/>
  <c r="U13" i="16"/>
  <c r="U28" i="16"/>
  <c r="S10" i="16"/>
  <c r="U38" i="16"/>
  <c r="S32" i="16"/>
  <c r="U25" i="16"/>
  <c r="U21" i="16"/>
  <c r="U18" i="16"/>
  <c r="S27" i="16"/>
  <c r="S38" i="16"/>
  <c r="H22" i="22" l="1"/>
  <c r="C24" i="22"/>
  <c r="D23" i="22"/>
  <c r="F23" i="22"/>
  <c r="G23" i="22"/>
  <c r="E23" i="22"/>
  <c r="Z5" i="17"/>
  <c r="AC8" i="18"/>
  <c r="V7" i="16"/>
  <c r="T10" i="16"/>
  <c r="T14" i="16"/>
  <c r="V20" i="16"/>
  <c r="V24" i="16"/>
  <c r="T30" i="16"/>
  <c r="V32" i="16"/>
  <c r="V36" i="16"/>
  <c r="T38" i="16"/>
  <c r="T42" i="16"/>
  <c r="T9" i="16"/>
  <c r="V11" i="16"/>
  <c r="T13" i="16"/>
  <c r="V15" i="16"/>
  <c r="T17" i="16"/>
  <c r="V19" i="16"/>
  <c r="T21" i="16"/>
  <c r="V23" i="16"/>
  <c r="T25" i="16"/>
  <c r="V27" i="16"/>
  <c r="T29" i="16"/>
  <c r="V31" i="16"/>
  <c r="T33" i="16"/>
  <c r="V35" i="16"/>
  <c r="T37" i="16"/>
  <c r="V39" i="16"/>
  <c r="T41" i="16"/>
  <c r="V16" i="16"/>
  <c r="T7" i="16"/>
  <c r="Z7" i="16"/>
  <c r="T8" i="16"/>
  <c r="V10" i="16"/>
  <c r="T12" i="16"/>
  <c r="V14" i="16"/>
  <c r="T16" i="16"/>
  <c r="V18" i="16"/>
  <c r="T20" i="16"/>
  <c r="V22" i="16"/>
  <c r="T24" i="16"/>
  <c r="V26" i="16"/>
  <c r="T28" i="16"/>
  <c r="V30" i="16"/>
  <c r="T32" i="16"/>
  <c r="V34" i="16"/>
  <c r="T36" i="16"/>
  <c r="V38" i="16"/>
  <c r="T40" i="16"/>
  <c r="V42" i="16"/>
  <c r="T46" i="16"/>
  <c r="V8" i="16"/>
  <c r="V12" i="16"/>
  <c r="T18" i="16"/>
  <c r="T22" i="16"/>
  <c r="T26" i="16"/>
  <c r="V28" i="16"/>
  <c r="T34" i="16"/>
  <c r="V40" i="16"/>
  <c r="V9" i="16"/>
  <c r="T11" i="16"/>
  <c r="V13" i="16"/>
  <c r="T15" i="16"/>
  <c r="V17" i="16"/>
  <c r="T19" i="16"/>
  <c r="V21" i="16"/>
  <c r="T23" i="16"/>
  <c r="V25" i="16"/>
  <c r="T27" i="16"/>
  <c r="V29" i="16"/>
  <c r="T31" i="16"/>
  <c r="V33" i="16"/>
  <c r="T35" i="16"/>
  <c r="V37" i="16"/>
  <c r="T39" i="16"/>
  <c r="V41" i="16"/>
  <c r="H23" i="22" l="1"/>
  <c r="C25" i="22"/>
  <c r="G24" i="22"/>
  <c r="E24" i="22"/>
  <c r="D24" i="22"/>
  <c r="F24" i="22"/>
  <c r="AC8" i="13"/>
  <c r="P10" i="13"/>
  <c r="R10" i="13"/>
  <c r="P11" i="13"/>
  <c r="R11" i="13"/>
  <c r="P9" i="13"/>
  <c r="R9" i="13"/>
  <c r="P12" i="13"/>
  <c r="R12" i="13"/>
  <c r="P13" i="13"/>
  <c r="R13" i="13"/>
  <c r="P14" i="13"/>
  <c r="R14" i="13"/>
  <c r="P15" i="13"/>
  <c r="R15" i="13"/>
  <c r="P16" i="13"/>
  <c r="R16" i="13"/>
  <c r="P17" i="13"/>
  <c r="R17" i="13"/>
  <c r="P18" i="13"/>
  <c r="R18" i="13"/>
  <c r="P19" i="13"/>
  <c r="R19" i="13"/>
  <c r="P20" i="13"/>
  <c r="R20" i="13"/>
  <c r="P21" i="13"/>
  <c r="R21" i="13"/>
  <c r="P22" i="13"/>
  <c r="R22" i="13"/>
  <c r="P23" i="13"/>
  <c r="R23" i="13"/>
  <c r="P24" i="13"/>
  <c r="R24" i="13"/>
  <c r="P25" i="13"/>
  <c r="R25" i="13"/>
  <c r="P26" i="13"/>
  <c r="R26" i="13"/>
  <c r="P27" i="13"/>
  <c r="R27" i="13"/>
  <c r="P28" i="13"/>
  <c r="R28" i="13"/>
  <c r="P29" i="13"/>
  <c r="R29" i="13"/>
  <c r="P30" i="13"/>
  <c r="R30" i="13"/>
  <c r="P31" i="13"/>
  <c r="R31" i="13"/>
  <c r="P32" i="13"/>
  <c r="R32" i="13"/>
  <c r="P33" i="13"/>
  <c r="R33" i="13"/>
  <c r="P34" i="13"/>
  <c r="R34" i="13"/>
  <c r="P35" i="13"/>
  <c r="R35" i="13"/>
  <c r="P36" i="13"/>
  <c r="R36" i="13"/>
  <c r="P37" i="13"/>
  <c r="R37" i="13"/>
  <c r="P38" i="13"/>
  <c r="R38" i="13"/>
  <c r="P39" i="13"/>
  <c r="R39" i="13"/>
  <c r="P40" i="13"/>
  <c r="R40" i="13"/>
  <c r="P41" i="13"/>
  <c r="R41" i="13"/>
  <c r="P42" i="13"/>
  <c r="R42" i="13"/>
  <c r="P43" i="13"/>
  <c r="R43" i="13"/>
  <c r="P8" i="13"/>
  <c r="R8" i="13"/>
  <c r="I9" i="13"/>
  <c r="Q9" i="13" s="1"/>
  <c r="I10" i="13"/>
  <c r="Q10" i="13" s="1"/>
  <c r="T10" i="13" s="1"/>
  <c r="I11" i="13"/>
  <c r="Q11" i="13" s="1"/>
  <c r="I12" i="13"/>
  <c r="Q12" i="13" s="1"/>
  <c r="I13" i="13"/>
  <c r="Q13" i="13" s="1"/>
  <c r="I14" i="13"/>
  <c r="Q14" i="13" s="1"/>
  <c r="I15" i="13"/>
  <c r="Q15" i="13" s="1"/>
  <c r="I16" i="13"/>
  <c r="Q16" i="13" s="1"/>
  <c r="I17" i="13"/>
  <c r="Q17" i="13" s="1"/>
  <c r="I18" i="13"/>
  <c r="Q18" i="13" s="1"/>
  <c r="I19" i="13"/>
  <c r="Q19" i="13" s="1"/>
  <c r="I20" i="13"/>
  <c r="Q20" i="13" s="1"/>
  <c r="I21" i="13"/>
  <c r="Q21" i="13" s="1"/>
  <c r="I22" i="13"/>
  <c r="Q22" i="13" s="1"/>
  <c r="I23" i="13"/>
  <c r="Q23" i="13" s="1"/>
  <c r="I24" i="13"/>
  <c r="Q24" i="13" s="1"/>
  <c r="I25" i="13"/>
  <c r="Q25" i="13" s="1"/>
  <c r="I26" i="13"/>
  <c r="Q26" i="13" s="1"/>
  <c r="I27" i="13"/>
  <c r="Q27" i="13" s="1"/>
  <c r="I28" i="13"/>
  <c r="Q28" i="13" s="1"/>
  <c r="I29" i="13"/>
  <c r="Q29" i="13" s="1"/>
  <c r="I30" i="13"/>
  <c r="Q30" i="13" s="1"/>
  <c r="I31" i="13"/>
  <c r="Q31" i="13" s="1"/>
  <c r="I32" i="13"/>
  <c r="Q32" i="13" s="1"/>
  <c r="I33" i="13"/>
  <c r="Q33" i="13" s="1"/>
  <c r="I34" i="13"/>
  <c r="Q34" i="13" s="1"/>
  <c r="I35" i="13"/>
  <c r="Q35" i="13" s="1"/>
  <c r="I36" i="13"/>
  <c r="Q36" i="13" s="1"/>
  <c r="I37" i="13"/>
  <c r="Q37" i="13" s="1"/>
  <c r="I38" i="13"/>
  <c r="Q38" i="13" s="1"/>
  <c r="I39" i="13"/>
  <c r="Q39" i="13" s="1"/>
  <c r="I40" i="13"/>
  <c r="Q40" i="13" s="1"/>
  <c r="I41" i="13"/>
  <c r="Q41" i="13" s="1"/>
  <c r="I42" i="13"/>
  <c r="Q42" i="13" s="1"/>
  <c r="I43" i="13"/>
  <c r="Q43" i="13" s="1"/>
  <c r="I44" i="13"/>
  <c r="I45" i="13"/>
  <c r="I46" i="13"/>
  <c r="I47" i="13"/>
  <c r="I8" i="13"/>
  <c r="Q8" i="13" s="1"/>
  <c r="S8" i="13" s="1"/>
  <c r="H24" i="22" l="1"/>
  <c r="C26" i="22"/>
  <c r="G25" i="22"/>
  <c r="E25" i="22"/>
  <c r="D25" i="22"/>
  <c r="F25" i="22"/>
  <c r="T8" i="13"/>
  <c r="T11" i="13"/>
  <c r="L47" i="13"/>
  <c r="T43" i="13"/>
  <c r="S43" i="13"/>
  <c r="T42" i="13"/>
  <c r="S42" i="13"/>
  <c r="T41" i="13"/>
  <c r="S41" i="13"/>
  <c r="T40" i="13"/>
  <c r="S40" i="13"/>
  <c r="T39" i="13"/>
  <c r="S39" i="13"/>
  <c r="T38" i="13"/>
  <c r="S38" i="13"/>
  <c r="T37" i="13"/>
  <c r="S37" i="13"/>
  <c r="T36" i="13"/>
  <c r="S36" i="13"/>
  <c r="T35" i="13"/>
  <c r="S35" i="13"/>
  <c r="T34" i="13"/>
  <c r="S34" i="13"/>
  <c r="T33" i="13"/>
  <c r="S33" i="13"/>
  <c r="T32" i="13"/>
  <c r="S32" i="13"/>
  <c r="T31" i="13"/>
  <c r="S31" i="13"/>
  <c r="T30" i="13"/>
  <c r="S30" i="13"/>
  <c r="T29" i="13"/>
  <c r="S29" i="13"/>
  <c r="T28" i="13"/>
  <c r="S28" i="13"/>
  <c r="T27" i="13"/>
  <c r="S27" i="13"/>
  <c r="T26" i="13"/>
  <c r="S26" i="13"/>
  <c r="AB29" i="13"/>
  <c r="Z41" i="13"/>
  <c r="AG31" i="13"/>
  <c r="AB35" i="13"/>
  <c r="Z35" i="13"/>
  <c r="Z39" i="13"/>
  <c r="AB28" i="13"/>
  <c r="AG30" i="13"/>
  <c r="AB27" i="13"/>
  <c r="AE28" i="13"/>
  <c r="AG28" i="13"/>
  <c r="AE42" i="13"/>
  <c r="AB31" i="13"/>
  <c r="AG33" i="13"/>
  <c r="Z29" i="13"/>
  <c r="AG37" i="13"/>
  <c r="AE37" i="13"/>
  <c r="Z28" i="13"/>
  <c r="AE41" i="13"/>
  <c r="AE43" i="13"/>
  <c r="AE38" i="13"/>
  <c r="AG36" i="13"/>
  <c r="AG35" i="13"/>
  <c r="AB30" i="13"/>
  <c r="Z34" i="13"/>
  <c r="AB33" i="13"/>
  <c r="AB32" i="13"/>
  <c r="AB39" i="13"/>
  <c r="Z33" i="13"/>
  <c r="AG38" i="13"/>
  <c r="Z27" i="13"/>
  <c r="AE36" i="13"/>
  <c r="AE26" i="13"/>
  <c r="AB34" i="13"/>
  <c r="Z37" i="13"/>
  <c r="Z38" i="13"/>
  <c r="AE29" i="13"/>
  <c r="Z36" i="13"/>
  <c r="AE35" i="13"/>
  <c r="AE30" i="13"/>
  <c r="AB43" i="13"/>
  <c r="AG39" i="13"/>
  <c r="AG29" i="13"/>
  <c r="AB41" i="13"/>
  <c r="AB40" i="13"/>
  <c r="AG42" i="13"/>
  <c r="Z26" i="13"/>
  <c r="Z42" i="13"/>
  <c r="Z40" i="13"/>
  <c r="Z30" i="13"/>
  <c r="AG32" i="13"/>
  <c r="AG41" i="13"/>
  <c r="AG43" i="13"/>
  <c r="AB37" i="13"/>
  <c r="AG40" i="13"/>
  <c r="Z32" i="13"/>
  <c r="AE32" i="13"/>
  <c r="AG26" i="13"/>
  <c r="Z43" i="13"/>
  <c r="AE39" i="13"/>
  <c r="AE31" i="13"/>
  <c r="AE33" i="13"/>
  <c r="AB42" i="13"/>
  <c r="AB38" i="13"/>
  <c r="AE34" i="13"/>
  <c r="AG34" i="13"/>
  <c r="Z31" i="13"/>
  <c r="AB26" i="13"/>
  <c r="AE27" i="13"/>
  <c r="AE40" i="13"/>
  <c r="AB36" i="13"/>
  <c r="AG27" i="13"/>
  <c r="C27" i="22" l="1"/>
  <c r="G26" i="22"/>
  <c r="E26" i="22"/>
  <c r="D26" i="22"/>
  <c r="F26" i="22"/>
  <c r="H25" i="22"/>
  <c r="AD33" i="13"/>
  <c r="AH33" i="13" s="1"/>
  <c r="AI33" i="13"/>
  <c r="AK33" i="13" s="1"/>
  <c r="AD30" i="13"/>
  <c r="AH30" i="13" s="1"/>
  <c r="AI30" i="13"/>
  <c r="AK30" i="13" s="1"/>
  <c r="AD38" i="13"/>
  <c r="AH38" i="13" s="1"/>
  <c r="AI38" i="13"/>
  <c r="AK38" i="13" s="1"/>
  <c r="AI42" i="13"/>
  <c r="AK42" i="13" s="1"/>
  <c r="AD42" i="13"/>
  <c r="AH42" i="13" s="1"/>
  <c r="AI34" i="13"/>
  <c r="AK34" i="13" s="1"/>
  <c r="AD34" i="13"/>
  <c r="AH34" i="13" s="1"/>
  <c r="AD43" i="13"/>
  <c r="AH43" i="13" s="1"/>
  <c r="AI43" i="13"/>
  <c r="AK43" i="13" s="1"/>
  <c r="AD37" i="13"/>
  <c r="AH37" i="13" s="1"/>
  <c r="AI37" i="13"/>
  <c r="AK37" i="13" s="1"/>
  <c r="AD26" i="13"/>
  <c r="AH26" i="13" s="1"/>
  <c r="AI26" i="13"/>
  <c r="AK26" i="13" s="1"/>
  <c r="AI31" i="13"/>
  <c r="AK31" i="13" s="1"/>
  <c r="AD31" i="13"/>
  <c r="AH31" i="13" s="1"/>
  <c r="AI35" i="13"/>
  <c r="AK35" i="13" s="1"/>
  <c r="AD35" i="13"/>
  <c r="AH35" i="13" s="1"/>
  <c r="AD39" i="13"/>
  <c r="AH39" i="13" s="1"/>
  <c r="AI39" i="13"/>
  <c r="AK39" i="13" s="1"/>
  <c r="AD29" i="13"/>
  <c r="AH29" i="13" s="1"/>
  <c r="AI29" i="13"/>
  <c r="AK29" i="13" s="1"/>
  <c r="AD40" i="13"/>
  <c r="AH40" i="13" s="1"/>
  <c r="AI40" i="13"/>
  <c r="AK40" i="13" s="1"/>
  <c r="AD41" i="13"/>
  <c r="AH41" i="13" s="1"/>
  <c r="AI41" i="13"/>
  <c r="AK41" i="13" s="1"/>
  <c r="AI27" i="13"/>
  <c r="AK27" i="13" s="1"/>
  <c r="AD27" i="13"/>
  <c r="AH27" i="13" s="1"/>
  <c r="AI28" i="13"/>
  <c r="AK28" i="13" s="1"/>
  <c r="AD28" i="13"/>
  <c r="AH28" i="13" s="1"/>
  <c r="AI32" i="13"/>
  <c r="AK32" i="13" s="1"/>
  <c r="AD32" i="13"/>
  <c r="AH32" i="13" s="1"/>
  <c r="AD36" i="13"/>
  <c r="AH36" i="13" s="1"/>
  <c r="AI36" i="13"/>
  <c r="AK36" i="13" s="1"/>
  <c r="AA30" i="13"/>
  <c r="AC39" i="13"/>
  <c r="AC35" i="13"/>
  <c r="AA34" i="13"/>
  <c r="AA32" i="13"/>
  <c r="AC26" i="13"/>
  <c r="AC33" i="13"/>
  <c r="AC29" i="13"/>
  <c r="AC34" i="13"/>
  <c r="AC37" i="13"/>
  <c r="AC27" i="13"/>
  <c r="AC40" i="13"/>
  <c r="AC43" i="13"/>
  <c r="AA40" i="13"/>
  <c r="AA38" i="13"/>
  <c r="AC38" i="13"/>
  <c r="AC28" i="13"/>
  <c r="AC41" i="13"/>
  <c r="AC31" i="13"/>
  <c r="AA28" i="13"/>
  <c r="AA26" i="13"/>
  <c r="AA42" i="13"/>
  <c r="AC42" i="13"/>
  <c r="AC36" i="13"/>
  <c r="AC30" i="13"/>
  <c r="AC32" i="13"/>
  <c r="S14" i="13"/>
  <c r="S16" i="13"/>
  <c r="S9" i="13"/>
  <c r="S11" i="13"/>
  <c r="T13" i="13"/>
  <c r="S13" i="13"/>
  <c r="T15" i="13"/>
  <c r="S15" i="13"/>
  <c r="S17" i="13"/>
  <c r="T17" i="13"/>
  <c r="T19" i="13"/>
  <c r="S19" i="13"/>
  <c r="T21" i="13"/>
  <c r="S21" i="13"/>
  <c r="S10" i="13"/>
  <c r="S12" i="13"/>
  <c r="S18" i="13"/>
  <c r="S20" i="13"/>
  <c r="S22" i="13"/>
  <c r="S25" i="13"/>
  <c r="T23" i="13"/>
  <c r="S23" i="13"/>
  <c r="S24" i="13"/>
  <c r="T24" i="13"/>
  <c r="T14" i="13"/>
  <c r="T18" i="13"/>
  <c r="T20" i="13"/>
  <c r="T12" i="13"/>
  <c r="T16" i="13"/>
  <c r="T22" i="13"/>
  <c r="T9" i="13"/>
  <c r="T25" i="13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W6" i="12"/>
  <c r="U7" i="7"/>
  <c r="X17" i="12"/>
  <c r="Z18" i="13"/>
  <c r="Z14" i="13"/>
  <c r="AG23" i="13"/>
  <c r="U26" i="12"/>
  <c r="X28" i="12"/>
  <c r="Z23" i="12"/>
  <c r="AE40" i="12"/>
  <c r="Z22" i="12"/>
  <c r="AE12" i="12"/>
  <c r="AG12" i="13"/>
  <c r="AG15" i="13"/>
  <c r="AE15" i="13"/>
  <c r="Z16" i="12"/>
  <c r="Z17" i="12"/>
  <c r="X40" i="12"/>
  <c r="Z11" i="13"/>
  <c r="U34" i="12"/>
  <c r="Z28" i="12"/>
  <c r="U19" i="12"/>
  <c r="X43" i="12"/>
  <c r="X38" i="12"/>
  <c r="AE47" i="12"/>
  <c r="U47" i="12"/>
  <c r="U14" i="12"/>
  <c r="AE18" i="12"/>
  <c r="AG24" i="13"/>
  <c r="AG11" i="13"/>
  <c r="AE43" i="12"/>
  <c r="U44" i="12"/>
  <c r="X29" i="12"/>
  <c r="AG21" i="13"/>
  <c r="Z26" i="12"/>
  <c r="Z33" i="12"/>
  <c r="AE23" i="13"/>
  <c r="U16" i="12"/>
  <c r="Z25" i="13"/>
  <c r="AE26" i="12"/>
  <c r="U43" i="12"/>
  <c r="U45" i="12"/>
  <c r="X35" i="12"/>
  <c r="Z20" i="12"/>
  <c r="U17" i="12"/>
  <c r="AE10" i="13"/>
  <c r="Z21" i="13"/>
  <c r="X22" i="12"/>
  <c r="X24" i="12"/>
  <c r="Z10" i="13"/>
  <c r="AG12" i="12"/>
  <c r="AE19" i="13"/>
  <c r="Z19" i="13"/>
  <c r="X20" i="12"/>
  <c r="U27" i="12"/>
  <c r="Z12" i="13"/>
  <c r="Z14" i="12"/>
  <c r="AE14" i="13"/>
  <c r="AE23" i="12"/>
  <c r="AE46" i="12"/>
  <c r="U18" i="12"/>
  <c r="AE22" i="13"/>
  <c r="Z46" i="12"/>
  <c r="Z47" i="12"/>
  <c r="AG14" i="13"/>
  <c r="AE19" i="12"/>
  <c r="AE25" i="13"/>
  <c r="AE42" i="12"/>
  <c r="AE17" i="13"/>
  <c r="X19" i="12"/>
  <c r="AE38" i="12"/>
  <c r="U33" i="12"/>
  <c r="AE29" i="12"/>
  <c r="AG10" i="13"/>
  <c r="X26" i="12"/>
  <c r="U35" i="12"/>
  <c r="AG22" i="13"/>
  <c r="Z18" i="12"/>
  <c r="AE15" i="12"/>
  <c r="AE16" i="12"/>
  <c r="X44" i="12"/>
  <c r="X25" i="12"/>
  <c r="U39" i="12"/>
  <c r="X32" i="12"/>
  <c r="U31" i="12"/>
  <c r="Z40" i="12"/>
  <c r="AG25" i="13"/>
  <c r="Z42" i="12"/>
  <c r="X33" i="12"/>
  <c r="AE16" i="13"/>
  <c r="Z24" i="12"/>
  <c r="U37" i="12"/>
  <c r="X36" i="12"/>
  <c r="AE41" i="12"/>
  <c r="U29" i="12"/>
  <c r="Z21" i="12"/>
  <c r="U46" i="12"/>
  <c r="AE31" i="12"/>
  <c r="X18" i="12"/>
  <c r="Z31" i="12"/>
  <c r="AE22" i="12"/>
  <c r="U24" i="12"/>
  <c r="X13" i="12"/>
  <c r="X12" i="12"/>
  <c r="Z20" i="13"/>
  <c r="X23" i="12"/>
  <c r="AE39" i="12"/>
  <c r="X27" i="12"/>
  <c r="AE30" i="12"/>
  <c r="X45" i="12"/>
  <c r="U20" i="12"/>
  <c r="Z15" i="12"/>
  <c r="AG20" i="13"/>
  <c r="X31" i="12"/>
  <c r="Z41" i="12"/>
  <c r="Z13" i="12"/>
  <c r="Z45" i="12"/>
  <c r="AE20" i="13"/>
  <c r="X42" i="12"/>
  <c r="AE35" i="12"/>
  <c r="U12" i="12"/>
  <c r="U13" i="12"/>
  <c r="Z34" i="12"/>
  <c r="AG16" i="13"/>
  <c r="Z43" i="12"/>
  <c r="Z12" i="12"/>
  <c r="Z15" i="13"/>
  <c r="AE34" i="12"/>
  <c r="U23" i="12"/>
  <c r="AE21" i="13"/>
  <c r="X15" i="12"/>
  <c r="U32" i="12"/>
  <c r="Z37" i="12"/>
  <c r="AE20" i="12"/>
  <c r="Z23" i="13"/>
  <c r="Z39" i="12"/>
  <c r="Z38" i="12"/>
  <c r="U36" i="12"/>
  <c r="U42" i="12"/>
  <c r="Z16" i="13"/>
  <c r="X21" i="12"/>
  <c r="Z30" i="12"/>
  <c r="Z44" i="12"/>
  <c r="AE14" i="12"/>
  <c r="AE27" i="12"/>
  <c r="AE13" i="13"/>
  <c r="U22" i="12"/>
  <c r="Z25" i="12"/>
  <c r="AG13" i="13"/>
  <c r="X37" i="12"/>
  <c r="Z13" i="13"/>
  <c r="AE24" i="12"/>
  <c r="U38" i="12"/>
  <c r="AE18" i="13"/>
  <c r="X41" i="12"/>
  <c r="Z24" i="13"/>
  <c r="U21" i="12"/>
  <c r="U30" i="12"/>
  <c r="Z29" i="12"/>
  <c r="X16" i="12"/>
  <c r="AE32" i="12"/>
  <c r="Z17" i="13"/>
  <c r="Z27" i="12"/>
  <c r="AG17" i="13"/>
  <c r="AG18" i="13"/>
  <c r="X30" i="12"/>
  <c r="Z19" i="12"/>
  <c r="AE37" i="12"/>
  <c r="AG19" i="13"/>
  <c r="U40" i="12"/>
  <c r="AE13" i="12"/>
  <c r="AE24" i="13"/>
  <c r="X47" i="12"/>
  <c r="U15" i="12"/>
  <c r="X34" i="12"/>
  <c r="AE25" i="12"/>
  <c r="AE21" i="12"/>
  <c r="U25" i="12"/>
  <c r="AE45" i="12"/>
  <c r="Z36" i="12"/>
  <c r="Z22" i="13"/>
  <c r="X14" i="12"/>
  <c r="AE33" i="12"/>
  <c r="AE11" i="13"/>
  <c r="AE28" i="12"/>
  <c r="AE12" i="13"/>
  <c r="Z35" i="12"/>
  <c r="U41" i="12"/>
  <c r="U28" i="12"/>
  <c r="X39" i="12"/>
  <c r="AE17" i="12"/>
  <c r="AE44" i="12"/>
  <c r="AE36" i="12"/>
  <c r="X46" i="12"/>
  <c r="Z32" i="12"/>
  <c r="H26" i="22" l="1"/>
  <c r="C28" i="22"/>
  <c r="G27" i="22"/>
  <c r="E27" i="22"/>
  <c r="D27" i="22"/>
  <c r="F27" i="22"/>
  <c r="AF37" i="13"/>
  <c r="AI8" i="13"/>
  <c r="AL8" i="13"/>
  <c r="AF39" i="13"/>
  <c r="AF38" i="13"/>
  <c r="AF40" i="13"/>
  <c r="AD20" i="13"/>
  <c r="AH20" i="13" s="1"/>
  <c r="AI20" i="13"/>
  <c r="AK20" i="13" s="1"/>
  <c r="AI18" i="13"/>
  <c r="AK18" i="13" s="1"/>
  <c r="AD18" i="13"/>
  <c r="AH18" i="13" s="1"/>
  <c r="AD17" i="13"/>
  <c r="AH17" i="13" s="1"/>
  <c r="AI17" i="13"/>
  <c r="AK17" i="13" s="1"/>
  <c r="AD14" i="13"/>
  <c r="AH14" i="13" s="1"/>
  <c r="AI14" i="13"/>
  <c r="AK14" i="13" s="1"/>
  <c r="AD19" i="13"/>
  <c r="AH19" i="13" s="1"/>
  <c r="AI19" i="13"/>
  <c r="AK19" i="13" s="1"/>
  <c r="AD25" i="13"/>
  <c r="AH25" i="13" s="1"/>
  <c r="AI25" i="13"/>
  <c r="AK25" i="13" s="1"/>
  <c r="AI24" i="13"/>
  <c r="AK24" i="13" s="1"/>
  <c r="AD24" i="13"/>
  <c r="AH24" i="13" s="1"/>
  <c r="AI12" i="13"/>
  <c r="AK12" i="13" s="1"/>
  <c r="AD12" i="13"/>
  <c r="AH12" i="13" s="1"/>
  <c r="AD10" i="13"/>
  <c r="AF10" i="13" s="1"/>
  <c r="AI10" i="13"/>
  <c r="AK10" i="13" s="1"/>
  <c r="AI15" i="13"/>
  <c r="AK15" i="13" s="1"/>
  <c r="AD15" i="13"/>
  <c r="AH15" i="13" s="1"/>
  <c r="AD11" i="13"/>
  <c r="AF11" i="13" s="1"/>
  <c r="AI11" i="13"/>
  <c r="AK11" i="13" s="1"/>
  <c r="AD22" i="13"/>
  <c r="AH22" i="13" s="1"/>
  <c r="AI22" i="13"/>
  <c r="AK22" i="13" s="1"/>
  <c r="AD16" i="13"/>
  <c r="AH16" i="13" s="1"/>
  <c r="AI16" i="13"/>
  <c r="AK16" i="13" s="1"/>
  <c r="AI23" i="13"/>
  <c r="AK23" i="13" s="1"/>
  <c r="AD23" i="13"/>
  <c r="AH23" i="13" s="1"/>
  <c r="AD21" i="13"/>
  <c r="AH21" i="13" s="1"/>
  <c r="AI21" i="13"/>
  <c r="AK21" i="13" s="1"/>
  <c r="AI13" i="13"/>
  <c r="AK13" i="13" s="1"/>
  <c r="AD13" i="13"/>
  <c r="AH13" i="13" s="1"/>
  <c r="AF36" i="13"/>
  <c r="AF28" i="13"/>
  <c r="AF41" i="13"/>
  <c r="AF29" i="13"/>
  <c r="AF35" i="13"/>
  <c r="AF26" i="13"/>
  <c r="AF43" i="13"/>
  <c r="AF42" i="13"/>
  <c r="AF30" i="13"/>
  <c r="AG8" i="13"/>
  <c r="AD8" i="13"/>
  <c r="AE8" i="13"/>
  <c r="AF32" i="13"/>
  <c r="AF27" i="13"/>
  <c r="AF31" i="13"/>
  <c r="AF34" i="13"/>
  <c r="AF33" i="13"/>
  <c r="AA8" i="13"/>
  <c r="AI12" i="12"/>
  <c r="X8" i="12"/>
  <c r="AF43" i="12"/>
  <c r="AB43" i="12"/>
  <c r="AF14" i="12"/>
  <c r="AB14" i="12"/>
  <c r="AF23" i="12"/>
  <c r="AB23" i="12"/>
  <c r="AF27" i="12"/>
  <c r="AB27" i="12"/>
  <c r="AF35" i="12"/>
  <c r="AB35" i="12"/>
  <c r="AB12" i="12"/>
  <c r="AF12" i="12"/>
  <c r="AF20" i="12"/>
  <c r="AB20" i="12"/>
  <c r="AF28" i="12"/>
  <c r="AB28" i="12"/>
  <c r="AF36" i="12"/>
  <c r="AB36" i="12"/>
  <c r="AF44" i="12"/>
  <c r="AB44" i="12"/>
  <c r="AF30" i="12"/>
  <c r="AB30" i="12"/>
  <c r="AF16" i="12"/>
  <c r="AB16" i="12"/>
  <c r="AF19" i="12"/>
  <c r="AB19" i="12"/>
  <c r="AF13" i="12"/>
  <c r="AB13" i="12"/>
  <c r="AF21" i="12"/>
  <c r="AB21" i="12"/>
  <c r="AF29" i="12"/>
  <c r="AB29" i="12"/>
  <c r="AF37" i="12"/>
  <c r="AB37" i="12"/>
  <c r="AF45" i="12"/>
  <c r="AB45" i="12"/>
  <c r="AF38" i="12"/>
  <c r="AB38" i="12"/>
  <c r="AF46" i="12"/>
  <c r="AB46" i="12"/>
  <c r="AF39" i="12"/>
  <c r="AB39" i="12"/>
  <c r="AF47" i="12"/>
  <c r="AB47" i="12"/>
  <c r="AF15" i="12"/>
  <c r="AB15" i="12"/>
  <c r="AF32" i="12"/>
  <c r="AB32" i="12"/>
  <c r="AF40" i="12"/>
  <c r="AB40" i="12"/>
  <c r="AF41" i="12"/>
  <c r="AB41" i="12"/>
  <c r="AF22" i="12"/>
  <c r="AB22" i="12"/>
  <c r="AF31" i="12"/>
  <c r="AB31" i="12"/>
  <c r="AF24" i="12"/>
  <c r="AB24" i="12"/>
  <c r="AF17" i="12"/>
  <c r="AB17" i="12"/>
  <c r="AF25" i="12"/>
  <c r="AB25" i="12"/>
  <c r="AF33" i="12"/>
  <c r="AB33" i="12"/>
  <c r="AF18" i="12"/>
  <c r="AB18" i="12"/>
  <c r="AF26" i="12"/>
  <c r="AB26" i="12"/>
  <c r="AF34" i="12"/>
  <c r="AB34" i="12"/>
  <c r="AF42" i="12"/>
  <c r="AB42" i="12"/>
  <c r="AA36" i="13"/>
  <c r="Z3" i="13"/>
  <c r="Z4" i="13" s="1"/>
  <c r="V45" i="12"/>
  <c r="V47" i="12"/>
  <c r="V25" i="12"/>
  <c r="V41" i="12"/>
  <c r="V17" i="12"/>
  <c r="V36" i="12"/>
  <c r="V15" i="12"/>
  <c r="V44" i="12"/>
  <c r="V40" i="12"/>
  <c r="V34" i="12"/>
  <c r="V27" i="12"/>
  <c r="V18" i="12"/>
  <c r="V32" i="12"/>
  <c r="V21" i="12"/>
  <c r="V38" i="12"/>
  <c r="V22" i="12"/>
  <c r="V24" i="12"/>
  <c r="V33" i="12"/>
  <c r="V43" i="12"/>
  <c r="V35" i="12"/>
  <c r="V13" i="12"/>
  <c r="V42" i="12"/>
  <c r="V19" i="12"/>
  <c r="V29" i="12"/>
  <c r="V30" i="12"/>
  <c r="V37" i="12"/>
  <c r="V28" i="12"/>
  <c r="V20" i="12"/>
  <c r="V23" i="12"/>
  <c r="V26" i="12"/>
  <c r="V46" i="12"/>
  <c r="V14" i="12"/>
  <c r="V31" i="12"/>
  <c r="V39" i="12"/>
  <c r="V16" i="12"/>
  <c r="V12" i="12"/>
  <c r="AA29" i="13"/>
  <c r="AA31" i="13"/>
  <c r="AA35" i="13"/>
  <c r="AA39" i="13"/>
  <c r="AA43" i="13"/>
  <c r="AA33" i="13"/>
  <c r="AA37" i="13"/>
  <c r="AA27" i="13"/>
  <c r="AA41" i="13"/>
  <c r="AA10" i="13"/>
  <c r="Y15" i="12"/>
  <c r="Y16" i="12"/>
  <c r="Y21" i="12"/>
  <c r="Y22" i="12"/>
  <c r="Y23" i="12"/>
  <c r="Y24" i="12"/>
  <c r="Y25" i="12"/>
  <c r="Y30" i="12"/>
  <c r="Y31" i="12"/>
  <c r="Y32" i="12"/>
  <c r="Y37" i="12"/>
  <c r="Y38" i="12"/>
  <c r="Y39" i="12"/>
  <c r="Y40" i="12"/>
  <c r="Y41" i="12"/>
  <c r="Y42" i="12"/>
  <c r="Y44" i="12"/>
  <c r="Y45" i="12"/>
  <c r="Y47" i="12"/>
  <c r="Y18" i="12"/>
  <c r="Y19" i="12"/>
  <c r="Y26" i="12"/>
  <c r="Y28" i="12"/>
  <c r="Y29" i="12"/>
  <c r="Y33" i="12"/>
  <c r="Y34" i="12"/>
  <c r="Y35" i="12"/>
  <c r="Y36" i="12"/>
  <c r="Y43" i="12"/>
  <c r="Y46" i="12"/>
  <c r="Y12" i="12"/>
  <c r="Y13" i="12"/>
  <c r="Y14" i="12"/>
  <c r="Y17" i="12"/>
  <c r="Y20" i="12"/>
  <c r="Y27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AB22" i="13"/>
  <c r="AB18" i="13"/>
  <c r="AB19" i="13"/>
  <c r="AB13" i="13"/>
  <c r="AB16" i="13"/>
  <c r="AB12" i="13"/>
  <c r="AB17" i="13"/>
  <c r="AB25" i="13"/>
  <c r="AB10" i="13"/>
  <c r="AB21" i="13"/>
  <c r="AB23" i="13"/>
  <c r="AB15" i="13"/>
  <c r="AB20" i="13"/>
  <c r="AB24" i="13"/>
  <c r="AB11" i="13"/>
  <c r="AB14" i="13"/>
  <c r="H27" i="22" l="1"/>
  <c r="C29" i="22"/>
  <c r="F28" i="22"/>
  <c r="G28" i="22"/>
  <c r="E28" i="22"/>
  <c r="D28" i="22"/>
  <c r="AH11" i="13"/>
  <c r="AF12" i="13"/>
  <c r="AF13" i="13"/>
  <c r="AF8" i="13"/>
  <c r="AH10" i="13"/>
  <c r="AF23" i="13"/>
  <c r="AF22" i="13"/>
  <c r="AF15" i="13"/>
  <c r="AF25" i="13"/>
  <c r="AF14" i="13"/>
  <c r="AF18" i="13"/>
  <c r="AH8" i="13"/>
  <c r="AF21" i="13"/>
  <c r="AF16" i="13"/>
  <c r="AF24" i="13"/>
  <c r="AF19" i="13"/>
  <c r="AF17" i="13"/>
  <c r="AF20" i="13"/>
  <c r="AF8" i="12"/>
  <c r="AB51" i="12" s="1"/>
  <c r="AB8" i="12"/>
  <c r="W51" i="12" s="1"/>
  <c r="V8" i="12"/>
  <c r="AA23" i="13"/>
  <c r="AA16" i="13"/>
  <c r="AA19" i="13"/>
  <c r="AC11" i="13"/>
  <c r="AC13" i="13"/>
  <c r="AC19" i="13"/>
  <c r="AC16" i="13"/>
  <c r="AA15" i="13"/>
  <c r="AA18" i="13"/>
  <c r="AA13" i="13"/>
  <c r="AA20" i="13"/>
  <c r="AC22" i="13"/>
  <c r="AA22" i="13"/>
  <c r="AC23" i="13"/>
  <c r="AC15" i="13"/>
  <c r="AA12" i="13"/>
  <c r="AA24" i="13"/>
  <c r="AA14" i="13"/>
  <c r="AA25" i="13"/>
  <c r="AC18" i="13"/>
  <c r="AC17" i="13"/>
  <c r="AC21" i="13"/>
  <c r="AC14" i="13"/>
  <c r="AA17" i="13"/>
  <c r="AA11" i="13"/>
  <c r="AA21" i="13"/>
  <c r="AC10" i="13"/>
  <c r="AC20" i="13"/>
  <c r="AC12" i="13"/>
  <c r="AC24" i="13"/>
  <c r="AC25" i="13"/>
  <c r="H28" i="22" l="1"/>
  <c r="C30" i="22"/>
  <c r="D29" i="22"/>
  <c r="F29" i="22"/>
  <c r="G29" i="22"/>
  <c r="E29" i="22"/>
  <c r="X53" i="12"/>
  <c r="Y53" i="12" s="1"/>
  <c r="X60" i="12"/>
  <c r="Y60" i="12" s="1"/>
  <c r="X61" i="12"/>
  <c r="Y61" i="12" s="1"/>
  <c r="X56" i="12"/>
  <c r="Y56" i="12" s="1"/>
  <c r="X59" i="12"/>
  <c r="Y59" i="12" s="1"/>
  <c r="X57" i="12"/>
  <c r="Y57" i="12" s="1"/>
  <c r="X54" i="12"/>
  <c r="Y54" i="12" s="1"/>
  <c r="X58" i="12"/>
  <c r="Y58" i="12" s="1"/>
  <c r="X62" i="12"/>
  <c r="Y62" i="12" s="1"/>
  <c r="X55" i="12"/>
  <c r="Y55" i="12" s="1"/>
  <c r="X52" i="12"/>
  <c r="Y52" i="12" s="1"/>
  <c r="C31" i="22" l="1"/>
  <c r="D30" i="22"/>
  <c r="F30" i="22"/>
  <c r="G30" i="22"/>
  <c r="E30" i="22"/>
  <c r="H29" i="22"/>
  <c r="AB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35" i="7"/>
  <c r="AB36" i="7"/>
  <c r="AB37" i="7"/>
  <c r="AB38" i="7"/>
  <c r="AB39" i="7"/>
  <c r="AB40" i="7"/>
  <c r="AB41" i="7"/>
  <c r="AB42" i="7"/>
  <c r="AB7" i="7"/>
  <c r="U46" i="7"/>
  <c r="O46" i="7"/>
  <c r="H46" i="7"/>
  <c r="U42" i="7"/>
  <c r="H42" i="7"/>
  <c r="U41" i="7"/>
  <c r="H41" i="7"/>
  <c r="U40" i="7"/>
  <c r="H40" i="7"/>
  <c r="U39" i="7"/>
  <c r="H39" i="7"/>
  <c r="U38" i="7"/>
  <c r="H38" i="7"/>
  <c r="U37" i="7"/>
  <c r="H37" i="7"/>
  <c r="U36" i="7"/>
  <c r="H36" i="7"/>
  <c r="U35" i="7"/>
  <c r="H35" i="7"/>
  <c r="U34" i="7"/>
  <c r="H34" i="7"/>
  <c r="U33" i="7"/>
  <c r="H33" i="7"/>
  <c r="U32" i="7"/>
  <c r="H32" i="7"/>
  <c r="U31" i="7"/>
  <c r="H31" i="7"/>
  <c r="U30" i="7"/>
  <c r="H30" i="7"/>
  <c r="U29" i="7"/>
  <c r="H29" i="7"/>
  <c r="U28" i="7"/>
  <c r="H28" i="7"/>
  <c r="U27" i="7"/>
  <c r="H27" i="7"/>
  <c r="U26" i="7"/>
  <c r="H26" i="7"/>
  <c r="U25" i="7"/>
  <c r="H25" i="7"/>
  <c r="U24" i="7"/>
  <c r="H24" i="7"/>
  <c r="U23" i="7"/>
  <c r="H23" i="7"/>
  <c r="U22" i="7"/>
  <c r="H22" i="7"/>
  <c r="U21" i="7"/>
  <c r="H21" i="7"/>
  <c r="U20" i="7"/>
  <c r="H20" i="7"/>
  <c r="U19" i="7"/>
  <c r="H19" i="7"/>
  <c r="U18" i="7"/>
  <c r="H18" i="7"/>
  <c r="U17" i="7"/>
  <c r="H17" i="7"/>
  <c r="U16" i="7"/>
  <c r="H16" i="7"/>
  <c r="U15" i="7"/>
  <c r="H15" i="7"/>
  <c r="U14" i="7"/>
  <c r="H14" i="7"/>
  <c r="U13" i="7"/>
  <c r="H13" i="7"/>
  <c r="U12" i="7"/>
  <c r="H12" i="7"/>
  <c r="U11" i="7"/>
  <c r="H11" i="7"/>
  <c r="U10" i="7"/>
  <c r="H10" i="7"/>
  <c r="U9" i="7"/>
  <c r="H9" i="7"/>
  <c r="U8" i="7"/>
  <c r="H8" i="7"/>
  <c r="H7" i="7"/>
  <c r="W8" i="7"/>
  <c r="W11" i="7"/>
  <c r="Y31" i="7"/>
  <c r="W36" i="7"/>
  <c r="W29" i="7"/>
  <c r="W24" i="7"/>
  <c r="W41" i="7"/>
  <c r="R46" i="7"/>
  <c r="W42" i="7"/>
  <c r="Y20" i="7"/>
  <c r="Y15" i="7"/>
  <c r="W30" i="7"/>
  <c r="W23" i="7"/>
  <c r="P46" i="7"/>
  <c r="W20" i="7"/>
  <c r="W27" i="7"/>
  <c r="W21" i="7"/>
  <c r="W17" i="7"/>
  <c r="Y22" i="7"/>
  <c r="W19" i="7"/>
  <c r="Y17" i="7"/>
  <c r="W7" i="7"/>
  <c r="W22" i="7"/>
  <c r="Y30" i="7"/>
  <c r="Y37" i="7"/>
  <c r="Q46" i="7"/>
  <c r="Y21" i="7"/>
  <c r="Y8" i="7"/>
  <c r="Y19" i="7"/>
  <c r="Y7" i="7"/>
  <c r="Y32" i="7"/>
  <c r="Y13" i="7"/>
  <c r="Y27" i="7"/>
  <c r="Y14" i="7"/>
  <c r="W37" i="7"/>
  <c r="Y36" i="7"/>
  <c r="Y34" i="7"/>
  <c r="Y9" i="7"/>
  <c r="W28" i="7"/>
  <c r="W12" i="7"/>
  <c r="W32" i="7"/>
  <c r="W15" i="7"/>
  <c r="W38" i="7"/>
  <c r="W13" i="7"/>
  <c r="Y41" i="7"/>
  <c r="Y16" i="7"/>
  <c r="Y40" i="7"/>
  <c r="Y26" i="7"/>
  <c r="Y35" i="7"/>
  <c r="Y28" i="7"/>
  <c r="W33" i="7"/>
  <c r="W25" i="7"/>
  <c r="W16" i="7"/>
  <c r="Y18" i="7"/>
  <c r="Y23" i="7"/>
  <c r="W46" i="7"/>
  <c r="W34" i="7"/>
  <c r="W9" i="7"/>
  <c r="W31" i="7"/>
  <c r="W14" i="7"/>
  <c r="Y33" i="7"/>
  <c r="Y24" i="7"/>
  <c r="W40" i="7"/>
  <c r="W10" i="7"/>
  <c r="W35" i="7"/>
  <c r="Y29" i="7"/>
  <c r="Y39" i="7"/>
  <c r="Y11" i="7"/>
  <c r="Y42" i="7"/>
  <c r="Y12" i="7"/>
  <c r="W18" i="7"/>
  <c r="Y25" i="7"/>
  <c r="Y10" i="7"/>
  <c r="Y38" i="7"/>
  <c r="W39" i="7"/>
  <c r="W26" i="7"/>
  <c r="H30" i="22" l="1"/>
  <c r="C32" i="22"/>
  <c r="D31" i="22"/>
  <c r="F31" i="22"/>
  <c r="G31" i="22"/>
  <c r="E31" i="22"/>
  <c r="AC23" i="7"/>
  <c r="U4" i="7"/>
  <c r="AC17" i="7"/>
  <c r="AC41" i="7"/>
  <c r="AC9" i="7"/>
  <c r="AC10" i="7"/>
  <c r="AC14" i="7"/>
  <c r="AC16" i="7"/>
  <c r="AC7" i="7"/>
  <c r="AC11" i="7"/>
  <c r="AC15" i="7"/>
  <c r="AC13" i="7"/>
  <c r="AC8" i="7"/>
  <c r="AC12" i="7"/>
  <c r="AC18" i="7"/>
  <c r="AC25" i="7"/>
  <c r="AC20" i="7"/>
  <c r="AC22" i="7"/>
  <c r="AC24" i="7"/>
  <c r="AC26" i="7"/>
  <c r="AC28" i="7"/>
  <c r="AC30" i="7"/>
  <c r="AC29" i="7"/>
  <c r="AC21" i="7"/>
  <c r="AC27" i="7"/>
  <c r="AC19" i="7"/>
  <c r="AC34" i="7"/>
  <c r="AC36" i="7"/>
  <c r="AC38" i="7"/>
  <c r="AC40" i="7"/>
  <c r="AC31" i="7"/>
  <c r="AC33" i="7"/>
  <c r="AC35" i="7"/>
  <c r="AC37" i="7"/>
  <c r="AC42" i="7"/>
  <c r="AC32" i="7"/>
  <c r="AC39" i="7"/>
  <c r="X7" i="7"/>
  <c r="Z7" i="7"/>
  <c r="X8" i="7"/>
  <c r="Z9" i="7"/>
  <c r="X10" i="7"/>
  <c r="Z11" i="7"/>
  <c r="X12" i="7"/>
  <c r="Z13" i="7"/>
  <c r="X14" i="7"/>
  <c r="Z15" i="7"/>
  <c r="X16" i="7"/>
  <c r="Z17" i="7"/>
  <c r="X18" i="7"/>
  <c r="Z19" i="7"/>
  <c r="X20" i="7"/>
  <c r="Z21" i="7"/>
  <c r="X22" i="7"/>
  <c r="Z23" i="7"/>
  <c r="X24" i="7"/>
  <c r="Z25" i="7"/>
  <c r="X26" i="7"/>
  <c r="Z27" i="7"/>
  <c r="X28" i="7"/>
  <c r="Z29" i="7"/>
  <c r="X30" i="7"/>
  <c r="Z31" i="7"/>
  <c r="X32" i="7"/>
  <c r="Z33" i="7"/>
  <c r="X34" i="7"/>
  <c r="Z35" i="7"/>
  <c r="X36" i="7"/>
  <c r="Z37" i="7"/>
  <c r="X38" i="7"/>
  <c r="Z39" i="7"/>
  <c r="X40" i="7"/>
  <c r="Z41" i="7"/>
  <c r="X42" i="7"/>
  <c r="Z8" i="7"/>
  <c r="X9" i="7"/>
  <c r="Z10" i="7"/>
  <c r="X11" i="7"/>
  <c r="Z12" i="7"/>
  <c r="X13" i="7"/>
  <c r="Z14" i="7"/>
  <c r="X15" i="7"/>
  <c r="Z16" i="7"/>
  <c r="X17" i="7"/>
  <c r="Z18" i="7"/>
  <c r="X19" i="7"/>
  <c r="Z20" i="7"/>
  <c r="X21" i="7"/>
  <c r="Z22" i="7"/>
  <c r="X23" i="7"/>
  <c r="Z24" i="7"/>
  <c r="X25" i="7"/>
  <c r="Z26" i="7"/>
  <c r="X27" i="7"/>
  <c r="Z28" i="7"/>
  <c r="X29" i="7"/>
  <c r="Z30" i="7"/>
  <c r="X31" i="7"/>
  <c r="Z32" i="7"/>
  <c r="X33" i="7"/>
  <c r="Z34" i="7"/>
  <c r="X35" i="7"/>
  <c r="Z36" i="7"/>
  <c r="X37" i="7"/>
  <c r="Z38" i="7"/>
  <c r="X39" i="7"/>
  <c r="Z40" i="7"/>
  <c r="X41" i="7"/>
  <c r="Z42" i="7"/>
  <c r="X46" i="7"/>
  <c r="AD32" i="7"/>
  <c r="AD42" i="7"/>
  <c r="AD18" i="7"/>
  <c r="AD40" i="7"/>
  <c r="AD12" i="7"/>
  <c r="AD13" i="7"/>
  <c r="AD35" i="7"/>
  <c r="AD19" i="7"/>
  <c r="AD30" i="7"/>
  <c r="AD41" i="7"/>
  <c r="AD33" i="7"/>
  <c r="AD23" i="7"/>
  <c r="AD17" i="7"/>
  <c r="AD25" i="7"/>
  <c r="AD28" i="7"/>
  <c r="AD39" i="7"/>
  <c r="AD37" i="7"/>
  <c r="AD20" i="7"/>
  <c r="AD10" i="7"/>
  <c r="AD11" i="7"/>
  <c r="AD36" i="7"/>
  <c r="AD22" i="7"/>
  <c r="AD9" i="7"/>
  <c r="AD7" i="7"/>
  <c r="AD24" i="7"/>
  <c r="AD8" i="7"/>
  <c r="AD21" i="7"/>
  <c r="AD15" i="7"/>
  <c r="AD29" i="7"/>
  <c r="AD26" i="7"/>
  <c r="AD34" i="7"/>
  <c r="AD14" i="7"/>
  <c r="AD31" i="7"/>
  <c r="AD27" i="7"/>
  <c r="AD16" i="7"/>
  <c r="AD38" i="7"/>
  <c r="H31" i="22" l="1"/>
  <c r="C33" i="22"/>
  <c r="G32" i="22"/>
  <c r="E32" i="22"/>
  <c r="D32" i="22"/>
  <c r="F32" i="22"/>
  <c r="AE28" i="7"/>
  <c r="AE13" i="7"/>
  <c r="AE8" i="7"/>
  <c r="AE39" i="7"/>
  <c r="AE19" i="7"/>
  <c r="AE12" i="7"/>
  <c r="AE11" i="7"/>
  <c r="AE33" i="7"/>
  <c r="AE14" i="7"/>
  <c r="AE34" i="7"/>
  <c r="AE10" i="7"/>
  <c r="AE26" i="7"/>
  <c r="AE32" i="7"/>
  <c r="AE31" i="7"/>
  <c r="AE38" i="7"/>
  <c r="AE20" i="7"/>
  <c r="AE37" i="7"/>
  <c r="AE7" i="7"/>
  <c r="AE25" i="7"/>
  <c r="AE17" i="7"/>
  <c r="AE30" i="7"/>
  <c r="AE36" i="7"/>
  <c r="AE18" i="7"/>
  <c r="AE35" i="7"/>
  <c r="AE22" i="7"/>
  <c r="AE16" i="7"/>
  <c r="AE41" i="7"/>
  <c r="AE23" i="7"/>
  <c r="AE15" i="7"/>
  <c r="AE27" i="7"/>
  <c r="AE40" i="7"/>
  <c r="AE21" i="7"/>
  <c r="AE9" i="7"/>
  <c r="AE42" i="7"/>
  <c r="AE29" i="7"/>
  <c r="AE24" i="7"/>
  <c r="H32" i="22" l="1"/>
  <c r="C34" i="22"/>
  <c r="G33" i="22"/>
  <c r="E33" i="22"/>
  <c r="D33" i="22"/>
  <c r="F33" i="22"/>
  <c r="H33" i="22" l="1"/>
  <c r="C35" i="22"/>
  <c r="G34" i="22"/>
  <c r="E34" i="22"/>
  <c r="D34" i="22"/>
  <c r="F34" i="22"/>
  <c r="H34" i="22" l="1"/>
  <c r="C36" i="22"/>
  <c r="G35" i="22"/>
  <c r="E35" i="22"/>
  <c r="F35" i="22"/>
  <c r="D35" i="22"/>
  <c r="H35" i="22" l="1"/>
  <c r="C37" i="22"/>
  <c r="F36" i="22"/>
  <c r="G36" i="22"/>
  <c r="E36" i="22"/>
  <c r="D36" i="22"/>
  <c r="H36" i="22" l="1"/>
  <c r="C38" i="22"/>
  <c r="D37" i="22"/>
  <c r="F37" i="22"/>
  <c r="G37" i="22"/>
  <c r="E37" i="22"/>
  <c r="H37" i="22" l="1"/>
  <c r="C39" i="22"/>
  <c r="D38" i="22"/>
  <c r="F38" i="22"/>
  <c r="G38" i="22"/>
  <c r="E38" i="22"/>
  <c r="H38" i="22" l="1"/>
  <c r="C40" i="22"/>
  <c r="D39" i="22"/>
  <c r="F39" i="22"/>
  <c r="G39" i="22"/>
  <c r="E39" i="22"/>
  <c r="H39" i="22" l="1"/>
  <c r="C41" i="22"/>
  <c r="G40" i="22"/>
  <c r="E40" i="22"/>
  <c r="D40" i="22"/>
  <c r="F40" i="22"/>
  <c r="H40" i="22" s="1"/>
  <c r="C42" i="22" l="1"/>
  <c r="G41" i="22"/>
  <c r="E41" i="22"/>
  <c r="D41" i="22"/>
  <c r="F41" i="22"/>
  <c r="H41" i="22" s="1"/>
  <c r="G42" i="22" l="1"/>
  <c r="E42" i="22"/>
  <c r="D42" i="22"/>
  <c r="F42" i="22"/>
  <c r="H42" i="22" s="1"/>
</calcChain>
</file>

<file path=xl/sharedStrings.xml><?xml version="1.0" encoding="utf-8"?>
<sst xmlns="http://schemas.openxmlformats.org/spreadsheetml/2006/main" count="1602" uniqueCount="304">
  <si>
    <t>Portfolio</t>
  </si>
  <si>
    <t/>
  </si>
  <si>
    <t>Pos. Status</t>
  </si>
  <si>
    <t>SortGroup</t>
  </si>
  <si>
    <t>Commodity</t>
  </si>
  <si>
    <t>Description</t>
  </si>
  <si>
    <t>From</t>
  </si>
  <si>
    <t>To</t>
  </si>
  <si>
    <t>Hours</t>
  </si>
  <si>
    <t>Mkt. price</t>
  </si>
  <si>
    <t>Expiry</t>
  </si>
  <si>
    <t>Strike</t>
  </si>
  <si>
    <t>U. price</t>
  </si>
  <si>
    <t>Volat.</t>
  </si>
  <si>
    <t>Delta</t>
  </si>
  <si>
    <t>Period</t>
  </si>
  <si>
    <t>Product</t>
  </si>
  <si>
    <t>Delta Qty.</t>
  </si>
  <si>
    <t>Active</t>
  </si>
  <si>
    <t>Electricity</t>
  </si>
  <si>
    <t>NordPool System Price</t>
  </si>
  <si>
    <t>T1</t>
  </si>
  <si>
    <t>T2</t>
  </si>
  <si>
    <t>Rate</t>
  </si>
  <si>
    <t>0015 Electricity-European-EUR</t>
  </si>
  <si>
    <t>EURC YR-12 15-DEC-11 45.00 - Peak</t>
  </si>
  <si>
    <t>Y2012</t>
  </si>
  <si>
    <t>Y2012 - Peak</t>
  </si>
  <si>
    <t>EURP YR-12 15-DEC-11 45.00 - Peak</t>
  </si>
  <si>
    <t>EURC YR-12 15-DEC-11 45.00 - Base</t>
  </si>
  <si>
    <t>Y2012 - Base</t>
  </si>
  <si>
    <t>EURP YR-12 15-DEC-11 45.00 - Base</t>
  </si>
  <si>
    <t>EURC Q2-12 15-MAR-12 45.00 - Peak</t>
  </si>
  <si>
    <t>Q2-12</t>
  </si>
  <si>
    <t>Q2-12 - Peak</t>
  </si>
  <si>
    <t>EURP Q2-12 15-MAR-12 45.00 - Peak</t>
  </si>
  <si>
    <t>EURC Q2-12 15-MAR-12 45.00 - Base</t>
  </si>
  <si>
    <t>Q2-12 - Base</t>
  </si>
  <si>
    <t>EURP Q2-12 15-MAR-12 45.00 - Base</t>
  </si>
  <si>
    <t>EURC M06-12 17-MAY-12 45.00 - Peak</t>
  </si>
  <si>
    <t>M06-12</t>
  </si>
  <si>
    <t>M06-12 - Peak</t>
  </si>
  <si>
    <t>EURP M06-12 17-MAY-12 45.00 - Peak</t>
  </si>
  <si>
    <t>EURC M06-12 17-MAY-12 45.00 - Base</t>
  </si>
  <si>
    <t>M06-12 - Base</t>
  </si>
  <si>
    <t>EURP M06-12 17-MAY-12 45.00 - Base</t>
  </si>
  <si>
    <t>Rd</t>
  </si>
  <si>
    <t>TimeToExp</t>
  </si>
  <si>
    <t>Sigma</t>
  </si>
  <si>
    <t>Price</t>
  </si>
  <si>
    <t>Norway 1</t>
  </si>
  <si>
    <t>ASIC/A Q2-12 45.00 - Base</t>
  </si>
  <si>
    <t>ASIC/A M06-12 45.00 - Base</t>
  </si>
  <si>
    <t>CP</t>
  </si>
  <si>
    <t>C</t>
  </si>
  <si>
    <t>ASIC/A YR-11 45.00 - Peak</t>
  </si>
  <si>
    <t>P</t>
  </si>
  <si>
    <t>ASIP/A YR-11 45.00 - Peak</t>
  </si>
  <si>
    <t>ASIC/A YR-11 45.00 - Base</t>
  </si>
  <si>
    <t>ASIP/A YR-11 45.00 - Base</t>
  </si>
  <si>
    <t>ASIC/A Q4-11 45.00 - Peak</t>
  </si>
  <si>
    <t>ASIP/A Q4-11 45.00 - Peak</t>
  </si>
  <si>
    <t>ASIC/A Q4-11 45.00 - Base</t>
  </si>
  <si>
    <t>ASIP/A Q4-11 45.00 - Base</t>
  </si>
  <si>
    <t>ASIC/A M11-11 45.00 - Peak</t>
  </si>
  <si>
    <t>ASIP/A M11-11 45.00 - Peak</t>
  </si>
  <si>
    <t>ASIC/A M11-11 45.00 - Base</t>
  </si>
  <si>
    <t>ASIP/A M11-11 45.00 - Base</t>
  </si>
  <si>
    <t>ASIC/A YR-12 45.00 - Peak</t>
  </si>
  <si>
    <t>ASIP/A YR-12 45.00 - Peak</t>
  </si>
  <si>
    <t>ASIC/A YR-12 45.00 - Base</t>
  </si>
  <si>
    <t>ASIP/A YR-12 45.00 - Base</t>
  </si>
  <si>
    <t>ASIC/A Q2-12 45.00 - Peak</t>
  </si>
  <si>
    <t>ASIP/A Q2-12 45.00 - Peak</t>
  </si>
  <si>
    <t>ASIP/A Q2-12 45.00 - Base</t>
  </si>
  <si>
    <t>ASIC/A M06-12 45.00 - Peak</t>
  </si>
  <si>
    <t>ASIP/A M06-12 45.00 - Peak</t>
  </si>
  <si>
    <t>ASIP/A M06-12 45.00 - Base</t>
  </si>
  <si>
    <t>r</t>
  </si>
  <si>
    <t>RD</t>
  </si>
  <si>
    <t>Float</t>
  </si>
  <si>
    <t>-T1</t>
  </si>
  <si>
    <t>TT</t>
  </si>
  <si>
    <t>K'</t>
  </si>
  <si>
    <t>Factor</t>
  </si>
  <si>
    <t>Period Rate</t>
  </si>
  <si>
    <t>ASIC/A YR-11 335.00 - Peak</t>
  </si>
  <si>
    <t>ASIP/A YR-11 335.00 - Peak</t>
  </si>
  <si>
    <t>ASIC/A YR-11 335.00 - Base</t>
  </si>
  <si>
    <t>ASIP/A YR-11 335.00 - Base</t>
  </si>
  <si>
    <t>ASIC/A Q4-11 335.00 - Peak</t>
  </si>
  <si>
    <t>ASIP/A Q4-11 335.00 - Peak</t>
  </si>
  <si>
    <t>ASIC/A Q4-11 335.00 - Base</t>
  </si>
  <si>
    <t>ASIP/A Q4-11 335.00 - Base</t>
  </si>
  <si>
    <t>ASIC/A M11-11 335.00 - Peak</t>
  </si>
  <si>
    <t>ASIP/A M11-11 335.00 - Peak</t>
  </si>
  <si>
    <t>ASIC/A M11-11 335.00 - Base</t>
  </si>
  <si>
    <t>ASIP/A M11-11 335.00 - Base</t>
  </si>
  <si>
    <t>ASIC/A YR-12 335.00 - Peak</t>
  </si>
  <si>
    <t>ASIP/A YR-12 335.00 - Peak</t>
  </si>
  <si>
    <t>ASIC/A YR-12 335.00 - Base</t>
  </si>
  <si>
    <t>ASIP/A YR-12 335.00 - Base</t>
  </si>
  <si>
    <t>ASIC/A Q2-12 335.00 - Peak</t>
  </si>
  <si>
    <t>ASIP/A Q2-12 335.00 - Peak</t>
  </si>
  <si>
    <t>ASIC/A Q2-12 335.00 - Base</t>
  </si>
  <si>
    <t>ASIP/A Q2-12 335.00 - Base</t>
  </si>
  <si>
    <t>ASIC/A M06-12 335.00 - Peak</t>
  </si>
  <si>
    <t>ASIP/A M06-12 335.00 - Peak</t>
  </si>
  <si>
    <t>ASIC/A M06-12 335.00 - Base</t>
  </si>
  <si>
    <t>ASIP/A M06-12 335.00 - Base</t>
  </si>
  <si>
    <t>Price Error</t>
  </si>
  <si>
    <t>Price Correct</t>
  </si>
  <si>
    <t>Hist Hours</t>
  </si>
  <si>
    <t>Rem Hours</t>
  </si>
  <si>
    <t>Rate@Period</t>
  </si>
  <si>
    <t>Delta Error</t>
  </si>
  <si>
    <t>MtM</t>
  </si>
  <si>
    <t>U.Price</t>
  </si>
  <si>
    <t>U.Price Delta</t>
  </si>
  <si>
    <t>U. Price + Delta</t>
  </si>
  <si>
    <t>Volat</t>
  </si>
  <si>
    <t>Volat + Delta</t>
  </si>
  <si>
    <t>Volat Delta</t>
  </si>
  <si>
    <t>PB</t>
  </si>
  <si>
    <t>Rate Delta</t>
  </si>
  <si>
    <t>ExpriyRate</t>
  </si>
  <si>
    <t>ExpriyRate + Delta</t>
  </si>
  <si>
    <t>Period Rate + Delta</t>
  </si>
  <si>
    <t>Vol</t>
  </si>
  <si>
    <t>ForwardPrices-Abs</t>
  </si>
  <si>
    <t>ForwardPrices-Rel</t>
  </si>
  <si>
    <t>Volatilities-Abs</t>
  </si>
  <si>
    <t>Volatilities-Rel</t>
  </si>
  <si>
    <t>InterestRate-Abs</t>
  </si>
  <si>
    <t>InterestRate-Rel</t>
  </si>
  <si>
    <t>From date</t>
  </si>
  <si>
    <t>To date</t>
  </si>
  <si>
    <t>Book price</t>
  </si>
  <si>
    <t>Qty</t>
  </si>
  <si>
    <t>Market price</t>
  </si>
  <si>
    <t>Mtm value</t>
  </si>
  <si>
    <t>Unrealized P&amp;L</t>
  </si>
  <si>
    <t>Trading P&amp;L</t>
  </si>
  <si>
    <t>Volatility</t>
  </si>
  <si>
    <t>Interest rate</t>
  </si>
  <si>
    <t>ASIC/M YR-11 45.00 split 11</t>
  </si>
  <si>
    <t>ASIC/M YR-11 45.00 split 12</t>
  </si>
  <si>
    <t>Vol+d</t>
  </si>
  <si>
    <t>Forward Delta</t>
  </si>
  <si>
    <t>Volat+Delta</t>
  </si>
  <si>
    <t>U Price + Delta</t>
  </si>
  <si>
    <t>ExpiryD</t>
  </si>
  <si>
    <t>Expriy</t>
  </si>
  <si>
    <t>Expiry + D</t>
  </si>
  <si>
    <t>B76</t>
  </si>
  <si>
    <t>tau</t>
  </si>
  <si>
    <t>Tima</t>
  </si>
  <si>
    <t>tima+d</t>
  </si>
  <si>
    <t>Expirty Rel</t>
  </si>
  <si>
    <t>B76tau</t>
  </si>
  <si>
    <t>b76tau</t>
  </si>
  <si>
    <t>taudelta</t>
  </si>
  <si>
    <t>taurel</t>
  </si>
  <si>
    <t>tau abs</t>
  </si>
  <si>
    <t>tau rel</t>
  </si>
  <si>
    <t>daud</t>
  </si>
  <si>
    <t>Instr. type</t>
  </si>
  <si>
    <t>Contract currency</t>
  </si>
  <si>
    <t>ASIC/M Q2-12 45.00 split 1</t>
  </si>
  <si>
    <t>Asian call</t>
  </si>
  <si>
    <t>EUR</t>
  </si>
  <si>
    <t>ASIC/M Q2-12 45.00 split 2</t>
  </si>
  <si>
    <t>ASIC/M Q2-12 45.00 split 3</t>
  </si>
  <si>
    <t>Tau</t>
  </si>
  <si>
    <t>Tau+delta</t>
  </si>
  <si>
    <t>U Price</t>
  </si>
  <si>
    <t>GammaCalc</t>
  </si>
  <si>
    <t>GammaElviz</t>
  </si>
  <si>
    <t>r+epsilon</t>
  </si>
  <si>
    <t>T</t>
  </si>
  <si>
    <t>T+epsilon</t>
  </si>
  <si>
    <t>Epsilon rho</t>
  </si>
  <si>
    <t>Epsilon theta</t>
  </si>
  <si>
    <t>MtM + Epsilon Theta</t>
  </si>
  <si>
    <t>Theta</t>
  </si>
  <si>
    <t>MtM + Epsilon Rho</t>
  </si>
  <si>
    <t>Rho</t>
  </si>
  <si>
    <t>Rho Calc</t>
  </si>
  <si>
    <t xml:space="preserve"> putCall</t>
  </si>
  <si>
    <t xml:space="preserve"> underlyingPrice1</t>
  </si>
  <si>
    <t xml:space="preserve"> underlyingPrice2</t>
  </si>
  <si>
    <t xml:space="preserve"> strike</t>
  </si>
  <si>
    <t xml:space="preserve"> expiry</t>
  </si>
  <si>
    <t xml:space="preserve"> volatilty1</t>
  </si>
  <si>
    <t xml:space="preserve"> volatilty2</t>
  </si>
  <si>
    <t xml:space="preserve"> rho12</t>
  </si>
  <si>
    <t xml:space="preserve"> expiryInterestRate)</t>
  </si>
  <si>
    <t>effectiveRd</t>
  </si>
  <si>
    <t>A-B</t>
  </si>
  <si>
    <t>B-A</t>
  </si>
  <si>
    <t>K</t>
  </si>
  <si>
    <t>Call</t>
  </si>
  <si>
    <t>Put</t>
  </si>
  <si>
    <t>Forw</t>
  </si>
  <si>
    <t>El-Asian-Spread-EUR-0065</t>
  </si>
  <si>
    <t>Ext id</t>
  </si>
  <si>
    <t>M01-12</t>
  </si>
  <si>
    <t>M03-11</t>
  </si>
  <si>
    <t>M11-11</t>
  </si>
  <si>
    <t>Y2010</t>
  </si>
  <si>
    <t>Y2011</t>
  </si>
  <si>
    <t>SYOSL</t>
  </si>
  <si>
    <t>ASIC/A YR-11 -5.00 - Base</t>
  </si>
  <si>
    <t>ASIC/A YR-11 5.00 - Base</t>
  </si>
  <si>
    <t>ASIP/A YR-11 -5.00 - Base</t>
  </si>
  <si>
    <t>ASIP/A YR-11 5.00 - Base</t>
  </si>
  <si>
    <t>EEX-France</t>
  </si>
  <si>
    <t>ASIC/A M11-11 -5.00 - Base</t>
  </si>
  <si>
    <t>ASIC/A M11-11 5.00 - Base</t>
  </si>
  <si>
    <t>ASIP/A M11-11 -5.00 - Base</t>
  </si>
  <si>
    <t>ASIP/A M11-11 5.00 - Base</t>
  </si>
  <si>
    <t>ASIC/A M01-12 -5.00 - Base</t>
  </si>
  <si>
    <t>ASIC/A M01-12 5.00 - Base</t>
  </si>
  <si>
    <t>ASIP/A M01-12 -5.00 - Base</t>
  </si>
  <si>
    <t>ASIP/A M01-12 5.00 - Base</t>
  </si>
  <si>
    <t>ASIC/A YR-12 -5.00 - Base</t>
  </si>
  <si>
    <t>ASIC/A YR-12 5.00 - Base</t>
  </si>
  <si>
    <t>ASIP/A YR-12 -5.00 - Base</t>
  </si>
  <si>
    <t>ASIP/A YR-12 5.00 - Base</t>
  </si>
  <si>
    <t>ASIC/A YR-10 -5.00 - Base</t>
  </si>
  <si>
    <t>Expired</t>
  </si>
  <si>
    <t>ASIC/A YR-10 5.00 - Base</t>
  </si>
  <si>
    <t>ASIP/A YR-10 -5.00 - Base</t>
  </si>
  <si>
    <t>ASIP/A YR-10 5.00 - Base</t>
  </si>
  <si>
    <t>ASIC/A M03-11 -5.00 - Base</t>
  </si>
  <si>
    <t>ASIC/A M03-11 5.00 - Base</t>
  </si>
  <si>
    <t>ASIP/A M03-11 -5.00 - Base</t>
  </si>
  <si>
    <t>ASIP/A M03-11 5.00 - Base</t>
  </si>
  <si>
    <t>PriceBasis</t>
  </si>
  <si>
    <t>Instrument</t>
  </si>
  <si>
    <t>FromDate</t>
  </si>
  <si>
    <t>ToDate</t>
  </si>
  <si>
    <t>PosStatus</t>
  </si>
  <si>
    <t>QTY</t>
  </si>
  <si>
    <t>Bkprice</t>
  </si>
  <si>
    <t>Bkvalue</t>
  </si>
  <si>
    <t>Mktprice</t>
  </si>
  <si>
    <t>Fwd1</t>
  </si>
  <si>
    <t>Fwd2</t>
  </si>
  <si>
    <t>Float1</t>
  </si>
  <si>
    <t>Float2</t>
  </si>
  <si>
    <t>Prod</t>
  </si>
  <si>
    <t>SYOSL-Y2011</t>
  </si>
  <si>
    <t>EEX-France-Y2011</t>
  </si>
  <si>
    <t>SYOSL-M11-11</t>
  </si>
  <si>
    <t>EEX-France-M11-11</t>
  </si>
  <si>
    <t>SYOSL-M01-12</t>
  </si>
  <si>
    <t>EEX-France-M01-12</t>
  </si>
  <si>
    <t>SYOSL-Y2012</t>
  </si>
  <si>
    <t>EEX-France-Y2012</t>
  </si>
  <si>
    <t>SYOSL-Y2010</t>
  </si>
  <si>
    <t>EEX-France-Y2010</t>
  </si>
  <si>
    <t>SYOSL-M03-11</t>
  </si>
  <si>
    <t>EEX-France-M03-11</t>
  </si>
  <si>
    <t>Vol1</t>
  </si>
  <si>
    <t>Vol2</t>
  </si>
  <si>
    <t>PriceError</t>
  </si>
  <si>
    <t>interest rate</t>
  </si>
  <si>
    <t>this               </t>
  </si>
  <si>
    <t>{Viz.Pricing.Implementation.Contracts.CapacityDeals.OptionSpreadOptionEvaluationStrategy}               </t>
  </si>
  <si>
    <t>scenario              </t>
  </si>
  <si>
    <t>{Viz.Core.Model.Domain.AssetLiabilityModel.PricingScenario}               </t>
  </si>
  <si>
    <t>forwardPrice1  </t>
  </si>
  <si>
    <t>forwardPrice2  </t>
  </si>
  <si>
    <t>strikeValue        </t>
  </si>
  <si>
    <t>5.0         </t>
  </si>
  <si>
    <t>interestRate      </t>
  </si>
  <si>
    <t>time      </t>
  </si>
  <si>
    <t>volatility1            </t>
  </si>
  <si>
    <t>volatility2            </t>
  </si>
  <si>
    <t>correlation         </t>
  </si>
  <si>
    <t>originForwardCurve       </t>
  </si>
  <si>
    <t>{Viz.Core.Model.Domain.AssetLiabilityModel.Curves.PriceCurve}               </t>
  </si>
  <si>
    <t>spreadValue     </t>
  </si>
  <si>
    <t>0.0         </t>
  </si>
  <si>
    <t>price     </t>
  </si>
  <si>
    <t>{Viz.CommonDomain.Pricing.UnitPrice}</t>
  </si>
  <si>
    <t>Put inverse</t>
  </si>
  <si>
    <t>Put + Forw</t>
  </si>
  <si>
    <t>T2-t</t>
  </si>
  <si>
    <t>Spot1</t>
  </si>
  <si>
    <t>Spot2</t>
  </si>
  <si>
    <t>N/A</t>
  </si>
  <si>
    <t>T2-T2</t>
  </si>
  <si>
    <t>T1-t</t>
  </si>
  <si>
    <t>w</t>
  </si>
  <si>
    <t xml:space="preserve"> Adj Strike</t>
  </si>
  <si>
    <t>ASIC/A YR-12 -100.00 - Base</t>
  </si>
  <si>
    <t>ASIC/A YR-12 40.00 - Base</t>
  </si>
  <si>
    <t>Inverse Call</t>
  </si>
  <si>
    <t>strike</t>
  </si>
  <si>
    <t>Inverse K</t>
  </si>
  <si>
    <t>Short Inserve Fwd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</si>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</sst>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0.000000"/>
    <numFmt numFmtId="165" formatCode="0.0000000000000"/>
    <numFmt numFmtId="166" formatCode="0.000"/>
    <numFmt numFmtId="167" formatCode="0.0000"/>
    <numFmt numFmtId="168" formatCode="_-* #,##0_-;\-* #,##0_-;_-* &quot;-&quot;??_-;_-@_-"/>
    <numFmt numFmtId="169" formatCode="#,##0_ ;\-#,##0\ "/>
    <numFmt numFmtId="170" formatCode="0.00000000"/>
    <numFmt numFmtId="171" formatCode="0.000000000"/>
    <numFmt numFmtId="172" formatCode="0.0000000000"/>
    <numFmt numFmtId="173" formatCode="0.000000000000"/>
    <numFmt numFmtId="174" formatCode="0.000000000000000000"/>
    <numFmt numFmtId="175" formatCode="0.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77">
    <xf numFmtId="0" fontId="0" fillId="0" borderId="0" xfId="0"/>
    <xf numFmtId="164" fontId="0" fillId="0" borderId="0" xfId="0" applyNumberFormat="1"/>
    <xf numFmtId="11" fontId="0" fillId="0" borderId="0" xfId="0" applyNumberFormat="1"/>
    <xf numFmtId="0" fontId="0" fillId="0" borderId="0" xfId="0" applyNumberFormat="1"/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14" fontId="0" fillId="0" borderId="0" xfId="0" applyNumberFormat="1"/>
    <xf numFmtId="0" fontId="0" fillId="0" borderId="0" xfId="0"/>
    <xf numFmtId="0" fontId="0" fillId="3" borderId="0" xfId="0" applyFill="1"/>
    <xf numFmtId="9" fontId="0" fillId="0" borderId="0" xfId="0" applyNumberFormat="1"/>
    <xf numFmtId="49" fontId="0" fillId="3" borderId="0" xfId="0" applyNumberFormat="1" applyFill="1"/>
    <xf numFmtId="0" fontId="0" fillId="3" borderId="0" xfId="0" applyNumberFormat="1" applyFill="1"/>
    <xf numFmtId="14" fontId="0" fillId="3" borderId="0" xfId="0" applyNumberFormat="1" applyFill="1"/>
    <xf numFmtId="0" fontId="0" fillId="2" borderId="0" xfId="0" applyFill="1"/>
    <xf numFmtId="0" fontId="0" fillId="3" borderId="0" xfId="0" applyFill="1"/>
    <xf numFmtId="165" fontId="0" fillId="3" borderId="0" xfId="0" applyNumberFormat="1" applyFill="1"/>
    <xf numFmtId="0" fontId="0" fillId="4" borderId="0" xfId="0" applyNumberFormat="1" applyFill="1"/>
    <xf numFmtId="0" fontId="0" fillId="4" borderId="0" xfId="0" applyFill="1"/>
    <xf numFmtId="166" fontId="0" fillId="3" borderId="0" xfId="0" applyNumberFormat="1" applyFill="1"/>
    <xf numFmtId="49" fontId="1" fillId="0" borderId="0" xfId="0" applyNumberFormat="1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14" fontId="0" fillId="0" borderId="0" xfId="0" applyNumberFormat="1"/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14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1" fillId="0" borderId="0" xfId="0" applyNumberFormat="1" applyFont="1"/>
    <xf numFmtId="14" fontId="0" fillId="0" borderId="0" xfId="0" applyNumberFormat="1"/>
    <xf numFmtId="0" fontId="0" fillId="0" borderId="0" xfId="0"/>
    <xf numFmtId="49" fontId="1" fillId="0" borderId="0" xfId="0" applyNumberFormat="1" applyFont="1"/>
    <xf numFmtId="0" fontId="0" fillId="0" borderId="0" xfId="0"/>
    <xf numFmtId="0" fontId="0" fillId="0" borderId="0" xfId="0"/>
    <xf numFmtId="167" fontId="0" fillId="0" borderId="0" xfId="0" applyNumberFormat="1"/>
    <xf numFmtId="0" fontId="0" fillId="0" borderId="0" xfId="0"/>
    <xf numFmtId="10" fontId="0" fillId="0" borderId="0" xfId="1" applyNumberFormat="1" applyFont="1"/>
    <xf numFmtId="49" fontId="3" fillId="0" borderId="0" xfId="2" applyNumberFormat="1"/>
    <xf numFmtId="0" fontId="0" fillId="0" borderId="0" xfId="0" applyNumberFormat="1"/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14" fontId="0" fillId="0" borderId="0" xfId="0" applyNumberFormat="1"/>
    <xf numFmtId="0" fontId="0" fillId="0" borderId="0" xfId="0"/>
    <xf numFmtId="49" fontId="1" fillId="0" borderId="0" xfId="0" applyNumberFormat="1" applyFont="1"/>
    <xf numFmtId="168" fontId="0" fillId="0" borderId="0" xfId="3" applyNumberFormat="1" applyFont="1"/>
    <xf numFmtId="43" fontId="0" fillId="0" borderId="0" xfId="3" applyFont="1"/>
    <xf numFmtId="168" fontId="1" fillId="0" borderId="0" xfId="0" applyNumberFormat="1" applyFont="1"/>
    <xf numFmtId="168" fontId="1" fillId="0" borderId="0" xfId="3" applyNumberFormat="1" applyFont="1"/>
    <xf numFmtId="0" fontId="0" fillId="0" borderId="0" xfId="3" applyNumberFormat="1" applyFont="1"/>
    <xf numFmtId="168" fontId="0" fillId="0" borderId="0" xfId="0" applyNumberFormat="1"/>
    <xf numFmtId="0" fontId="0" fillId="0" borderId="0" xfId="0"/>
    <xf numFmtId="0" fontId="0" fillId="0" borderId="0" xfId="0"/>
    <xf numFmtId="168" fontId="0" fillId="2" borderId="0" xfId="3" applyNumberFormat="1" applyFont="1" applyFill="1"/>
    <xf numFmtId="0" fontId="0" fillId="0" borderId="0" xfId="0"/>
    <xf numFmtId="0" fontId="0" fillId="0" borderId="0" xfId="0"/>
    <xf numFmtId="169" fontId="0" fillId="0" borderId="0" xfId="3" applyNumberFormat="1" applyFont="1"/>
    <xf numFmtId="9" fontId="0" fillId="0" borderId="0" xfId="3" applyNumberFormat="1" applyFont="1"/>
    <xf numFmtId="9" fontId="0" fillId="3" borderId="0" xfId="0" applyNumberFormat="1" applyFill="1"/>
    <xf numFmtId="0" fontId="0" fillId="0" borderId="0" xfId="0"/>
    <xf numFmtId="169" fontId="0" fillId="0" borderId="0" xfId="0" applyNumberFormat="1"/>
    <xf numFmtId="14" fontId="0" fillId="0" borderId="0" xfId="0" applyNumberFormat="1"/>
    <xf numFmtId="0" fontId="0" fillId="0" borderId="0" xfId="0"/>
    <xf numFmtId="49" fontId="1" fillId="0" borderId="0" xfId="0" applyNumberFormat="1" applyFont="1"/>
    <xf numFmtId="165" fontId="0" fillId="0" borderId="0" xfId="0" applyNumberFormat="1"/>
    <xf numFmtId="0" fontId="0" fillId="2" borderId="0" xfId="0" applyFill="1"/>
    <xf numFmtId="0" fontId="0" fillId="2" borderId="0" xfId="0" applyFill="1"/>
    <xf numFmtId="0" fontId="0" fillId="2" borderId="0" xfId="0" applyFill="1"/>
    <xf numFmtId="0" fontId="0" fillId="2" borderId="0" xfId="0" applyFill="1"/>
    <xf numFmtId="0" fontId="0" fillId="2" borderId="0" xfId="0" applyFill="1"/>
    <xf numFmtId="0" fontId="0" fillId="2" borderId="0" xfId="0" applyFill="1"/>
    <xf numFmtId="0" fontId="0" fillId="2" borderId="0" xfId="0" applyFill="1"/>
    <xf numFmtId="0" fontId="0" fillId="2" borderId="0" xfId="0" applyFill="1"/>
    <xf numFmtId="0" fontId="0" fillId="2" borderId="0" xfId="0" applyFill="1"/>
    <xf numFmtId="11" fontId="0" fillId="4" borderId="0" xfId="1" applyNumberFormat="1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14" fontId="0" fillId="0" borderId="0" xfId="0" applyNumberFormat="1"/>
    <xf numFmtId="167" fontId="0" fillId="4" borderId="0" xfId="1" applyNumberFormat="1" applyFont="1" applyFill="1"/>
    <xf numFmtId="170" fontId="0" fillId="4" borderId="0" xfId="1" applyNumberFormat="1" applyFont="1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9" fontId="0" fillId="2" borderId="0" xfId="0" applyNumberFormat="1" applyFill="1"/>
    <xf numFmtId="0" fontId="0" fillId="2" borderId="0" xfId="0" applyNumberFormat="1" applyFill="1"/>
    <xf numFmtId="10" fontId="0" fillId="0" borderId="0" xfId="0" applyNumberFormat="1"/>
    <xf numFmtId="43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1" fillId="0" borderId="0" xfId="0" applyNumberFormat="1" applyFont="1"/>
    <xf numFmtId="14" fontId="0" fillId="0" borderId="0" xfId="0" applyNumberFormat="1"/>
    <xf numFmtId="0" fontId="1" fillId="0" borderId="0" xfId="0" applyNumberFormat="1" applyFont="1"/>
    <xf numFmtId="4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14" fontId="0" fillId="0" borderId="0" xfId="0" applyNumberFormat="1"/>
    <xf numFmtId="9" fontId="0" fillId="2" borderId="0" xfId="1" applyFont="1" applyFill="1"/>
    <xf numFmtId="0" fontId="0" fillId="0" borderId="0" xfId="0"/>
    <xf numFmtId="49" fontId="1" fillId="0" borderId="0" xfId="0" applyNumberFormat="1" applyFont="1"/>
    <xf numFmtId="0" fontId="0" fillId="0" borderId="0" xfId="0"/>
    <xf numFmtId="0" fontId="0" fillId="2" borderId="0" xfId="0" applyFill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/>
    <xf numFmtId="0" fontId="0" fillId="0" borderId="0" xfId="0"/>
    <xf numFmtId="175" fontId="0" fillId="0" borderId="0" xfId="0" applyNumberFormat="1"/>
    <xf numFmtId="15" fontId="0" fillId="0" borderId="0" xfId="0" applyNumberFormat="1"/>
    <xf numFmtId="2" fontId="0" fillId="0" borderId="0" xfId="0" applyNumberFormat="1"/>
    <xf numFmtId="0" fontId="0" fillId="0" borderId="0" xfId="0"/>
    <xf numFmtId="0" fontId="1" fillId="0" borderId="0" xfId="0" applyFont="1"/>
    <xf numFmtId="0" fontId="1" fillId="0" borderId="0" xfId="0" applyNumberFormat="1" applyFont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  <xf numFmtId="0" fontId="1" fillId="0" borderId="0" xfId="0" applyFont="1" applyAlignment="1">
      <alignment vertical="center" wrapText="1"/>
    </xf>
    <xf numFmtId="11" fontId="1" fillId="0" borderId="0" xfId="0" applyNumberFormat="1" applyFont="1"/>
    <xf numFmtId="47" fontId="1" fillId="0" borderId="0" xfId="0" applyNumberFormat="1" applyFont="1"/>
    <xf numFmtId="0" fontId="1" fillId="2" borderId="0" xfId="0" applyFont="1" applyFill="1"/>
    <xf numFmtId="0" fontId="0" fillId="0" borderId="0" xfId="0" applyFont="1"/>
  </cellXfs>
  <cellStyles count="6">
    <cellStyle name="Comma" xfId="3" builtinId="3"/>
    <cellStyle name="Comma 2" xfId="4"/>
    <cellStyle name="Comma 3" xfId="5"/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Sheet3!$O$103:$O$185</c:f>
              <c:numCache>
                <c:formatCode>0.0000</c:formatCode>
                <c:ptCount val="83"/>
                <c:pt idx="0">
                  <c:v>5.341348983831689E-2</c:v>
                </c:pt>
                <c:pt idx="1">
                  <c:v>1.4675479585564481E-2</c:v>
                </c:pt>
                <c:pt idx="2">
                  <c:v>1.0330813881473113E-3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11852896"/>
        <c:axId val="-1811855072"/>
      </c:lineChart>
      <c:catAx>
        <c:axId val="-1811852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1855072"/>
        <c:crosses val="autoZero"/>
        <c:auto val="1"/>
        <c:lblAlgn val="ctr"/>
        <c:lblOffset val="100"/>
        <c:noMultiLvlLbl val="0"/>
      </c:catAx>
      <c:valAx>
        <c:axId val="-18118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185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828674</xdr:colOff>
      <xdr:row>134</xdr:row>
      <xdr:rowOff>166686</xdr:rowOff>
    </xdr:from>
    <xdr:to>
      <xdr:col>12</xdr:col>
      <xdr:colOff>495299</xdr:colOff>
      <xdr:row>159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te@Perio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3:Z46"/>
  <sheetViews>
    <sheetView topLeftCell="E1" workbookViewId="0">
      <selection activeCell="G44" sqref="G44"/>
    </sheetView>
  </sheetViews>
  <sheetFormatPr defaultRowHeight="15" x14ac:dyDescent="0.25"/>
  <cols>
    <col min="1" max="5" width="9.140625" style="58"/>
    <col min="6" max="6" width="21.5703125" style="58" bestFit="1" customWidth="1"/>
    <col min="7" max="7" width="34" style="58" bestFit="1" customWidth="1"/>
    <col min="8" max="8" width="9.140625" style="58"/>
    <col min="9" max="10" width="10.7109375" style="58" bestFit="1" customWidth="1"/>
    <col min="11" max="11" width="12" style="58" bestFit="1" customWidth="1"/>
    <col min="12" max="12" width="10.7109375" style="58" bestFit="1" customWidth="1"/>
    <col min="13" max="14" width="9.140625" style="58"/>
    <col min="15" max="15" width="12" style="58" bestFit="1" customWidth="1"/>
    <col min="16" max="17" width="9.140625" style="58"/>
    <col min="18" max="18" width="12.7109375" style="58" bestFit="1" customWidth="1"/>
    <col min="19" max="19" width="12" style="58" bestFit="1" customWidth="1"/>
    <col min="20" max="21" width="9.140625" style="58"/>
    <col min="22" max="22" width="12" style="58" bestFit="1" customWidth="1"/>
    <col min="23" max="24" width="9.140625" style="58"/>
    <col min="25" max="25" width="11" style="58" bestFit="1" customWidth="1"/>
    <col min="26" max="26" width="12" style="58" bestFit="1" customWidth="1"/>
    <col min="27" max="16384" width="9.140625" style="58"/>
  </cols>
  <sheetData>
    <row r="3" spans="3:26" x14ac:dyDescent="0.25">
      <c r="E3" s="58" t="s">
        <v>46</v>
      </c>
      <c r="F3" s="61">
        <v>40863</v>
      </c>
    </row>
    <row r="6" spans="3:26" x14ac:dyDescent="0.25">
      <c r="C6" s="60" t="s">
        <v>0</v>
      </c>
      <c r="D6" s="60" t="s">
        <v>2</v>
      </c>
      <c r="E6" s="60" t="s">
        <v>3</v>
      </c>
      <c r="F6" s="60" t="s">
        <v>4</v>
      </c>
      <c r="G6" s="60" t="s">
        <v>5</v>
      </c>
      <c r="H6" s="60"/>
      <c r="I6" s="60" t="s">
        <v>6</v>
      </c>
      <c r="J6" s="60" t="s">
        <v>7</v>
      </c>
      <c r="K6" s="60" t="s">
        <v>9</v>
      </c>
      <c r="L6" s="60" t="s">
        <v>10</v>
      </c>
      <c r="M6" s="60" t="s">
        <v>11</v>
      </c>
      <c r="N6" s="60" t="s">
        <v>12</v>
      </c>
      <c r="O6" s="60" t="s">
        <v>13</v>
      </c>
      <c r="P6" s="60" t="s">
        <v>14</v>
      </c>
      <c r="Q6" s="60" t="s">
        <v>23</v>
      </c>
      <c r="R6" s="56" t="s">
        <v>114</v>
      </c>
      <c r="S6" s="60" t="s">
        <v>49</v>
      </c>
      <c r="U6" s="60" t="s">
        <v>14</v>
      </c>
    </row>
    <row r="7" spans="3:26" x14ac:dyDescent="0.25">
      <c r="C7" s="59" t="s">
        <v>24</v>
      </c>
      <c r="D7" s="59" t="s">
        <v>18</v>
      </c>
      <c r="E7" s="58">
        <v>155</v>
      </c>
      <c r="F7" s="59" t="s">
        <v>20</v>
      </c>
      <c r="G7" s="59" t="s">
        <v>25</v>
      </c>
      <c r="H7" s="57" t="str">
        <f>MID(G7,4,1)</f>
        <v>C</v>
      </c>
      <c r="I7" s="61">
        <v>40909</v>
      </c>
      <c r="J7" s="61">
        <v>41274</v>
      </c>
      <c r="K7" s="14">
        <v>4.9400830191095597</v>
      </c>
      <c r="L7" s="61">
        <v>40892</v>
      </c>
      <c r="M7" s="58">
        <v>45</v>
      </c>
      <c r="N7" s="58">
        <v>49.350000000000101</v>
      </c>
      <c r="O7" s="55">
        <v>0.40000000000001701</v>
      </c>
      <c r="P7" s="14">
        <v>0.79700938822160805</v>
      </c>
      <c r="Q7" s="57">
        <v>1.1984095928192776E-2</v>
      </c>
      <c r="R7" s="57">
        <v>1.8007683848245713E-2</v>
      </c>
      <c r="S7" s="15">
        <f t="shared" ref="S7:S42" si="0">B76Forward($F$3,H7,N7,M7,L7,O7,Q7,R7,I7,J7)</f>
        <v>4.9400830205898707</v>
      </c>
      <c r="T7" s="17">
        <f t="shared" ref="T7:T42" si="1">S7/K7-1</f>
        <v>2.9965296910461348E-10</v>
      </c>
      <c r="U7" s="58">
        <f t="shared" ref="U7:U42" si="2">B76DeltaForward($F$3,H7,N7,M7,L7,O7,Q7,R7,I7,J7)</f>
        <v>0.79700938820815292</v>
      </c>
      <c r="V7" s="18">
        <f t="shared" ref="V7:V42" si="3">U7/P7-1</f>
        <v>-1.688205131245013E-11</v>
      </c>
      <c r="W7" s="58">
        <v>1.9256861906191882</v>
      </c>
      <c r="X7" s="58">
        <f>W7/100</f>
        <v>1.9256861906191882E-2</v>
      </c>
      <c r="Y7" s="58">
        <f>X7/Q7-1</f>
        <v>0.60686813770322123</v>
      </c>
      <c r="Z7" s="58">
        <f>S7-K7</f>
        <v>1.4803109849026441E-9</v>
      </c>
    </row>
    <row r="8" spans="3:26" x14ac:dyDescent="0.25">
      <c r="C8" s="59" t="s">
        <v>24</v>
      </c>
      <c r="D8" s="59" t="s">
        <v>18</v>
      </c>
      <c r="E8" s="58">
        <v>155</v>
      </c>
      <c r="F8" s="59" t="s">
        <v>20</v>
      </c>
      <c r="G8" s="59" t="s">
        <v>25</v>
      </c>
      <c r="H8" s="57" t="str">
        <f t="shared" ref="H8:H42" si="4">MID(G8,4,1)</f>
        <v>C</v>
      </c>
      <c r="I8" s="61">
        <v>40909</v>
      </c>
      <c r="J8" s="61">
        <v>41274</v>
      </c>
      <c r="K8" s="14">
        <v>4.9400830191095597</v>
      </c>
      <c r="L8" s="61">
        <v>40892</v>
      </c>
      <c r="M8" s="58">
        <v>45</v>
      </c>
      <c r="N8" s="58">
        <v>49.350000000000101</v>
      </c>
      <c r="O8" s="55">
        <v>0.40000000000001701</v>
      </c>
      <c r="P8" s="14">
        <v>0.79700938822160805</v>
      </c>
      <c r="Q8" s="57">
        <v>1.1984095928192776E-2</v>
      </c>
      <c r="R8" s="57">
        <v>1.8007683848245713E-2</v>
      </c>
      <c r="S8" s="15">
        <f t="shared" si="0"/>
        <v>4.9400830205898707</v>
      </c>
      <c r="T8" s="17">
        <f t="shared" si="1"/>
        <v>2.9965296910461348E-10</v>
      </c>
      <c r="U8" s="58">
        <f t="shared" si="2"/>
        <v>0.79700938820815292</v>
      </c>
      <c r="V8" s="18">
        <f t="shared" si="3"/>
        <v>-1.688205131245013E-11</v>
      </c>
      <c r="W8" s="58">
        <v>1.9256861906191882</v>
      </c>
      <c r="X8" s="58">
        <f t="shared" ref="X8:X42" si="5">W8/100</f>
        <v>1.9256861906191882E-2</v>
      </c>
      <c r="Y8" s="58">
        <f t="shared" ref="Y8:Y42" si="6">X8/Q8-1</f>
        <v>0.60686813770322123</v>
      </c>
    </row>
    <row r="9" spans="3:26" x14ac:dyDescent="0.25">
      <c r="C9" s="59" t="s">
        <v>24</v>
      </c>
      <c r="D9" s="59" t="s">
        <v>18</v>
      </c>
      <c r="E9" s="58">
        <v>155</v>
      </c>
      <c r="F9" s="59" t="s">
        <v>20</v>
      </c>
      <c r="G9" s="59" t="s">
        <v>28</v>
      </c>
      <c r="H9" s="57" t="str">
        <f t="shared" si="4"/>
        <v>P</v>
      </c>
      <c r="I9" s="61">
        <v>40909</v>
      </c>
      <c r="J9" s="61">
        <v>41274</v>
      </c>
      <c r="K9" s="14">
        <v>0.63676417745789604</v>
      </c>
      <c r="L9" s="61">
        <v>40892</v>
      </c>
      <c r="M9" s="58">
        <v>45</v>
      </c>
      <c r="N9" s="58">
        <v>49.350000000000101</v>
      </c>
      <c r="O9" s="55">
        <v>0.40000000000001701</v>
      </c>
      <c r="P9" s="14">
        <v>-0.19225931100863999</v>
      </c>
      <c r="Q9" s="57">
        <v>1.1984095928192776E-2</v>
      </c>
      <c r="R9" s="57">
        <v>1.8007683848245713E-2</v>
      </c>
      <c r="S9" s="15">
        <f t="shared" si="0"/>
        <v>0.63676417893737025</v>
      </c>
      <c r="T9" s="17">
        <f t="shared" si="1"/>
        <v>2.3234256740778392E-9</v>
      </c>
      <c r="U9" s="58">
        <f t="shared" si="2"/>
        <v>-0.19225931102228494</v>
      </c>
      <c r="V9" s="18">
        <f t="shared" si="3"/>
        <v>7.0971672982977907E-11</v>
      </c>
      <c r="W9" s="58">
        <v>1.9256861906191882</v>
      </c>
      <c r="X9" s="58">
        <f t="shared" si="5"/>
        <v>1.9256861906191882E-2</v>
      </c>
      <c r="Y9" s="58">
        <f t="shared" si="6"/>
        <v>0.60686813770322123</v>
      </c>
    </row>
    <row r="10" spans="3:26" x14ac:dyDescent="0.25">
      <c r="C10" s="59" t="s">
        <v>24</v>
      </c>
      <c r="D10" s="59" t="s">
        <v>18</v>
      </c>
      <c r="E10" s="58">
        <v>155</v>
      </c>
      <c r="F10" s="59" t="s">
        <v>20</v>
      </c>
      <c r="G10" s="59" t="s">
        <v>28</v>
      </c>
      <c r="H10" s="57" t="str">
        <f t="shared" si="4"/>
        <v>P</v>
      </c>
      <c r="I10" s="61">
        <v>40909</v>
      </c>
      <c r="J10" s="61">
        <v>41274</v>
      </c>
      <c r="K10" s="14">
        <v>0.63676417745789604</v>
      </c>
      <c r="L10" s="61">
        <v>40892</v>
      </c>
      <c r="M10" s="58">
        <v>45</v>
      </c>
      <c r="N10" s="58">
        <v>49.350000000000101</v>
      </c>
      <c r="O10" s="55">
        <v>0.40000000000001701</v>
      </c>
      <c r="P10" s="14">
        <v>-0.19225931100863999</v>
      </c>
      <c r="Q10" s="57">
        <v>1.1984095928192776E-2</v>
      </c>
      <c r="R10" s="57">
        <v>1.8007683848245713E-2</v>
      </c>
      <c r="S10" s="15">
        <f t="shared" si="0"/>
        <v>0.63676417893737025</v>
      </c>
      <c r="T10" s="17">
        <f t="shared" si="1"/>
        <v>2.3234256740778392E-9</v>
      </c>
      <c r="U10" s="58">
        <f t="shared" si="2"/>
        <v>-0.19225931102228494</v>
      </c>
      <c r="V10" s="18">
        <f t="shared" si="3"/>
        <v>7.0971672982977907E-11</v>
      </c>
      <c r="W10" s="58">
        <v>1.9256861906191882</v>
      </c>
      <c r="X10" s="58">
        <f t="shared" si="5"/>
        <v>1.9256861906191882E-2</v>
      </c>
      <c r="Y10" s="58">
        <f t="shared" si="6"/>
        <v>0.60686813770322123</v>
      </c>
    </row>
    <row r="11" spans="3:26" x14ac:dyDescent="0.25">
      <c r="C11" s="59" t="s">
        <v>24</v>
      </c>
      <c r="D11" s="59" t="s">
        <v>18</v>
      </c>
      <c r="E11" s="58">
        <v>155</v>
      </c>
      <c r="F11" s="59" t="s">
        <v>20</v>
      </c>
      <c r="G11" s="59" t="s">
        <v>29</v>
      </c>
      <c r="H11" s="57" t="str">
        <f t="shared" si="4"/>
        <v>C</v>
      </c>
      <c r="I11" s="61">
        <v>40909</v>
      </c>
      <c r="J11" s="61">
        <v>41274</v>
      </c>
      <c r="K11" s="14">
        <v>1.5254981313551901</v>
      </c>
      <c r="L11" s="61">
        <v>40892</v>
      </c>
      <c r="M11" s="58">
        <v>45</v>
      </c>
      <c r="N11" s="58">
        <v>44.581152094717602</v>
      </c>
      <c r="O11" s="55">
        <v>0.34047001747955502</v>
      </c>
      <c r="P11" s="14">
        <v>0.47609277779503101</v>
      </c>
      <c r="Q11" s="57">
        <v>1.1984095928192776E-2</v>
      </c>
      <c r="R11" s="57">
        <v>1.8007683848245713E-2</v>
      </c>
      <c r="S11" s="15">
        <f t="shared" si="0"/>
        <v>1.5254981316872918</v>
      </c>
      <c r="T11" s="17">
        <f t="shared" si="1"/>
        <v>2.17700524274278E-10</v>
      </c>
      <c r="U11" s="58">
        <f t="shared" si="2"/>
        <v>0.47609277780612091</v>
      </c>
      <c r="V11" s="18">
        <f t="shared" si="3"/>
        <v>2.3293589279660409E-11</v>
      </c>
      <c r="W11" s="58">
        <v>1.9256861906191882</v>
      </c>
      <c r="X11" s="58">
        <f t="shared" si="5"/>
        <v>1.9256861906191882E-2</v>
      </c>
      <c r="Y11" s="58">
        <f t="shared" si="6"/>
        <v>0.60686813770322123</v>
      </c>
    </row>
    <row r="12" spans="3:26" x14ac:dyDescent="0.25">
      <c r="C12" s="59" t="s">
        <v>24</v>
      </c>
      <c r="D12" s="59" t="s">
        <v>18</v>
      </c>
      <c r="E12" s="58">
        <v>155</v>
      </c>
      <c r="F12" s="59" t="s">
        <v>20</v>
      </c>
      <c r="G12" s="59" t="s">
        <v>29</v>
      </c>
      <c r="H12" s="57" t="str">
        <f t="shared" si="4"/>
        <v>C</v>
      </c>
      <c r="I12" s="61">
        <v>40909</v>
      </c>
      <c r="J12" s="61">
        <v>41274</v>
      </c>
      <c r="K12" s="14">
        <v>1.5254981313551901</v>
      </c>
      <c r="L12" s="61">
        <v>40892</v>
      </c>
      <c r="M12" s="58">
        <v>45</v>
      </c>
      <c r="N12" s="58">
        <v>44.581152094717602</v>
      </c>
      <c r="O12" s="55">
        <v>0.34047001747955502</v>
      </c>
      <c r="P12" s="14">
        <v>0.47609277779503101</v>
      </c>
      <c r="Q12" s="57">
        <v>1.1984095928192776E-2</v>
      </c>
      <c r="R12" s="57">
        <v>1.8007683848245713E-2</v>
      </c>
      <c r="S12" s="15">
        <f t="shared" si="0"/>
        <v>1.5254981316872918</v>
      </c>
      <c r="T12" s="17">
        <f t="shared" si="1"/>
        <v>2.17700524274278E-10</v>
      </c>
      <c r="U12" s="58">
        <f t="shared" si="2"/>
        <v>0.47609277780612091</v>
      </c>
      <c r="V12" s="18">
        <f t="shared" si="3"/>
        <v>2.3293589279660409E-11</v>
      </c>
      <c r="W12" s="58">
        <v>1.9256861906191882</v>
      </c>
      <c r="X12" s="58">
        <f t="shared" si="5"/>
        <v>1.9256861906191882E-2</v>
      </c>
      <c r="Y12" s="58">
        <f t="shared" si="6"/>
        <v>0.60686813770322123</v>
      </c>
    </row>
    <row r="13" spans="3:26" x14ac:dyDescent="0.25">
      <c r="C13" s="59" t="s">
        <v>24</v>
      </c>
      <c r="D13" s="59" t="s">
        <v>18</v>
      </c>
      <c r="E13" s="58">
        <v>155</v>
      </c>
      <c r="F13" s="59" t="s">
        <v>20</v>
      </c>
      <c r="G13" s="59" t="s">
        <v>31</v>
      </c>
      <c r="H13" s="57" t="str">
        <f t="shared" si="4"/>
        <v>P</v>
      </c>
      <c r="I13" s="61">
        <v>40909</v>
      </c>
      <c r="J13" s="61">
        <v>41274</v>
      </c>
      <c r="K13" s="14">
        <v>1.9398512537892501</v>
      </c>
      <c r="L13" s="61">
        <v>40892</v>
      </c>
      <c r="M13" s="58">
        <v>45</v>
      </c>
      <c r="N13" s="58">
        <v>44.581152094717602</v>
      </c>
      <c r="O13" s="55">
        <v>0.34047001747955502</v>
      </c>
      <c r="P13" s="14">
        <v>-0.51317592143521795</v>
      </c>
      <c r="Q13" s="57">
        <v>1.1984095928192776E-2</v>
      </c>
      <c r="R13" s="57">
        <v>1.8007683848245713E-2</v>
      </c>
      <c r="S13" s="15">
        <f t="shared" si="0"/>
        <v>1.9398512541214066</v>
      </c>
      <c r="T13" s="17">
        <f t="shared" si="1"/>
        <v>1.7122792073109849E-10</v>
      </c>
      <c r="U13" s="58">
        <f t="shared" si="2"/>
        <v>-0.51317592142431689</v>
      </c>
      <c r="V13" s="18">
        <f t="shared" si="3"/>
        <v>-2.124234121936297E-11</v>
      </c>
      <c r="W13" s="58">
        <v>1.9256861906191882</v>
      </c>
      <c r="X13" s="58">
        <f t="shared" si="5"/>
        <v>1.9256861906191882E-2</v>
      </c>
      <c r="Y13" s="58">
        <f t="shared" si="6"/>
        <v>0.60686813770322123</v>
      </c>
    </row>
    <row r="14" spans="3:26" x14ac:dyDescent="0.25">
      <c r="C14" s="59" t="s">
        <v>24</v>
      </c>
      <c r="D14" s="59" t="s">
        <v>18</v>
      </c>
      <c r="E14" s="58">
        <v>155</v>
      </c>
      <c r="F14" s="59" t="s">
        <v>20</v>
      </c>
      <c r="G14" s="59" t="s">
        <v>31</v>
      </c>
      <c r="H14" s="57" t="str">
        <f t="shared" si="4"/>
        <v>P</v>
      </c>
      <c r="I14" s="61">
        <v>40909</v>
      </c>
      <c r="J14" s="61">
        <v>41274</v>
      </c>
      <c r="K14" s="14">
        <v>1.9398512537892501</v>
      </c>
      <c r="L14" s="61">
        <v>40892</v>
      </c>
      <c r="M14" s="58">
        <v>45</v>
      </c>
      <c r="N14" s="58">
        <v>44.581152094717602</v>
      </c>
      <c r="O14" s="55">
        <v>0.34047001747955502</v>
      </c>
      <c r="P14" s="14">
        <v>-0.51317592143521795</v>
      </c>
      <c r="Q14" s="57">
        <v>1.1984095928192776E-2</v>
      </c>
      <c r="R14" s="57">
        <v>1.8007683848245713E-2</v>
      </c>
      <c r="S14" s="15">
        <f t="shared" si="0"/>
        <v>1.9398512541214066</v>
      </c>
      <c r="T14" s="17">
        <f t="shared" si="1"/>
        <v>1.7122792073109849E-10</v>
      </c>
      <c r="U14" s="58">
        <f t="shared" si="2"/>
        <v>-0.51317592142431689</v>
      </c>
      <c r="V14" s="18">
        <f t="shared" si="3"/>
        <v>-2.124234121936297E-11</v>
      </c>
      <c r="W14" s="58">
        <v>1.9256861906191882</v>
      </c>
      <c r="X14" s="58">
        <f t="shared" si="5"/>
        <v>1.9256861906191882E-2</v>
      </c>
      <c r="Y14" s="58">
        <f t="shared" si="6"/>
        <v>0.60686813770322123</v>
      </c>
    </row>
    <row r="15" spans="3:26" x14ac:dyDescent="0.25">
      <c r="C15" s="59" t="s">
        <v>24</v>
      </c>
      <c r="D15" s="59" t="s">
        <v>18</v>
      </c>
      <c r="E15" s="58">
        <v>155</v>
      </c>
      <c r="F15" s="59" t="s">
        <v>50</v>
      </c>
      <c r="G15" s="59" t="s">
        <v>29</v>
      </c>
      <c r="H15" s="57" t="str">
        <f t="shared" si="4"/>
        <v>C</v>
      </c>
      <c r="I15" s="61">
        <v>40909</v>
      </c>
      <c r="J15" s="61">
        <v>41274</v>
      </c>
      <c r="K15" s="14">
        <v>0.39407701945341</v>
      </c>
      <c r="L15" s="61">
        <v>40892</v>
      </c>
      <c r="M15" s="58">
        <v>45</v>
      </c>
      <c r="N15" s="58">
        <v>43.631152094717599</v>
      </c>
      <c r="O15" s="55">
        <v>0.182793396871897</v>
      </c>
      <c r="P15" s="14">
        <v>0.28355194458454103</v>
      </c>
      <c r="Q15" s="57">
        <v>1.1984095928192776E-2</v>
      </c>
      <c r="R15" s="57">
        <v>1.8007683848245713E-2</v>
      </c>
      <c r="S15" s="15">
        <f t="shared" si="0"/>
        <v>0.39407701969104092</v>
      </c>
      <c r="T15" s="17">
        <f t="shared" si="1"/>
        <v>6.030063115503026E-10</v>
      </c>
      <c r="U15" s="58">
        <f t="shared" si="2"/>
        <v>0.28355194462402711</v>
      </c>
      <c r="V15" s="18">
        <f t="shared" si="3"/>
        <v>1.3925527397873338E-10</v>
      </c>
      <c r="W15" s="58">
        <v>1.9256861906191882</v>
      </c>
      <c r="X15" s="58">
        <f t="shared" si="5"/>
        <v>1.9256861906191882E-2</v>
      </c>
      <c r="Y15" s="58">
        <f t="shared" si="6"/>
        <v>0.60686813770322123</v>
      </c>
    </row>
    <row r="16" spans="3:26" x14ac:dyDescent="0.25">
      <c r="C16" s="59" t="s">
        <v>24</v>
      </c>
      <c r="D16" s="59" t="s">
        <v>18</v>
      </c>
      <c r="E16" s="58">
        <v>155</v>
      </c>
      <c r="F16" s="59" t="s">
        <v>50</v>
      </c>
      <c r="G16" s="59" t="s">
        <v>29</v>
      </c>
      <c r="H16" s="57" t="str">
        <f t="shared" si="4"/>
        <v>C</v>
      </c>
      <c r="I16" s="61">
        <v>40909</v>
      </c>
      <c r="J16" s="61">
        <v>41274</v>
      </c>
      <c r="K16" s="14">
        <v>0.39407701945341</v>
      </c>
      <c r="L16" s="61">
        <v>40892</v>
      </c>
      <c r="M16" s="58">
        <v>45</v>
      </c>
      <c r="N16" s="58">
        <v>43.631152094717599</v>
      </c>
      <c r="O16" s="55">
        <v>0.182793396871897</v>
      </c>
      <c r="P16" s="14">
        <v>0.28355194458454103</v>
      </c>
      <c r="Q16" s="57">
        <v>1.1984095928192776E-2</v>
      </c>
      <c r="R16" s="57">
        <v>1.8007683848245713E-2</v>
      </c>
      <c r="S16" s="15">
        <f t="shared" si="0"/>
        <v>0.39407701969104092</v>
      </c>
      <c r="T16" s="17">
        <f t="shared" si="1"/>
        <v>6.030063115503026E-10</v>
      </c>
      <c r="U16" s="58">
        <f t="shared" si="2"/>
        <v>0.28355194462402711</v>
      </c>
      <c r="V16" s="18">
        <f t="shared" si="3"/>
        <v>1.3925527397873338E-10</v>
      </c>
      <c r="W16" s="58">
        <v>1.9256861906191882</v>
      </c>
      <c r="X16" s="58">
        <f t="shared" si="5"/>
        <v>1.9256861906191882E-2</v>
      </c>
      <c r="Y16" s="58">
        <f t="shared" si="6"/>
        <v>0.60686813770322123</v>
      </c>
    </row>
    <row r="17" spans="3:25" x14ac:dyDescent="0.25">
      <c r="C17" s="59" t="s">
        <v>24</v>
      </c>
      <c r="D17" s="59" t="s">
        <v>18</v>
      </c>
      <c r="E17" s="58">
        <v>155</v>
      </c>
      <c r="F17" s="59" t="s">
        <v>50</v>
      </c>
      <c r="G17" s="59" t="s">
        <v>31</v>
      </c>
      <c r="H17" s="57" t="str">
        <f t="shared" si="4"/>
        <v>P</v>
      </c>
      <c r="I17" s="61">
        <v>40909</v>
      </c>
      <c r="J17" s="61">
        <v>41274</v>
      </c>
      <c r="K17" s="14">
        <v>1.74823540615619</v>
      </c>
      <c r="L17" s="61">
        <v>40892</v>
      </c>
      <c r="M17" s="58">
        <v>45</v>
      </c>
      <c r="N17" s="58">
        <v>43.631152094717599</v>
      </c>
      <c r="O17" s="55">
        <v>0.182793396871897</v>
      </c>
      <c r="P17" s="14">
        <v>-0.70571675464570804</v>
      </c>
      <c r="Q17" s="57">
        <v>1.1984095928192776E-2</v>
      </c>
      <c r="R17" s="57">
        <v>1.8007683848245713E-2</v>
      </c>
      <c r="S17" s="15">
        <f t="shared" si="0"/>
        <v>1.7482354063940779</v>
      </c>
      <c r="T17" s="17">
        <f t="shared" si="1"/>
        <v>1.3607315274555276E-10</v>
      </c>
      <c r="U17" s="58">
        <f t="shared" si="2"/>
        <v>-0.7057167546064107</v>
      </c>
      <c r="V17" s="18">
        <f t="shared" si="3"/>
        <v>-5.5684346023099351E-11</v>
      </c>
      <c r="W17" s="58">
        <v>1.9256861906191882</v>
      </c>
      <c r="X17" s="58">
        <f t="shared" si="5"/>
        <v>1.9256861906191882E-2</v>
      </c>
      <c r="Y17" s="58">
        <f t="shared" si="6"/>
        <v>0.60686813770322123</v>
      </c>
    </row>
    <row r="18" spans="3:25" x14ac:dyDescent="0.25">
      <c r="C18" s="59" t="s">
        <v>24</v>
      </c>
      <c r="D18" s="59" t="s">
        <v>18</v>
      </c>
      <c r="E18" s="58">
        <v>155</v>
      </c>
      <c r="F18" s="59" t="s">
        <v>50</v>
      </c>
      <c r="G18" s="59" t="s">
        <v>31</v>
      </c>
      <c r="H18" s="57" t="str">
        <f t="shared" si="4"/>
        <v>P</v>
      </c>
      <c r="I18" s="61">
        <v>40909</v>
      </c>
      <c r="J18" s="61">
        <v>41274</v>
      </c>
      <c r="K18" s="14">
        <v>1.74823540615619</v>
      </c>
      <c r="L18" s="61">
        <v>40892</v>
      </c>
      <c r="M18" s="58">
        <v>45</v>
      </c>
      <c r="N18" s="58">
        <v>43.631152094717599</v>
      </c>
      <c r="O18" s="55">
        <v>0.182793396871897</v>
      </c>
      <c r="P18" s="14">
        <v>-0.70571675464570804</v>
      </c>
      <c r="Q18" s="57">
        <v>1.1984095928192776E-2</v>
      </c>
      <c r="R18" s="57">
        <v>1.8007683848245713E-2</v>
      </c>
      <c r="S18" s="15">
        <f t="shared" si="0"/>
        <v>1.7482354063940779</v>
      </c>
      <c r="T18" s="17">
        <f t="shared" si="1"/>
        <v>1.3607315274555276E-10</v>
      </c>
      <c r="U18" s="58">
        <f t="shared" si="2"/>
        <v>-0.7057167546064107</v>
      </c>
      <c r="V18" s="18">
        <f t="shared" si="3"/>
        <v>-5.5684346023099351E-11</v>
      </c>
      <c r="W18" s="58">
        <v>1.9256861906191882</v>
      </c>
      <c r="X18" s="58">
        <f t="shared" si="5"/>
        <v>1.9256861906191882E-2</v>
      </c>
      <c r="Y18" s="58">
        <f t="shared" si="6"/>
        <v>0.60686813770322123</v>
      </c>
    </row>
    <row r="19" spans="3:25" x14ac:dyDescent="0.25">
      <c r="C19" s="59" t="s">
        <v>24</v>
      </c>
      <c r="D19" s="59" t="s">
        <v>18</v>
      </c>
      <c r="E19" s="58">
        <v>154</v>
      </c>
      <c r="F19" s="59" t="s">
        <v>20</v>
      </c>
      <c r="G19" s="59" t="s">
        <v>32</v>
      </c>
      <c r="H19" s="57" t="str">
        <f t="shared" si="4"/>
        <v>C</v>
      </c>
      <c r="I19" s="61">
        <v>41000</v>
      </c>
      <c r="J19" s="61">
        <v>41090</v>
      </c>
      <c r="K19" s="14">
        <v>5.7734364512692702</v>
      </c>
      <c r="L19" s="61">
        <v>40983</v>
      </c>
      <c r="M19" s="58">
        <v>45</v>
      </c>
      <c r="N19" s="58">
        <v>47.3500000000002</v>
      </c>
      <c r="O19" s="55">
        <v>0.429999999999986</v>
      </c>
      <c r="P19" s="14">
        <v>0.62410550865660797</v>
      </c>
      <c r="Q19" s="57">
        <v>1.5348741400881759E-2</v>
      </c>
      <c r="R19" s="57">
        <v>1.6852608250632038E-2</v>
      </c>
      <c r="S19" s="15">
        <f t="shared" si="0"/>
        <v>5.7734364515473278</v>
      </c>
      <c r="T19" s="17">
        <f t="shared" si="1"/>
        <v>4.8161474808239291E-11</v>
      </c>
      <c r="U19" s="58">
        <f t="shared" si="2"/>
        <v>0.62410550865664549</v>
      </c>
      <c r="V19" s="18">
        <f t="shared" si="3"/>
        <v>6.0174087934683484E-14</v>
      </c>
      <c r="X19" s="58">
        <f t="shared" si="5"/>
        <v>0</v>
      </c>
      <c r="Y19" s="58">
        <f t="shared" si="6"/>
        <v>-1</v>
      </c>
    </row>
    <row r="20" spans="3:25" x14ac:dyDescent="0.25">
      <c r="C20" s="59" t="s">
        <v>24</v>
      </c>
      <c r="D20" s="59" t="s">
        <v>18</v>
      </c>
      <c r="E20" s="58">
        <v>154</v>
      </c>
      <c r="F20" s="59" t="s">
        <v>20</v>
      </c>
      <c r="G20" s="59" t="s">
        <v>32</v>
      </c>
      <c r="H20" s="57" t="str">
        <f t="shared" si="4"/>
        <v>C</v>
      </c>
      <c r="I20" s="61">
        <v>41000</v>
      </c>
      <c r="J20" s="61">
        <v>41090</v>
      </c>
      <c r="K20" s="14">
        <v>5.7734364512692702</v>
      </c>
      <c r="L20" s="61">
        <v>40983</v>
      </c>
      <c r="M20" s="58">
        <v>45</v>
      </c>
      <c r="N20" s="58">
        <v>47.3500000000002</v>
      </c>
      <c r="O20" s="55">
        <v>0.429999999999986</v>
      </c>
      <c r="P20" s="14">
        <v>0.62410550865660797</v>
      </c>
      <c r="Q20" s="57">
        <v>1.5348741400881759E-2</v>
      </c>
      <c r="R20" s="57">
        <v>1.6852608250632038E-2</v>
      </c>
      <c r="S20" s="15">
        <f t="shared" si="0"/>
        <v>5.7734364515473278</v>
      </c>
      <c r="T20" s="17">
        <f t="shared" si="1"/>
        <v>4.8161474808239291E-11</v>
      </c>
      <c r="U20" s="58">
        <f t="shared" si="2"/>
        <v>0.62410550865664549</v>
      </c>
      <c r="V20" s="18">
        <f t="shared" si="3"/>
        <v>6.0174087934683484E-14</v>
      </c>
      <c r="X20" s="58">
        <f t="shared" si="5"/>
        <v>0</v>
      </c>
      <c r="Y20" s="58">
        <f t="shared" si="6"/>
        <v>-1</v>
      </c>
    </row>
    <row r="21" spans="3:25" x14ac:dyDescent="0.25">
      <c r="C21" s="59" t="s">
        <v>24</v>
      </c>
      <c r="D21" s="59" t="s">
        <v>18</v>
      </c>
      <c r="E21" s="58">
        <v>154</v>
      </c>
      <c r="F21" s="59" t="s">
        <v>20</v>
      </c>
      <c r="G21" s="59" t="s">
        <v>35</v>
      </c>
      <c r="H21" s="57" t="str">
        <f t="shared" si="4"/>
        <v>P</v>
      </c>
      <c r="I21" s="61">
        <v>41000</v>
      </c>
      <c r="J21" s="61">
        <v>41090</v>
      </c>
      <c r="K21" s="14">
        <v>3.4419913236675699</v>
      </c>
      <c r="L21" s="61">
        <v>40983</v>
      </c>
      <c r="M21" s="58">
        <v>45</v>
      </c>
      <c r="N21" s="58">
        <v>47.3500000000002</v>
      </c>
      <c r="O21" s="55">
        <v>0.429999999999986</v>
      </c>
      <c r="P21" s="14">
        <v>-0.36799880096103199</v>
      </c>
      <c r="Q21" s="57">
        <v>1.5348741400881759E-2</v>
      </c>
      <c r="R21" s="57">
        <v>1.6852608250632038E-2</v>
      </c>
      <c r="S21" s="15">
        <f t="shared" si="0"/>
        <v>3.4419913239456341</v>
      </c>
      <c r="T21" s="17">
        <f t="shared" si="1"/>
        <v>8.0785822476059366E-11</v>
      </c>
      <c r="U21" s="58">
        <f t="shared" si="2"/>
        <v>-0.36799880096101184</v>
      </c>
      <c r="V21" s="18">
        <f t="shared" si="3"/>
        <v>-5.4733995114020217E-14</v>
      </c>
      <c r="X21" s="58">
        <f t="shared" si="5"/>
        <v>0</v>
      </c>
      <c r="Y21" s="58">
        <f t="shared" si="6"/>
        <v>-1</v>
      </c>
    </row>
    <row r="22" spans="3:25" x14ac:dyDescent="0.25">
      <c r="C22" s="59" t="s">
        <v>24</v>
      </c>
      <c r="D22" s="59" t="s">
        <v>18</v>
      </c>
      <c r="E22" s="58">
        <v>154</v>
      </c>
      <c r="F22" s="59" t="s">
        <v>20</v>
      </c>
      <c r="G22" s="59" t="s">
        <v>35</v>
      </c>
      <c r="H22" s="57" t="str">
        <f t="shared" si="4"/>
        <v>P</v>
      </c>
      <c r="I22" s="61">
        <v>41000</v>
      </c>
      <c r="J22" s="61">
        <v>41090</v>
      </c>
      <c r="K22" s="14">
        <v>3.4419913236675699</v>
      </c>
      <c r="L22" s="61">
        <v>40983</v>
      </c>
      <c r="M22" s="58">
        <v>45</v>
      </c>
      <c r="N22" s="58">
        <v>47.3500000000002</v>
      </c>
      <c r="O22" s="55">
        <v>0.429999999999986</v>
      </c>
      <c r="P22" s="14">
        <v>-0.36799880096103199</v>
      </c>
      <c r="Q22" s="57">
        <v>1.5348741400881759E-2</v>
      </c>
      <c r="R22" s="57">
        <v>1.6852608250632038E-2</v>
      </c>
      <c r="S22" s="15">
        <f t="shared" si="0"/>
        <v>3.4419913239456341</v>
      </c>
      <c r="T22" s="17">
        <f t="shared" si="1"/>
        <v>8.0785822476059366E-11</v>
      </c>
      <c r="U22" s="58">
        <f t="shared" si="2"/>
        <v>-0.36799880096101184</v>
      </c>
      <c r="V22" s="18">
        <f t="shared" si="3"/>
        <v>-5.4733995114020217E-14</v>
      </c>
      <c r="X22" s="58">
        <f t="shared" si="5"/>
        <v>0</v>
      </c>
      <c r="Y22" s="58">
        <f t="shared" si="6"/>
        <v>-1</v>
      </c>
    </row>
    <row r="23" spans="3:25" x14ac:dyDescent="0.25">
      <c r="C23" s="59" t="s">
        <v>24</v>
      </c>
      <c r="D23" s="59" t="s">
        <v>18</v>
      </c>
      <c r="E23" s="58">
        <v>154</v>
      </c>
      <c r="F23" s="59" t="s">
        <v>20</v>
      </c>
      <c r="G23" s="59" t="s">
        <v>36</v>
      </c>
      <c r="H23" s="57" t="str">
        <f t="shared" si="4"/>
        <v>C</v>
      </c>
      <c r="I23" s="61">
        <v>41000</v>
      </c>
      <c r="J23" s="61">
        <v>41090</v>
      </c>
      <c r="K23" s="14">
        <v>2.8603866921500698</v>
      </c>
      <c r="L23" s="61">
        <v>40983</v>
      </c>
      <c r="M23" s="58">
        <v>45</v>
      </c>
      <c r="N23" s="58">
        <v>42.499999999999702</v>
      </c>
      <c r="O23" s="55">
        <v>0.4</v>
      </c>
      <c r="P23" s="14">
        <v>0.44355446249700498</v>
      </c>
      <c r="Q23" s="57">
        <v>1.5348741400881759E-2</v>
      </c>
      <c r="R23" s="57">
        <v>1.6852608250632038E-2</v>
      </c>
      <c r="S23" s="15">
        <f t="shared" si="0"/>
        <v>2.8603866925725754</v>
      </c>
      <c r="T23" s="17">
        <f t="shared" si="1"/>
        <v>1.477091782220441E-10</v>
      </c>
      <c r="U23" s="58">
        <f t="shared" si="2"/>
        <v>0.44355446250382274</v>
      </c>
      <c r="V23" s="18">
        <f t="shared" si="3"/>
        <v>1.5370815731330367E-11</v>
      </c>
      <c r="X23" s="58">
        <f t="shared" si="5"/>
        <v>0</v>
      </c>
      <c r="Y23" s="58">
        <f t="shared" si="6"/>
        <v>-1</v>
      </c>
    </row>
    <row r="24" spans="3:25" x14ac:dyDescent="0.25">
      <c r="C24" s="59" t="s">
        <v>24</v>
      </c>
      <c r="D24" s="59" t="s">
        <v>18</v>
      </c>
      <c r="E24" s="58">
        <v>154</v>
      </c>
      <c r="F24" s="59" t="s">
        <v>20</v>
      </c>
      <c r="G24" s="59" t="s">
        <v>36</v>
      </c>
      <c r="H24" s="57" t="str">
        <f t="shared" si="4"/>
        <v>C</v>
      </c>
      <c r="I24" s="61">
        <v>41000</v>
      </c>
      <c r="J24" s="61">
        <v>41090</v>
      </c>
      <c r="K24" s="14">
        <v>2.8603866921500698</v>
      </c>
      <c r="L24" s="61">
        <v>40983</v>
      </c>
      <c r="M24" s="58">
        <v>45</v>
      </c>
      <c r="N24" s="58">
        <v>42.499999999999702</v>
      </c>
      <c r="O24" s="55">
        <v>0.4</v>
      </c>
      <c r="P24" s="14">
        <v>0.44355446249700498</v>
      </c>
      <c r="Q24" s="57">
        <v>1.5348741400881759E-2</v>
      </c>
      <c r="R24" s="57">
        <v>1.6852608250632038E-2</v>
      </c>
      <c r="S24" s="15">
        <f t="shared" si="0"/>
        <v>2.8603866925725754</v>
      </c>
      <c r="T24" s="17">
        <f t="shared" si="1"/>
        <v>1.477091782220441E-10</v>
      </c>
      <c r="U24" s="58">
        <f t="shared" si="2"/>
        <v>0.44355446250382274</v>
      </c>
      <c r="V24" s="18">
        <f t="shared" si="3"/>
        <v>1.5370815731330367E-11</v>
      </c>
      <c r="X24" s="58">
        <f t="shared" si="5"/>
        <v>0</v>
      </c>
      <c r="Y24" s="58">
        <f t="shared" si="6"/>
        <v>-1</v>
      </c>
    </row>
    <row r="25" spans="3:25" x14ac:dyDescent="0.25">
      <c r="C25" s="59" t="s">
        <v>24</v>
      </c>
      <c r="D25" s="59" t="s">
        <v>18</v>
      </c>
      <c r="E25" s="58">
        <v>154</v>
      </c>
      <c r="F25" s="59" t="s">
        <v>20</v>
      </c>
      <c r="G25" s="59" t="s">
        <v>38</v>
      </c>
      <c r="H25" s="57" t="str">
        <f t="shared" si="4"/>
        <v>P</v>
      </c>
      <c r="I25" s="61">
        <v>41000</v>
      </c>
      <c r="J25" s="61">
        <v>41090</v>
      </c>
      <c r="K25" s="14">
        <v>5.3406474661944401</v>
      </c>
      <c r="L25" s="61">
        <v>40983</v>
      </c>
      <c r="M25" s="58">
        <v>45</v>
      </c>
      <c r="N25" s="58">
        <v>42.499999999999702</v>
      </c>
      <c r="O25" s="55">
        <v>0.4</v>
      </c>
      <c r="P25" s="14">
        <v>-0.54854984712063504</v>
      </c>
      <c r="Q25" s="57">
        <v>1.5348741400881759E-2</v>
      </c>
      <c r="R25" s="57">
        <v>1.6852608250632038E-2</v>
      </c>
      <c r="S25" s="15">
        <f t="shared" si="0"/>
        <v>5.3406474666170149</v>
      </c>
      <c r="T25" s="17">
        <f t="shared" si="1"/>
        <v>7.9124262697405356E-11</v>
      </c>
      <c r="U25" s="58">
        <f t="shared" si="2"/>
        <v>-0.5485498471138347</v>
      </c>
      <c r="V25" s="18">
        <f t="shared" si="3"/>
        <v>-1.2396972337569423E-11</v>
      </c>
      <c r="X25" s="58">
        <f t="shared" si="5"/>
        <v>0</v>
      </c>
      <c r="Y25" s="58">
        <f t="shared" si="6"/>
        <v>-1</v>
      </c>
    </row>
    <row r="26" spans="3:25" x14ac:dyDescent="0.25">
      <c r="C26" s="59" t="s">
        <v>24</v>
      </c>
      <c r="D26" s="59" t="s">
        <v>18</v>
      </c>
      <c r="E26" s="58">
        <v>154</v>
      </c>
      <c r="F26" s="59" t="s">
        <v>20</v>
      </c>
      <c r="G26" s="59" t="s">
        <v>38</v>
      </c>
      <c r="H26" s="57" t="str">
        <f t="shared" si="4"/>
        <v>P</v>
      </c>
      <c r="I26" s="61">
        <v>41000</v>
      </c>
      <c r="J26" s="61">
        <v>41090</v>
      </c>
      <c r="K26" s="14">
        <v>5.3406474661944401</v>
      </c>
      <c r="L26" s="61">
        <v>40983</v>
      </c>
      <c r="M26" s="58">
        <v>45</v>
      </c>
      <c r="N26" s="58">
        <v>42.499999999999702</v>
      </c>
      <c r="O26" s="55">
        <v>0.4</v>
      </c>
      <c r="P26" s="14">
        <v>-0.54854984712063504</v>
      </c>
      <c r="Q26" s="57">
        <v>1.5348741400881759E-2</v>
      </c>
      <c r="R26" s="57">
        <v>1.6852608250632038E-2</v>
      </c>
      <c r="S26" s="15">
        <f t="shared" si="0"/>
        <v>5.3406474666170149</v>
      </c>
      <c r="T26" s="17">
        <f t="shared" si="1"/>
        <v>7.9124262697405356E-11</v>
      </c>
      <c r="U26" s="58">
        <f t="shared" si="2"/>
        <v>-0.5485498471138347</v>
      </c>
      <c r="V26" s="18">
        <f t="shared" si="3"/>
        <v>-1.2396972337569423E-11</v>
      </c>
      <c r="X26" s="58">
        <f t="shared" si="5"/>
        <v>0</v>
      </c>
      <c r="Y26" s="58">
        <f t="shared" si="6"/>
        <v>-1</v>
      </c>
    </row>
    <row r="27" spans="3:25" x14ac:dyDescent="0.25">
      <c r="C27" s="59" t="s">
        <v>24</v>
      </c>
      <c r="D27" s="59" t="s">
        <v>18</v>
      </c>
      <c r="E27" s="58">
        <v>154</v>
      </c>
      <c r="F27" s="59" t="s">
        <v>50</v>
      </c>
      <c r="G27" s="59" t="s">
        <v>36</v>
      </c>
      <c r="H27" s="57" t="str">
        <f t="shared" si="4"/>
        <v>C</v>
      </c>
      <c r="I27" s="61">
        <v>41000</v>
      </c>
      <c r="J27" s="61">
        <v>41090</v>
      </c>
      <c r="K27" s="14">
        <v>1.0950731517396399</v>
      </c>
      <c r="L27" s="61">
        <v>40983</v>
      </c>
      <c r="M27" s="58">
        <v>45</v>
      </c>
      <c r="N27" s="58">
        <v>42.369999999999699</v>
      </c>
      <c r="O27" s="55">
        <v>0.216458629037584</v>
      </c>
      <c r="P27" s="14">
        <v>0.33425660147371999</v>
      </c>
      <c r="Q27" s="57">
        <v>1.5348741400881801E-2</v>
      </c>
      <c r="R27" s="57">
        <v>1.6852608250631999E-2</v>
      </c>
      <c r="S27" s="15">
        <f t="shared" si="0"/>
        <v>1.0950731526824071</v>
      </c>
      <c r="T27" s="17">
        <f t="shared" si="1"/>
        <v>8.6091711537505944E-10</v>
      </c>
      <c r="U27" s="58">
        <f t="shared" si="2"/>
        <v>0.33425660148276559</v>
      </c>
      <c r="V27" s="18">
        <f t="shared" si="3"/>
        <v>2.7061908269843116E-11</v>
      </c>
      <c r="X27" s="58">
        <f t="shared" si="5"/>
        <v>0</v>
      </c>
      <c r="Y27" s="58">
        <f t="shared" si="6"/>
        <v>-1</v>
      </c>
    </row>
    <row r="28" spans="3:25" x14ac:dyDescent="0.25">
      <c r="C28" s="59" t="s">
        <v>24</v>
      </c>
      <c r="D28" s="59" t="s">
        <v>18</v>
      </c>
      <c r="E28" s="58">
        <v>154</v>
      </c>
      <c r="F28" s="59" t="s">
        <v>50</v>
      </c>
      <c r="G28" s="59" t="s">
        <v>36</v>
      </c>
      <c r="H28" s="57" t="str">
        <f t="shared" si="4"/>
        <v>C</v>
      </c>
      <c r="I28" s="61">
        <v>41000</v>
      </c>
      <c r="J28" s="61">
        <v>41090</v>
      </c>
      <c r="K28" s="14">
        <v>1.0950731517396399</v>
      </c>
      <c r="L28" s="61">
        <v>40983</v>
      </c>
      <c r="M28" s="58">
        <v>45</v>
      </c>
      <c r="N28" s="58">
        <v>42.369999999999699</v>
      </c>
      <c r="O28" s="55">
        <v>0.216458629037584</v>
      </c>
      <c r="P28" s="14">
        <v>0.33425660147371999</v>
      </c>
      <c r="Q28" s="57">
        <v>1.5348741400881801E-2</v>
      </c>
      <c r="R28" s="57">
        <v>1.6852608250631999E-2</v>
      </c>
      <c r="S28" s="15">
        <f t="shared" si="0"/>
        <v>1.0950731526824071</v>
      </c>
      <c r="T28" s="17">
        <f t="shared" si="1"/>
        <v>8.6091711537505944E-10</v>
      </c>
      <c r="U28" s="58">
        <f t="shared" si="2"/>
        <v>0.33425660148276559</v>
      </c>
      <c r="V28" s="18">
        <f t="shared" si="3"/>
        <v>2.7061908269843116E-11</v>
      </c>
      <c r="X28" s="58">
        <f t="shared" si="5"/>
        <v>0</v>
      </c>
      <c r="Y28" s="58">
        <f t="shared" si="6"/>
        <v>-1</v>
      </c>
    </row>
    <row r="29" spans="3:25" x14ac:dyDescent="0.25">
      <c r="C29" s="59" t="s">
        <v>24</v>
      </c>
      <c r="D29" s="59" t="s">
        <v>18</v>
      </c>
      <c r="E29" s="58">
        <v>154</v>
      </c>
      <c r="F29" s="59" t="s">
        <v>50</v>
      </c>
      <c r="G29" s="59" t="s">
        <v>38</v>
      </c>
      <c r="H29" s="57" t="str">
        <f t="shared" si="4"/>
        <v>P</v>
      </c>
      <c r="I29" s="61">
        <v>41000</v>
      </c>
      <c r="J29" s="61">
        <v>41090</v>
      </c>
      <c r="K29" s="14">
        <v>3.70430748603428</v>
      </c>
      <c r="L29" s="61">
        <v>40983</v>
      </c>
      <c r="M29" s="58">
        <v>45</v>
      </c>
      <c r="N29" s="58">
        <v>42.369999999999699</v>
      </c>
      <c r="O29" s="55">
        <v>0.216458629037584</v>
      </c>
      <c r="P29" s="14">
        <v>-0.65784770814392102</v>
      </c>
      <c r="Q29" s="57">
        <v>1.5348741400881801E-2</v>
      </c>
      <c r="R29" s="57">
        <v>1.6852608250631999E-2</v>
      </c>
      <c r="S29" s="15">
        <f t="shared" si="0"/>
        <v>3.704307486977152</v>
      </c>
      <c r="T29" s="17">
        <f t="shared" si="1"/>
        <v>2.5453394947305696E-10</v>
      </c>
      <c r="U29" s="58">
        <f t="shared" si="2"/>
        <v>-0.6578477081348939</v>
      </c>
      <c r="V29" s="18">
        <f t="shared" si="3"/>
        <v>-1.3722245562064472E-11</v>
      </c>
      <c r="X29" s="58">
        <f t="shared" si="5"/>
        <v>0</v>
      </c>
      <c r="Y29" s="58">
        <f t="shared" si="6"/>
        <v>-1</v>
      </c>
    </row>
    <row r="30" spans="3:25" x14ac:dyDescent="0.25">
      <c r="C30" s="59" t="s">
        <v>24</v>
      </c>
      <c r="D30" s="59" t="s">
        <v>18</v>
      </c>
      <c r="E30" s="58">
        <v>154</v>
      </c>
      <c r="F30" s="59" t="s">
        <v>50</v>
      </c>
      <c r="G30" s="59" t="s">
        <v>38</v>
      </c>
      <c r="H30" s="57" t="str">
        <f t="shared" si="4"/>
        <v>P</v>
      </c>
      <c r="I30" s="61">
        <v>41000</v>
      </c>
      <c r="J30" s="61">
        <v>41090</v>
      </c>
      <c r="K30" s="14">
        <v>3.70430748603428</v>
      </c>
      <c r="L30" s="61">
        <v>40983</v>
      </c>
      <c r="M30" s="58">
        <v>45</v>
      </c>
      <c r="N30" s="58">
        <v>42.369999999999699</v>
      </c>
      <c r="O30" s="55">
        <v>0.216458629037584</v>
      </c>
      <c r="P30" s="14">
        <v>-0.65784770814392102</v>
      </c>
      <c r="Q30" s="57">
        <v>1.5348741400881801E-2</v>
      </c>
      <c r="R30" s="57">
        <v>1.6852608250631999E-2</v>
      </c>
      <c r="S30" s="15">
        <f t="shared" si="0"/>
        <v>3.704307486977152</v>
      </c>
      <c r="T30" s="17">
        <f t="shared" si="1"/>
        <v>2.5453394947305696E-10</v>
      </c>
      <c r="U30" s="58">
        <f t="shared" si="2"/>
        <v>-0.6578477081348939</v>
      </c>
      <c r="V30" s="18">
        <f t="shared" si="3"/>
        <v>-1.3722245562064472E-11</v>
      </c>
      <c r="X30" s="58">
        <f t="shared" si="5"/>
        <v>0</v>
      </c>
      <c r="Y30" s="58">
        <f t="shared" si="6"/>
        <v>-1</v>
      </c>
    </row>
    <row r="31" spans="3:25" x14ac:dyDescent="0.25">
      <c r="C31" s="59" t="s">
        <v>24</v>
      </c>
      <c r="D31" s="59" t="s">
        <v>18</v>
      </c>
      <c r="E31" s="58">
        <v>153</v>
      </c>
      <c r="F31" s="59" t="s">
        <v>20</v>
      </c>
      <c r="G31" s="59" t="s">
        <v>39</v>
      </c>
      <c r="H31" s="57" t="str">
        <f t="shared" si="4"/>
        <v>C</v>
      </c>
      <c r="I31" s="61">
        <v>41061</v>
      </c>
      <c r="J31" s="61">
        <v>41090</v>
      </c>
      <c r="K31" s="14">
        <v>6.7317554624708897</v>
      </c>
      <c r="L31" s="61">
        <v>41046</v>
      </c>
      <c r="M31" s="58">
        <v>45</v>
      </c>
      <c r="N31" s="58">
        <v>46.217855787663197</v>
      </c>
      <c r="O31" s="55">
        <v>0.47999999999999499</v>
      </c>
      <c r="P31" s="14">
        <v>0.59232403996246297</v>
      </c>
      <c r="Q31" s="57">
        <v>1.6890085607426466E-2</v>
      </c>
      <c r="R31" s="57">
        <v>1.761662072260161E-2</v>
      </c>
      <c r="S31" s="15">
        <f t="shared" si="0"/>
        <v>6.7317554626621314</v>
      </c>
      <c r="T31" s="17">
        <f t="shared" si="1"/>
        <v>2.8408830843318356E-11</v>
      </c>
      <c r="U31" s="58">
        <f t="shared" si="2"/>
        <v>0.59232403996360605</v>
      </c>
      <c r="V31" s="18">
        <f t="shared" si="3"/>
        <v>1.9297896614034471E-12</v>
      </c>
      <c r="X31" s="58">
        <f t="shared" si="5"/>
        <v>0</v>
      </c>
      <c r="Y31" s="58">
        <f t="shared" si="6"/>
        <v>-1</v>
      </c>
    </row>
    <row r="32" spans="3:25" x14ac:dyDescent="0.25">
      <c r="C32" s="59" t="s">
        <v>24</v>
      </c>
      <c r="D32" s="59" t="s">
        <v>18</v>
      </c>
      <c r="E32" s="58">
        <v>153</v>
      </c>
      <c r="F32" s="59" t="s">
        <v>20</v>
      </c>
      <c r="G32" s="59" t="s">
        <v>39</v>
      </c>
      <c r="H32" s="57" t="str">
        <f t="shared" si="4"/>
        <v>C</v>
      </c>
      <c r="I32" s="61">
        <v>41061</v>
      </c>
      <c r="J32" s="61">
        <v>41090</v>
      </c>
      <c r="K32" s="14">
        <v>6.7317554624708897</v>
      </c>
      <c r="L32" s="61">
        <v>41046</v>
      </c>
      <c r="M32" s="58">
        <v>45</v>
      </c>
      <c r="N32" s="58">
        <v>46.217855787663197</v>
      </c>
      <c r="O32" s="55">
        <v>0.47999999999999499</v>
      </c>
      <c r="P32" s="14">
        <v>0.59232403996246297</v>
      </c>
      <c r="Q32" s="57">
        <v>1.6890085607426466E-2</v>
      </c>
      <c r="R32" s="57">
        <v>1.761662072260161E-2</v>
      </c>
      <c r="S32" s="15">
        <f t="shared" si="0"/>
        <v>6.7317554626621314</v>
      </c>
      <c r="T32" s="17">
        <f t="shared" si="1"/>
        <v>2.8408830843318356E-11</v>
      </c>
      <c r="U32" s="58">
        <f t="shared" si="2"/>
        <v>0.59232403996360605</v>
      </c>
      <c r="V32" s="18">
        <f t="shared" si="3"/>
        <v>1.9297896614034471E-12</v>
      </c>
      <c r="X32" s="58">
        <f t="shared" si="5"/>
        <v>0</v>
      </c>
      <c r="Y32" s="58">
        <f t="shared" si="6"/>
        <v>-1</v>
      </c>
    </row>
    <row r="33" spans="3:25" x14ac:dyDescent="0.25">
      <c r="C33" s="59" t="s">
        <v>24</v>
      </c>
      <c r="D33" s="59" t="s">
        <v>18</v>
      </c>
      <c r="E33" s="58">
        <v>153</v>
      </c>
      <c r="F33" s="59" t="s">
        <v>20</v>
      </c>
      <c r="G33" s="59" t="s">
        <v>42</v>
      </c>
      <c r="H33" s="57" t="str">
        <f t="shared" si="4"/>
        <v>P</v>
      </c>
      <c r="I33" s="61">
        <v>41061</v>
      </c>
      <c r="J33" s="61">
        <v>41090</v>
      </c>
      <c r="K33" s="14">
        <v>5.5259138968668804</v>
      </c>
      <c r="L33" s="61">
        <v>41046</v>
      </c>
      <c r="M33" s="58">
        <v>45</v>
      </c>
      <c r="N33" s="58">
        <v>46.217855787663197</v>
      </c>
      <c r="O33" s="55">
        <v>0.47999999999999499</v>
      </c>
      <c r="P33" s="14">
        <v>-0.397810898688781</v>
      </c>
      <c r="Q33" s="57">
        <v>1.6890085607426466E-2</v>
      </c>
      <c r="R33" s="57">
        <v>1.761662072260161E-2</v>
      </c>
      <c r="S33" s="15">
        <f t="shared" si="0"/>
        <v>5.5259138970581727</v>
      </c>
      <c r="T33" s="17">
        <f t="shared" si="1"/>
        <v>3.4617420041627156E-11</v>
      </c>
      <c r="U33" s="58">
        <f t="shared" si="2"/>
        <v>-0.39781089868763886</v>
      </c>
      <c r="V33" s="18">
        <f t="shared" si="3"/>
        <v>-2.8710367416806548E-12</v>
      </c>
      <c r="X33" s="58">
        <f t="shared" si="5"/>
        <v>0</v>
      </c>
      <c r="Y33" s="58">
        <f t="shared" si="6"/>
        <v>-1</v>
      </c>
    </row>
    <row r="34" spans="3:25" x14ac:dyDescent="0.25">
      <c r="C34" s="59" t="s">
        <v>24</v>
      </c>
      <c r="D34" s="59" t="s">
        <v>18</v>
      </c>
      <c r="E34" s="58">
        <v>153</v>
      </c>
      <c r="F34" s="59" t="s">
        <v>20</v>
      </c>
      <c r="G34" s="59" t="s">
        <v>42</v>
      </c>
      <c r="H34" s="57" t="str">
        <f t="shared" si="4"/>
        <v>P</v>
      </c>
      <c r="I34" s="61">
        <v>41061</v>
      </c>
      <c r="J34" s="61">
        <v>41090</v>
      </c>
      <c r="K34" s="14">
        <v>5.5259138968668804</v>
      </c>
      <c r="L34" s="61">
        <v>41046</v>
      </c>
      <c r="M34" s="58">
        <v>45</v>
      </c>
      <c r="N34" s="58">
        <v>46.217855787663197</v>
      </c>
      <c r="O34" s="55">
        <v>0.47999999999999499</v>
      </c>
      <c r="P34" s="14">
        <v>-0.397810898688781</v>
      </c>
      <c r="Q34" s="57">
        <v>1.6890085607426466E-2</v>
      </c>
      <c r="R34" s="57">
        <v>1.761662072260161E-2</v>
      </c>
      <c r="S34" s="15">
        <f t="shared" si="0"/>
        <v>5.5259138970581727</v>
      </c>
      <c r="T34" s="17">
        <f t="shared" si="1"/>
        <v>3.4617420041627156E-11</v>
      </c>
      <c r="U34" s="58">
        <f t="shared" si="2"/>
        <v>-0.39781089868763886</v>
      </c>
      <c r="V34" s="18">
        <f t="shared" si="3"/>
        <v>-2.8710367416806548E-12</v>
      </c>
      <c r="X34" s="58">
        <f t="shared" si="5"/>
        <v>0</v>
      </c>
      <c r="Y34" s="58">
        <f t="shared" si="6"/>
        <v>-1</v>
      </c>
    </row>
    <row r="35" spans="3:25" x14ac:dyDescent="0.25">
      <c r="C35" s="59" t="s">
        <v>24</v>
      </c>
      <c r="D35" s="59" t="s">
        <v>18</v>
      </c>
      <c r="E35" s="58">
        <v>153</v>
      </c>
      <c r="F35" s="59" t="s">
        <v>20</v>
      </c>
      <c r="G35" s="59" t="s">
        <v>43</v>
      </c>
      <c r="H35" s="57" t="str">
        <f t="shared" si="4"/>
        <v>C</v>
      </c>
      <c r="I35" s="61">
        <v>41061</v>
      </c>
      <c r="J35" s="61">
        <v>41090</v>
      </c>
      <c r="K35" s="14">
        <v>3.9600567191859701</v>
      </c>
      <c r="L35" s="61">
        <v>41046</v>
      </c>
      <c r="M35" s="58">
        <v>45</v>
      </c>
      <c r="N35" s="58">
        <v>41.9366666666659</v>
      </c>
      <c r="O35" s="55">
        <v>0.440000000000001</v>
      </c>
      <c r="P35" s="14">
        <v>0.46764651435367899</v>
      </c>
      <c r="Q35" s="57">
        <v>1.6890085607426466E-2</v>
      </c>
      <c r="R35" s="57">
        <v>1.761662072260161E-2</v>
      </c>
      <c r="S35" s="15">
        <f t="shared" si="0"/>
        <v>3.960056719351841</v>
      </c>
      <c r="T35" s="17">
        <f t="shared" si="1"/>
        <v>4.1886050183848056E-11</v>
      </c>
      <c r="U35" s="58">
        <f t="shared" si="2"/>
        <v>0.46764651435839927</v>
      </c>
      <c r="V35" s="18">
        <f t="shared" si="3"/>
        <v>1.0093703650682073E-11</v>
      </c>
      <c r="X35" s="58">
        <f t="shared" si="5"/>
        <v>0</v>
      </c>
      <c r="Y35" s="58">
        <f t="shared" si="6"/>
        <v>-1</v>
      </c>
    </row>
    <row r="36" spans="3:25" x14ac:dyDescent="0.25">
      <c r="C36" s="59" t="s">
        <v>24</v>
      </c>
      <c r="D36" s="59" t="s">
        <v>18</v>
      </c>
      <c r="E36" s="58">
        <v>153</v>
      </c>
      <c r="F36" s="59" t="s">
        <v>20</v>
      </c>
      <c r="G36" s="59" t="s">
        <v>43</v>
      </c>
      <c r="H36" s="57" t="str">
        <f t="shared" si="4"/>
        <v>C</v>
      </c>
      <c r="I36" s="61">
        <v>41061</v>
      </c>
      <c r="J36" s="61">
        <v>41090</v>
      </c>
      <c r="K36" s="14">
        <v>3.9600567191859701</v>
      </c>
      <c r="L36" s="61">
        <v>41046</v>
      </c>
      <c r="M36" s="58">
        <v>45</v>
      </c>
      <c r="N36" s="58">
        <v>41.9366666666659</v>
      </c>
      <c r="O36" s="55">
        <v>0.440000000000001</v>
      </c>
      <c r="P36" s="14">
        <v>0.46764651435367899</v>
      </c>
      <c r="Q36" s="57">
        <v>1.6890085607426466E-2</v>
      </c>
      <c r="R36" s="57">
        <v>1.761662072260161E-2</v>
      </c>
      <c r="S36" s="15">
        <f t="shared" si="0"/>
        <v>3.960056719351841</v>
      </c>
      <c r="T36" s="17">
        <f t="shared" si="1"/>
        <v>4.1886050183848056E-11</v>
      </c>
      <c r="U36" s="58">
        <f t="shared" si="2"/>
        <v>0.46764651435839927</v>
      </c>
      <c r="V36" s="18">
        <f t="shared" si="3"/>
        <v>1.0093703650682073E-11</v>
      </c>
      <c r="X36" s="58">
        <f t="shared" si="5"/>
        <v>0</v>
      </c>
      <c r="Y36" s="58">
        <f t="shared" si="6"/>
        <v>-1</v>
      </c>
    </row>
    <row r="37" spans="3:25" x14ac:dyDescent="0.25">
      <c r="C37" s="59" t="s">
        <v>24</v>
      </c>
      <c r="D37" s="59" t="s">
        <v>18</v>
      </c>
      <c r="E37" s="58">
        <v>153</v>
      </c>
      <c r="F37" s="59" t="s">
        <v>20</v>
      </c>
      <c r="G37" s="59" t="s">
        <v>45</v>
      </c>
      <c r="H37" s="57" t="str">
        <f t="shared" si="4"/>
        <v>P</v>
      </c>
      <c r="I37" s="61">
        <v>41061</v>
      </c>
      <c r="J37" s="61">
        <v>41090</v>
      </c>
      <c r="K37" s="14">
        <v>6.9931700812550801</v>
      </c>
      <c r="L37" s="61">
        <v>41046</v>
      </c>
      <c r="M37" s="58">
        <v>45</v>
      </c>
      <c r="N37" s="58">
        <v>41.9366666666659</v>
      </c>
      <c r="O37" s="55">
        <v>0.440000000000001</v>
      </c>
      <c r="P37" s="14">
        <v>-0.52248842429756504</v>
      </c>
      <c r="Q37" s="57">
        <v>1.6890085607426466E-2</v>
      </c>
      <c r="R37" s="57">
        <v>1.761662072260161E-2</v>
      </c>
      <c r="S37" s="15">
        <f t="shared" si="0"/>
        <v>6.9931700814209128</v>
      </c>
      <c r="T37" s="17">
        <f t="shared" si="1"/>
        <v>2.3713475627573644E-11</v>
      </c>
      <c r="U37" s="58">
        <f t="shared" si="2"/>
        <v>-0.52248842429284548</v>
      </c>
      <c r="V37" s="18">
        <f t="shared" si="3"/>
        <v>-9.0328855506527361E-12</v>
      </c>
      <c r="X37" s="58">
        <f t="shared" si="5"/>
        <v>0</v>
      </c>
      <c r="Y37" s="58">
        <f t="shared" si="6"/>
        <v>-1</v>
      </c>
    </row>
    <row r="38" spans="3:25" x14ac:dyDescent="0.25">
      <c r="C38" s="59" t="s">
        <v>24</v>
      </c>
      <c r="D38" s="59" t="s">
        <v>18</v>
      </c>
      <c r="E38" s="58">
        <v>153</v>
      </c>
      <c r="F38" s="59" t="s">
        <v>20</v>
      </c>
      <c r="G38" s="59" t="s">
        <v>45</v>
      </c>
      <c r="H38" s="57" t="str">
        <f t="shared" si="4"/>
        <v>P</v>
      </c>
      <c r="I38" s="61">
        <v>41061</v>
      </c>
      <c r="J38" s="61">
        <v>41090</v>
      </c>
      <c r="K38" s="14">
        <v>6.9931700812550801</v>
      </c>
      <c r="L38" s="61">
        <v>41046</v>
      </c>
      <c r="M38" s="58">
        <v>45</v>
      </c>
      <c r="N38" s="58">
        <v>41.9366666666659</v>
      </c>
      <c r="O38" s="55">
        <v>0.440000000000001</v>
      </c>
      <c r="P38" s="14">
        <v>-0.52248842429756504</v>
      </c>
      <c r="Q38" s="57">
        <v>1.6890085607426466E-2</v>
      </c>
      <c r="R38" s="57">
        <v>1.761662072260161E-2</v>
      </c>
      <c r="S38" s="15">
        <f t="shared" si="0"/>
        <v>6.9931700814209128</v>
      </c>
      <c r="T38" s="17">
        <f t="shared" si="1"/>
        <v>2.3713475627573644E-11</v>
      </c>
      <c r="U38" s="58">
        <f t="shared" si="2"/>
        <v>-0.52248842429284548</v>
      </c>
      <c r="V38" s="18">
        <f t="shared" si="3"/>
        <v>-9.0328855506527361E-12</v>
      </c>
      <c r="X38" s="58">
        <f t="shared" si="5"/>
        <v>0</v>
      </c>
      <c r="Y38" s="58">
        <f t="shared" si="6"/>
        <v>-1</v>
      </c>
    </row>
    <row r="39" spans="3:25" x14ac:dyDescent="0.25">
      <c r="C39" s="59" t="s">
        <v>24</v>
      </c>
      <c r="D39" s="59" t="s">
        <v>18</v>
      </c>
      <c r="E39" s="58">
        <v>153</v>
      </c>
      <c r="F39" s="59" t="s">
        <v>50</v>
      </c>
      <c r="G39" s="59" t="s">
        <v>43</v>
      </c>
      <c r="H39" s="57" t="str">
        <f t="shared" si="4"/>
        <v>C</v>
      </c>
      <c r="I39" s="61">
        <v>41061</v>
      </c>
      <c r="J39" s="61">
        <v>41090</v>
      </c>
      <c r="K39" s="14">
        <v>1.52555434021833</v>
      </c>
      <c r="L39" s="61">
        <v>41046</v>
      </c>
      <c r="M39" s="58">
        <v>45</v>
      </c>
      <c r="N39" s="58">
        <v>41.856717191619701</v>
      </c>
      <c r="O39" s="55">
        <v>0.23122935264598701</v>
      </c>
      <c r="P39" s="14">
        <v>0.35625946237455502</v>
      </c>
      <c r="Q39" s="57">
        <v>1.6890085607426501E-2</v>
      </c>
      <c r="R39" s="57">
        <v>1.76166207226016E-2</v>
      </c>
      <c r="S39" s="15">
        <f t="shared" si="0"/>
        <v>1.5255543405756773</v>
      </c>
      <c r="T39" s="17">
        <f t="shared" si="1"/>
        <v>2.342408489397485E-10</v>
      </c>
      <c r="U39" s="58">
        <f t="shared" si="2"/>
        <v>0.35625946237611372</v>
      </c>
      <c r="V39" s="18">
        <f t="shared" si="3"/>
        <v>4.3751668954428169E-12</v>
      </c>
      <c r="X39" s="58">
        <f t="shared" si="5"/>
        <v>0</v>
      </c>
      <c r="Y39" s="58">
        <f t="shared" si="6"/>
        <v>-1</v>
      </c>
    </row>
    <row r="40" spans="3:25" x14ac:dyDescent="0.25">
      <c r="C40" s="59" t="s">
        <v>24</v>
      </c>
      <c r="D40" s="59" t="s">
        <v>18</v>
      </c>
      <c r="E40" s="58">
        <v>153</v>
      </c>
      <c r="F40" s="59" t="s">
        <v>50</v>
      </c>
      <c r="G40" s="59" t="s">
        <v>43</v>
      </c>
      <c r="H40" s="57" t="str">
        <f t="shared" si="4"/>
        <v>C</v>
      </c>
      <c r="I40" s="61">
        <v>41061</v>
      </c>
      <c r="J40" s="61">
        <v>41090</v>
      </c>
      <c r="K40" s="14">
        <v>1.52555434021833</v>
      </c>
      <c r="L40" s="61">
        <v>41046</v>
      </c>
      <c r="M40" s="58">
        <v>45</v>
      </c>
      <c r="N40" s="58">
        <v>41.856717191619701</v>
      </c>
      <c r="O40" s="55">
        <v>0.23122935264598701</v>
      </c>
      <c r="P40" s="14">
        <v>0.35625946237455502</v>
      </c>
      <c r="Q40" s="57">
        <v>1.6890085607426501E-2</v>
      </c>
      <c r="R40" s="57">
        <v>1.76166207226016E-2</v>
      </c>
      <c r="S40" s="15">
        <f t="shared" si="0"/>
        <v>1.5255543405756773</v>
      </c>
      <c r="T40" s="17">
        <f t="shared" si="1"/>
        <v>2.342408489397485E-10</v>
      </c>
      <c r="U40" s="58">
        <f t="shared" si="2"/>
        <v>0.35625946237611372</v>
      </c>
      <c r="V40" s="18">
        <f t="shared" si="3"/>
        <v>4.3751668954428169E-12</v>
      </c>
      <c r="X40" s="58">
        <f t="shared" si="5"/>
        <v>0</v>
      </c>
      <c r="Y40" s="58">
        <f t="shared" si="6"/>
        <v>-1</v>
      </c>
    </row>
    <row r="41" spans="3:25" x14ac:dyDescent="0.25">
      <c r="C41" s="59" t="s">
        <v>24</v>
      </c>
      <c r="D41" s="59" t="s">
        <v>18</v>
      </c>
      <c r="E41" s="58">
        <v>153</v>
      </c>
      <c r="F41" s="59" t="s">
        <v>50</v>
      </c>
      <c r="G41" s="59" t="s">
        <v>45</v>
      </c>
      <c r="H41" s="57" t="str">
        <f t="shared" si="4"/>
        <v>P</v>
      </c>
      <c r="I41" s="61">
        <v>41061</v>
      </c>
      <c r="J41" s="61">
        <v>41090</v>
      </c>
      <c r="K41" s="14">
        <v>4.6378284708574702</v>
      </c>
      <c r="L41" s="61">
        <v>41046</v>
      </c>
      <c r="M41" s="58">
        <v>45</v>
      </c>
      <c r="N41" s="58">
        <v>41.856717191619701</v>
      </c>
      <c r="O41" s="55">
        <v>0.23122935264598701</v>
      </c>
      <c r="P41" s="14">
        <v>-0.63387547627668805</v>
      </c>
      <c r="Q41" s="57">
        <v>1.6890085607426501E-2</v>
      </c>
      <c r="R41" s="57">
        <v>1.76166207226016E-2</v>
      </c>
      <c r="S41" s="15">
        <f t="shared" si="0"/>
        <v>4.6378284712148181</v>
      </c>
      <c r="T41" s="17">
        <f t="shared" si="1"/>
        <v>7.7050810176615414E-11</v>
      </c>
      <c r="U41" s="58">
        <f t="shared" si="2"/>
        <v>-0.63387547627513163</v>
      </c>
      <c r="V41" s="18">
        <f t="shared" si="3"/>
        <v>-2.4553692412609962E-12</v>
      </c>
      <c r="X41" s="58">
        <f t="shared" si="5"/>
        <v>0</v>
      </c>
      <c r="Y41" s="58">
        <f t="shared" si="6"/>
        <v>-1</v>
      </c>
    </row>
    <row r="42" spans="3:25" x14ac:dyDescent="0.25">
      <c r="C42" s="59" t="s">
        <v>24</v>
      </c>
      <c r="D42" s="59" t="s">
        <v>18</v>
      </c>
      <c r="E42" s="58">
        <v>153</v>
      </c>
      <c r="F42" s="59" t="s">
        <v>50</v>
      </c>
      <c r="G42" s="59" t="s">
        <v>45</v>
      </c>
      <c r="H42" s="57" t="str">
        <f t="shared" si="4"/>
        <v>P</v>
      </c>
      <c r="I42" s="61">
        <v>41061</v>
      </c>
      <c r="J42" s="61">
        <v>41090</v>
      </c>
      <c r="K42" s="14">
        <v>4.6378284708574702</v>
      </c>
      <c r="L42" s="61">
        <v>41046</v>
      </c>
      <c r="M42" s="58">
        <v>45</v>
      </c>
      <c r="N42" s="58">
        <v>41.856717191619701</v>
      </c>
      <c r="O42" s="55">
        <v>0.23122935264598701</v>
      </c>
      <c r="P42" s="14">
        <v>-0.63387547627668805</v>
      </c>
      <c r="Q42" s="57">
        <v>1.6890085607426501E-2</v>
      </c>
      <c r="R42" s="57">
        <v>1.76166207226016E-2</v>
      </c>
      <c r="S42" s="15">
        <f t="shared" si="0"/>
        <v>4.6378284712148181</v>
      </c>
      <c r="T42" s="17">
        <f t="shared" si="1"/>
        <v>7.7050810176615414E-11</v>
      </c>
      <c r="U42" s="58">
        <f t="shared" si="2"/>
        <v>-0.63387547627513163</v>
      </c>
      <c r="V42" s="18">
        <f t="shared" si="3"/>
        <v>-2.4553692412609962E-12</v>
      </c>
      <c r="X42" s="58">
        <f t="shared" si="5"/>
        <v>0</v>
      </c>
      <c r="Y42" s="58">
        <f t="shared" si="6"/>
        <v>-1</v>
      </c>
    </row>
    <row r="45" spans="3:25" x14ac:dyDescent="0.25">
      <c r="C45" s="60" t="s">
        <v>0</v>
      </c>
      <c r="D45" s="60" t="s">
        <v>2</v>
      </c>
      <c r="E45" s="60" t="s">
        <v>3</v>
      </c>
      <c r="F45" s="60" t="s">
        <v>4</v>
      </c>
      <c r="G45" s="60" t="s">
        <v>5</v>
      </c>
      <c r="H45" s="60"/>
      <c r="I45" s="60" t="s">
        <v>6</v>
      </c>
      <c r="J45" s="60" t="s">
        <v>7</v>
      </c>
      <c r="K45" s="60" t="s">
        <v>9</v>
      </c>
      <c r="L45" s="60" t="s">
        <v>10</v>
      </c>
      <c r="M45" s="60" t="s">
        <v>11</v>
      </c>
      <c r="N45" s="60" t="s">
        <v>12</v>
      </c>
      <c r="O45" s="60" t="s">
        <v>48</v>
      </c>
      <c r="P45" s="60" t="s">
        <v>47</v>
      </c>
      <c r="Q45" s="60" t="s">
        <v>23</v>
      </c>
      <c r="R45" s="60"/>
      <c r="S45" s="60"/>
      <c r="T45" s="60"/>
      <c r="U45" s="60"/>
      <c r="V45" s="60"/>
      <c r="W45" s="60"/>
      <c r="X45" s="60"/>
    </row>
    <row r="46" spans="3:25" x14ac:dyDescent="0.25">
      <c r="C46" s="59" t="s">
        <v>24</v>
      </c>
      <c r="D46" s="59" t="s">
        <v>18</v>
      </c>
      <c r="E46" s="58">
        <v>153</v>
      </c>
      <c r="F46" s="59" t="s">
        <v>19</v>
      </c>
      <c r="G46" s="59" t="s">
        <v>43</v>
      </c>
      <c r="H46" s="57" t="str">
        <f t="shared" ref="H46" si="7">MID(G46,4,1)</f>
        <v>C</v>
      </c>
      <c r="I46" s="61">
        <v>41061</v>
      </c>
      <c r="J46" s="61">
        <v>41090</v>
      </c>
      <c r="K46" s="58">
        <v>3.1927322941430898</v>
      </c>
      <c r="L46" s="61">
        <v>41046</v>
      </c>
      <c r="M46" s="58">
        <v>45</v>
      </c>
      <c r="N46" s="58">
        <v>40.3366666666669</v>
      </c>
      <c r="O46" s="58">
        <f>O36</f>
        <v>0.440000000000001</v>
      </c>
      <c r="P46" s="58">
        <f>TimeToExpiry($F$3,L46)</f>
        <v>0.50410958904109593</v>
      </c>
      <c r="Q46" s="58">
        <f>1.88827508266539/100</f>
        <v>1.8882750826653902E-2</v>
      </c>
      <c r="S46" s="58" t="e">
        <f>B76Forward(H46,$F$3,N46,M46,L46,O46,Q46,I46,J46)</f>
        <v>#VALUE!</v>
      </c>
      <c r="T46" s="57" t="e">
        <f>S46/K46-1</f>
        <v>#VALUE!</v>
      </c>
      <c r="U46" s="59"/>
      <c r="V46" s="59"/>
    </row>
  </sheetData>
  <hyperlinks>
    <hyperlink ref="R6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AI134"/>
  <sheetViews>
    <sheetView zoomScale="85" zoomScaleNormal="85" workbookViewId="0">
      <selection activeCell="Q13" sqref="Q13"/>
    </sheetView>
  </sheetViews>
  <sheetFormatPr defaultRowHeight="15" x14ac:dyDescent="0.25"/>
  <cols>
    <col min="1" max="3" width="9.140625" style="28"/>
    <col min="4" max="4" width="34" style="28" bestFit="1" customWidth="1"/>
    <col min="5" max="5" width="9.140625" style="28"/>
    <col min="6" max="6" width="11.28515625" style="28" bestFit="1" customWidth="1"/>
    <col min="7" max="7" width="10.7109375" style="28" bestFit="1" customWidth="1"/>
    <col min="8" max="8" width="13.28515625" style="28" bestFit="1" customWidth="1"/>
    <col min="9" max="9" width="14.28515625" style="28" bestFit="1" customWidth="1"/>
    <col min="10" max="10" width="10.7109375" style="28" bestFit="1" customWidth="1"/>
    <col min="11" max="11" width="10.7109375" style="62" customWidth="1"/>
    <col min="12" max="12" width="14.5703125" style="28" bestFit="1" customWidth="1"/>
    <col min="13" max="13" width="14.5703125" style="70" customWidth="1"/>
    <col min="14" max="14" width="10.7109375" style="28" bestFit="1" customWidth="1"/>
    <col min="15" max="15" width="9.140625" style="28"/>
    <col min="16" max="16" width="9.140625" style="71"/>
    <col min="17" max="17" width="14.28515625" style="71" bestFit="1" customWidth="1"/>
    <col min="18" max="18" width="12" style="28" bestFit="1" customWidth="1"/>
    <col min="19" max="19" width="17.28515625" style="28" bestFit="1" customWidth="1"/>
    <col min="20" max="20" width="10.5703125" style="28" bestFit="1" customWidth="1"/>
    <col min="21" max="21" width="13.28515625" style="62" bestFit="1" customWidth="1"/>
    <col min="22" max="23" width="12" style="28" bestFit="1" customWidth="1"/>
    <col min="24" max="24" width="9.85546875" style="28" bestFit="1" customWidth="1"/>
    <col min="25" max="25" width="12.28515625" style="28" bestFit="1" customWidth="1"/>
    <col min="26" max="26" width="9.140625" style="28"/>
    <col min="27" max="27" width="11" style="28" bestFit="1" customWidth="1"/>
    <col min="28" max="32" width="9.140625" style="28"/>
    <col min="33" max="33" width="12.28515625" style="150" bestFit="1" customWidth="1"/>
    <col min="34" max="34" width="9.140625" style="28"/>
    <col min="35" max="35" width="12.28515625" style="28" bestFit="1" customWidth="1"/>
    <col min="36" max="16384" width="9.140625" style="28"/>
  </cols>
  <sheetData>
    <row r="1" spans="2:35" x14ac:dyDescent="0.25">
      <c r="I1" s="132"/>
      <c r="K1" s="28"/>
      <c r="L1" s="62"/>
      <c r="M1" s="28"/>
      <c r="N1" s="70"/>
      <c r="P1" s="28"/>
      <c r="R1" s="71"/>
      <c r="U1" s="28"/>
      <c r="V1" s="62"/>
    </row>
    <row r="2" spans="2:35" x14ac:dyDescent="0.25">
      <c r="I2" s="132"/>
      <c r="K2" s="28"/>
      <c r="L2" s="62"/>
      <c r="M2" s="28"/>
      <c r="N2" s="70"/>
      <c r="P2" s="28"/>
      <c r="R2" s="71"/>
      <c r="U2" s="28"/>
      <c r="V2" s="62"/>
    </row>
    <row r="3" spans="2:35" x14ac:dyDescent="0.25">
      <c r="E3" s="28" t="s">
        <v>46</v>
      </c>
      <c r="F3" s="31">
        <v>40849</v>
      </c>
      <c r="I3" s="132"/>
      <c r="K3" s="28"/>
      <c r="L3" s="62"/>
      <c r="M3" s="28"/>
      <c r="N3" s="70"/>
      <c r="P3" s="28"/>
      <c r="R3" s="71"/>
      <c r="U3" s="28"/>
      <c r="V3" s="62"/>
    </row>
    <row r="4" spans="2:35" s="62" customFormat="1" x14ac:dyDescent="0.25">
      <c r="F4" s="61"/>
      <c r="I4" s="132"/>
      <c r="N4" s="70"/>
      <c r="Q4" s="71"/>
      <c r="R4" s="71"/>
      <c r="AG4" s="150"/>
    </row>
    <row r="5" spans="2:35" s="62" customFormat="1" x14ac:dyDescent="0.25">
      <c r="E5" s="62" t="s">
        <v>118</v>
      </c>
      <c r="F5" s="57">
        <v>0</v>
      </c>
      <c r="I5" s="132"/>
      <c r="N5" s="70"/>
      <c r="Q5" s="71"/>
      <c r="R5" s="71"/>
      <c r="AG5" s="150"/>
    </row>
    <row r="6" spans="2:35" x14ac:dyDescent="0.25">
      <c r="E6" s="28" t="s">
        <v>122</v>
      </c>
      <c r="F6" s="10">
        <v>0</v>
      </c>
      <c r="I6" s="132"/>
      <c r="K6" s="28"/>
      <c r="L6" s="62"/>
      <c r="M6" s="28"/>
      <c r="N6" s="70"/>
      <c r="P6" s="28"/>
      <c r="R6" s="71"/>
      <c r="U6" s="28"/>
      <c r="V6" s="62"/>
      <c r="W6" s="28">
        <f>S13-S12</f>
        <v>0</v>
      </c>
    </row>
    <row r="7" spans="2:35" s="71" customFormat="1" x14ac:dyDescent="0.25">
      <c r="E7" s="71" t="s">
        <v>124</v>
      </c>
      <c r="F7" s="10">
        <v>0</v>
      </c>
      <c r="I7" s="132"/>
      <c r="AG7" s="150"/>
    </row>
    <row r="8" spans="2:35" x14ac:dyDescent="0.25">
      <c r="E8" s="28" t="s">
        <v>151</v>
      </c>
      <c r="F8" s="28">
        <v>0</v>
      </c>
      <c r="I8" s="132"/>
      <c r="K8" s="28"/>
      <c r="L8" s="62"/>
      <c r="M8" s="28"/>
      <c r="N8" s="70"/>
      <c r="P8" s="28"/>
      <c r="R8" s="71"/>
      <c r="U8" s="28"/>
      <c r="V8" s="64">
        <f>SUM(V12:V47)</f>
        <v>2898430.483923391</v>
      </c>
      <c r="X8" s="28" t="e">
        <f>(X14-X9)/F5</f>
        <v>#DIV/0!</v>
      </c>
      <c r="AB8" s="28">
        <f>SUM(AB12:AB47)</f>
        <v>2898430.483923391</v>
      </c>
      <c r="AF8" s="137">
        <f>SUM(AF12:AF47)</f>
        <v>2898430.483923391</v>
      </c>
    </row>
    <row r="9" spans="2:35" s="137" customFormat="1" x14ac:dyDescent="0.25">
      <c r="E9" s="137" t="s">
        <v>158</v>
      </c>
      <c r="F9" s="10">
        <v>0</v>
      </c>
      <c r="V9" s="64"/>
      <c r="X9" s="137">
        <v>-0.33461527017621828</v>
      </c>
      <c r="AG9" s="150"/>
    </row>
    <row r="10" spans="2:35" s="137" customFormat="1" x14ac:dyDescent="0.25">
      <c r="V10" s="64"/>
      <c r="AG10" s="150"/>
    </row>
    <row r="11" spans="2:35" x14ac:dyDescent="0.25">
      <c r="B11" s="28" t="s">
        <v>123</v>
      </c>
      <c r="C11" s="30" t="s">
        <v>8</v>
      </c>
      <c r="D11" s="30" t="s">
        <v>5</v>
      </c>
      <c r="E11" s="30"/>
      <c r="F11" s="30" t="s">
        <v>6</v>
      </c>
      <c r="G11" s="30" t="s">
        <v>7</v>
      </c>
      <c r="H11" s="30" t="s">
        <v>9</v>
      </c>
      <c r="I11" s="133" t="s">
        <v>152</v>
      </c>
      <c r="J11" s="30" t="s">
        <v>153</v>
      </c>
      <c r="K11" s="30" t="s">
        <v>11</v>
      </c>
      <c r="L11" s="63" t="s">
        <v>117</v>
      </c>
      <c r="M11" s="30" t="s">
        <v>119</v>
      </c>
      <c r="N11" s="63" t="s">
        <v>120</v>
      </c>
      <c r="O11" s="30" t="s">
        <v>121</v>
      </c>
      <c r="P11" s="30" t="s">
        <v>14</v>
      </c>
      <c r="Q11" s="63" t="s">
        <v>125</v>
      </c>
      <c r="R11" s="63" t="s">
        <v>85</v>
      </c>
      <c r="S11" s="30" t="s">
        <v>126</v>
      </c>
      <c r="T11" s="30" t="s">
        <v>127</v>
      </c>
      <c r="U11" s="30" t="s">
        <v>49</v>
      </c>
      <c r="V11" s="63" t="s">
        <v>116</v>
      </c>
      <c r="W11" s="63" t="s">
        <v>110</v>
      </c>
      <c r="X11" s="30" t="s">
        <v>14</v>
      </c>
      <c r="Y11" s="63" t="s">
        <v>115</v>
      </c>
      <c r="Z11" s="133" t="s">
        <v>154</v>
      </c>
      <c r="AA11" s="133" t="s">
        <v>84</v>
      </c>
      <c r="AC11" s="133" t="s">
        <v>156</v>
      </c>
      <c r="AD11" s="133" t="s">
        <v>157</v>
      </c>
      <c r="AE11" s="133" t="s">
        <v>159</v>
      </c>
      <c r="AG11" s="151" t="s">
        <v>176</v>
      </c>
      <c r="AH11" s="151" t="s">
        <v>177</v>
      </c>
    </row>
    <row r="12" spans="2:35" x14ac:dyDescent="0.25">
      <c r="B12" s="59" t="s">
        <v>20</v>
      </c>
      <c r="C12" s="62">
        <v>3132</v>
      </c>
      <c r="D12" s="29" t="s">
        <v>25</v>
      </c>
      <c r="E12" s="27" t="str">
        <f>MID(D12,4,1)</f>
        <v>C</v>
      </c>
      <c r="F12" s="31">
        <v>40909</v>
      </c>
      <c r="G12" s="31">
        <v>41274</v>
      </c>
      <c r="H12" s="14">
        <v>5.4390629421165304</v>
      </c>
      <c r="I12" s="134">
        <v>40892</v>
      </c>
      <c r="J12" s="31">
        <f>I12+$F$8</f>
        <v>40892</v>
      </c>
      <c r="K12" s="28">
        <v>45</v>
      </c>
      <c r="L12" s="62">
        <v>47.999999999999901</v>
      </c>
      <c r="M12" s="28">
        <f>L12+$F$5</f>
        <v>47.999999999999901</v>
      </c>
      <c r="N12" s="15">
        <v>0.59434662382532699</v>
      </c>
      <c r="O12" s="77">
        <f>N12+$F$6</f>
        <v>0.59434662382532699</v>
      </c>
      <c r="P12" s="14">
        <v>0.653235472312506</v>
      </c>
      <c r="Q12" s="14">
        <v>1.4444728711645632E-2</v>
      </c>
      <c r="R12" s="14">
        <v>1.9254966851331299E-2</v>
      </c>
      <c r="S12" s="1">
        <f>Q12*(1+$F$7)</f>
        <v>1.4444728711645632E-2</v>
      </c>
      <c r="T12" s="1">
        <f>R12*(1+$F$7)</f>
        <v>1.9254966851331299E-2</v>
      </c>
      <c r="U12" s="28">
        <f t="shared" ref="U12:U47" si="0">B76Forward($F$3,E12,M12,K12,J12,O12,S12,T12,F12,G12)</f>
        <v>5.4390629425473271</v>
      </c>
      <c r="V12" s="64">
        <f t="shared" ref="V12:V47" si="1">U12*C12*10</f>
        <v>170351.45136058229</v>
      </c>
      <c r="W12" s="27">
        <f t="shared" ref="W12:W47" si="2">U12/H12-1</f>
        <v>7.9204198755178368E-11</v>
      </c>
      <c r="X12" s="28">
        <f t="shared" ref="X12:X47" si="3">B76DeltaForward($F$3,E12,M12,K12,J12,O12,S12,T12,F12,G12)</f>
        <v>0.65323547230298118</v>
      </c>
      <c r="Y12" s="28">
        <f t="shared" ref="Y12:Y47" si="4">X12/P12-1</f>
        <v>-1.4581003071612031E-11</v>
      </c>
      <c r="Z12" s="28">
        <f>B76Future($F$3,E12,L12,K12,J12,O12,S12)</f>
        <v>5.4963771404834336</v>
      </c>
      <c r="AA12" s="28">
        <f>ForwardFactor(T12,$F$3,I12,F12,G12)</f>
        <v>0.98957236803967463</v>
      </c>
      <c r="AB12" s="28">
        <f>Z12*AA12*C12*10</f>
        <v>170351.45136058229</v>
      </c>
      <c r="AC12" s="28">
        <f>TimeToExpiry($F$3,I12)</f>
        <v>0.12054794520547946</v>
      </c>
      <c r="AD12" s="28">
        <f>AC12*(1+$F$9)</f>
        <v>0.12054794520547946</v>
      </c>
      <c r="AE12" s="28">
        <f>B76FutureTau(E12,L12,K12,AD12,O12,S12)</f>
        <v>5.4963771404834336</v>
      </c>
      <c r="AF12" s="28">
        <f>AE12*C12*10*AA12</f>
        <v>170351.45136058232</v>
      </c>
      <c r="AG12" s="150">
        <f>B76GammaForward($F$3,E12,L12,K12,I12,N12,Q12,T12,F12,G12)</f>
        <v>3.6490049868765612E-2</v>
      </c>
      <c r="AH12" s="150">
        <v>3.6490049873141001E-2</v>
      </c>
      <c r="AI12" s="28">
        <f>AH12/AG12-1</f>
        <v>1.1990630710556616E-10</v>
      </c>
    </row>
    <row r="13" spans="2:35" x14ac:dyDescent="0.25">
      <c r="B13" s="59" t="s">
        <v>20</v>
      </c>
      <c r="C13" s="62">
        <v>3132</v>
      </c>
      <c r="D13" s="29" t="s">
        <v>25</v>
      </c>
      <c r="E13" s="27" t="str">
        <f t="shared" ref="E13:E47" si="5">MID(D13,4,1)</f>
        <v>C</v>
      </c>
      <c r="F13" s="31">
        <v>40909</v>
      </c>
      <c r="G13" s="31">
        <v>41274</v>
      </c>
      <c r="H13" s="14">
        <v>5.4390629421165304</v>
      </c>
      <c r="I13" s="134">
        <v>40892</v>
      </c>
      <c r="J13" s="134">
        <f t="shared" ref="J13:J47" si="6">I13+$F$8</f>
        <v>40892</v>
      </c>
      <c r="K13" s="28">
        <v>45</v>
      </c>
      <c r="L13" s="62">
        <v>47.999999999999901</v>
      </c>
      <c r="M13" s="73">
        <f t="shared" ref="M13:M47" si="7">L13+$F$5</f>
        <v>47.999999999999901</v>
      </c>
      <c r="N13" s="15">
        <v>0.59434662382532699</v>
      </c>
      <c r="O13" s="77">
        <f t="shared" ref="O13:O47" si="8">N13+$F$6</f>
        <v>0.59434662382532699</v>
      </c>
      <c r="P13" s="14">
        <v>0.653235472312506</v>
      </c>
      <c r="Q13" s="14">
        <v>1.4444728711645632E-2</v>
      </c>
      <c r="R13" s="14">
        <v>1.9254966851331299E-2</v>
      </c>
      <c r="S13" s="1">
        <f t="shared" ref="S13:S47" si="9">Q13*(1+$F$7)</f>
        <v>1.4444728711645632E-2</v>
      </c>
      <c r="T13" s="1">
        <f t="shared" ref="T13:T47" si="10">R13*(1+$F$7)</f>
        <v>1.9254966851331299E-2</v>
      </c>
      <c r="U13" s="28">
        <f t="shared" si="0"/>
        <v>5.4390629425473271</v>
      </c>
      <c r="V13" s="64">
        <f t="shared" si="1"/>
        <v>170351.45136058229</v>
      </c>
      <c r="W13" s="27">
        <f t="shared" si="2"/>
        <v>7.9204198755178368E-11</v>
      </c>
      <c r="X13" s="28">
        <f t="shared" si="3"/>
        <v>0.65323547230298118</v>
      </c>
      <c r="Y13" s="28">
        <f t="shared" si="4"/>
        <v>-1.4581003071612031E-11</v>
      </c>
      <c r="Z13" s="132">
        <f t="shared" ref="Z13:Z47" si="11">B76Future($F$3,E13,L13,K13,J13,O13,S13)</f>
        <v>5.4963771404834336</v>
      </c>
      <c r="AA13" s="132">
        <f t="shared" ref="AA13:AA47" si="12">ForwardFactor(T13,$F$3,I13,F13,G13)</f>
        <v>0.98957236803967463</v>
      </c>
      <c r="AB13" s="132">
        <f t="shared" ref="AB13:AB47" si="13">Z13*AA13*C13*10</f>
        <v>170351.45136058229</v>
      </c>
      <c r="AC13" s="137">
        <f t="shared" ref="AC13:AC47" si="14">TimeToExpiry($F$3,I13)</f>
        <v>0.12054794520547946</v>
      </c>
      <c r="AD13" s="137">
        <f t="shared" ref="AD13:AD47" si="15">AC13*(1+$F$9)</f>
        <v>0.12054794520547946</v>
      </c>
      <c r="AE13" s="137">
        <f t="shared" ref="AE13:AE47" si="16">B76FutureTau(E13,L13,K13,AD13,O13,S13)</f>
        <v>5.4963771404834336</v>
      </c>
      <c r="AF13" s="137">
        <f t="shared" ref="AF13:AF47" si="17">AE13*C13*10*AA13</f>
        <v>170351.45136058232</v>
      </c>
      <c r="AG13" s="150">
        <f t="shared" ref="AG13:AG47" si="18">B76GammaForward($F$3,E13,L13,K13,I13,N13,Q13,T13,F13,G13)</f>
        <v>3.6490049868765612E-2</v>
      </c>
      <c r="AH13" s="150">
        <v>3.6490049873141001E-2</v>
      </c>
      <c r="AI13" s="150">
        <f t="shared" ref="AI13:AI47" si="19">AH13/AG13-1</f>
        <v>1.1990630710556616E-10</v>
      </c>
    </row>
    <row r="14" spans="2:35" x14ac:dyDescent="0.25">
      <c r="B14" s="59" t="s">
        <v>20</v>
      </c>
      <c r="C14" s="62">
        <v>3132</v>
      </c>
      <c r="D14" s="29" t="s">
        <v>28</v>
      </c>
      <c r="E14" s="27" t="str">
        <f t="shared" si="5"/>
        <v>P</v>
      </c>
      <c r="F14" s="31">
        <v>40909</v>
      </c>
      <c r="G14" s="31">
        <v>41274</v>
      </c>
      <c r="H14" s="14">
        <v>2.4755107146794502</v>
      </c>
      <c r="I14" s="134">
        <v>40892</v>
      </c>
      <c r="J14" s="134">
        <f t="shared" si="6"/>
        <v>40892</v>
      </c>
      <c r="K14" s="28">
        <v>45</v>
      </c>
      <c r="L14" s="62">
        <v>47.999999999999901</v>
      </c>
      <c r="M14" s="73">
        <f t="shared" si="7"/>
        <v>47.999999999999901</v>
      </c>
      <c r="N14" s="15">
        <v>0.59434662382532699</v>
      </c>
      <c r="O14" s="77">
        <f t="shared" si="8"/>
        <v>0.59434662382532699</v>
      </c>
      <c r="P14" s="14">
        <v>-0.33461527016654302</v>
      </c>
      <c r="Q14" s="14">
        <v>1.4444728711645632E-2</v>
      </c>
      <c r="R14" s="14">
        <v>1.9254966851331299E-2</v>
      </c>
      <c r="S14" s="1">
        <f t="shared" si="9"/>
        <v>1.4444728711645632E-2</v>
      </c>
      <c r="T14" s="1">
        <f t="shared" si="10"/>
        <v>1.9254966851331299E-2</v>
      </c>
      <c r="U14" s="28">
        <f t="shared" si="0"/>
        <v>2.4755107151098263</v>
      </c>
      <c r="V14" s="64">
        <f t="shared" si="1"/>
        <v>77532.995597239758</v>
      </c>
      <c r="W14" s="27">
        <f t="shared" si="2"/>
        <v>1.7385359818433699E-10</v>
      </c>
      <c r="X14" s="28">
        <f t="shared" si="3"/>
        <v>-0.33461527017621828</v>
      </c>
      <c r="Y14" s="28">
        <f t="shared" si="4"/>
        <v>2.8914648453337577E-11</v>
      </c>
      <c r="Z14" s="132">
        <f t="shared" si="11"/>
        <v>2.5015964421215289</v>
      </c>
      <c r="AA14" s="132">
        <f t="shared" si="12"/>
        <v>0.98957236803967463</v>
      </c>
      <c r="AB14" s="132">
        <f t="shared" si="13"/>
        <v>77532.995597239758</v>
      </c>
      <c r="AC14" s="137">
        <f t="shared" si="14"/>
        <v>0.12054794520547946</v>
      </c>
      <c r="AD14" s="137">
        <f t="shared" si="15"/>
        <v>0.12054794520547946</v>
      </c>
      <c r="AE14" s="137">
        <f t="shared" si="16"/>
        <v>2.5015964421215289</v>
      </c>
      <c r="AF14" s="137">
        <f t="shared" si="17"/>
        <v>77532.995597239758</v>
      </c>
      <c r="AG14" s="150">
        <f t="shared" si="18"/>
        <v>3.6490049868765612E-2</v>
      </c>
      <c r="AH14" s="150">
        <v>3.6490049873141001E-2</v>
      </c>
      <c r="AI14" s="150">
        <f t="shared" si="19"/>
        <v>1.1990630710556616E-10</v>
      </c>
    </row>
    <row r="15" spans="2:35" x14ac:dyDescent="0.25">
      <c r="B15" s="59" t="s">
        <v>20</v>
      </c>
      <c r="C15" s="62">
        <v>3132</v>
      </c>
      <c r="D15" s="29" t="s">
        <v>28</v>
      </c>
      <c r="E15" s="27" t="str">
        <f t="shared" si="5"/>
        <v>P</v>
      </c>
      <c r="F15" s="31">
        <v>40909</v>
      </c>
      <c r="G15" s="31">
        <v>41274</v>
      </c>
      <c r="H15" s="14">
        <v>2.4755107146794502</v>
      </c>
      <c r="I15" s="134">
        <v>40892</v>
      </c>
      <c r="J15" s="134">
        <f t="shared" si="6"/>
        <v>40892</v>
      </c>
      <c r="K15" s="28">
        <v>45</v>
      </c>
      <c r="L15" s="62">
        <v>47.999999999999901</v>
      </c>
      <c r="M15" s="73">
        <f t="shared" si="7"/>
        <v>47.999999999999901</v>
      </c>
      <c r="N15" s="15">
        <v>0.59434662382532699</v>
      </c>
      <c r="O15" s="77">
        <f t="shared" si="8"/>
        <v>0.59434662382532699</v>
      </c>
      <c r="P15" s="14">
        <v>-0.33461527016654302</v>
      </c>
      <c r="Q15" s="14">
        <v>1.4444728711645632E-2</v>
      </c>
      <c r="R15" s="14">
        <v>1.9254966851331299E-2</v>
      </c>
      <c r="S15" s="1">
        <f t="shared" si="9"/>
        <v>1.4444728711645632E-2</v>
      </c>
      <c r="T15" s="1">
        <f t="shared" si="10"/>
        <v>1.9254966851331299E-2</v>
      </c>
      <c r="U15" s="28">
        <f t="shared" si="0"/>
        <v>2.4755107151098263</v>
      </c>
      <c r="V15" s="64">
        <f t="shared" si="1"/>
        <v>77532.995597239758</v>
      </c>
      <c r="W15" s="27">
        <f t="shared" si="2"/>
        <v>1.7385359818433699E-10</v>
      </c>
      <c r="X15" s="28">
        <f t="shared" si="3"/>
        <v>-0.33461527017621828</v>
      </c>
      <c r="Y15" s="28">
        <f t="shared" si="4"/>
        <v>2.8914648453337577E-11</v>
      </c>
      <c r="Z15" s="132">
        <f t="shared" si="11"/>
        <v>2.5015964421215289</v>
      </c>
      <c r="AA15" s="132">
        <f t="shared" si="12"/>
        <v>0.98957236803967463</v>
      </c>
      <c r="AB15" s="132">
        <f t="shared" si="13"/>
        <v>77532.995597239758</v>
      </c>
      <c r="AC15" s="137">
        <f t="shared" si="14"/>
        <v>0.12054794520547946</v>
      </c>
      <c r="AD15" s="137">
        <f t="shared" si="15"/>
        <v>0.12054794520547946</v>
      </c>
      <c r="AE15" s="137">
        <f t="shared" si="16"/>
        <v>2.5015964421215289</v>
      </c>
      <c r="AF15" s="137">
        <f t="shared" si="17"/>
        <v>77532.995597239758</v>
      </c>
      <c r="AG15" s="150">
        <f t="shared" si="18"/>
        <v>3.6490049868765612E-2</v>
      </c>
      <c r="AH15" s="150">
        <v>3.6490049873141001E-2</v>
      </c>
      <c r="AI15" s="150">
        <f t="shared" si="19"/>
        <v>1.1990630710556616E-10</v>
      </c>
    </row>
    <row r="16" spans="2:35" x14ac:dyDescent="0.25">
      <c r="B16" s="59" t="s">
        <v>20</v>
      </c>
      <c r="C16" s="62">
        <v>8784</v>
      </c>
      <c r="D16" s="29" t="s">
        <v>29</v>
      </c>
      <c r="E16" s="27" t="str">
        <f t="shared" si="5"/>
        <v>C</v>
      </c>
      <c r="F16" s="31">
        <v>40909</v>
      </c>
      <c r="G16" s="31">
        <v>41274</v>
      </c>
      <c r="H16" s="14">
        <v>1.35466609688073</v>
      </c>
      <c r="I16" s="134">
        <v>40892</v>
      </c>
      <c r="J16" s="134">
        <f t="shared" si="6"/>
        <v>40892</v>
      </c>
      <c r="K16" s="28">
        <v>45</v>
      </c>
      <c r="L16" s="62">
        <v>43.788048724954599</v>
      </c>
      <c r="M16" s="73">
        <f t="shared" si="7"/>
        <v>43.788048724954599</v>
      </c>
      <c r="N16" s="15">
        <v>0.31186378734126702</v>
      </c>
      <c r="O16" s="77">
        <f t="shared" si="8"/>
        <v>0.31186378734126702</v>
      </c>
      <c r="P16" s="14">
        <v>0.41640095479720202</v>
      </c>
      <c r="Q16" s="14">
        <v>1.4444728711645632E-2</v>
      </c>
      <c r="R16" s="14">
        <v>1.9254966851331299E-2</v>
      </c>
      <c r="S16" s="1">
        <f t="shared" si="9"/>
        <v>1.4444728711645632E-2</v>
      </c>
      <c r="T16" s="1">
        <f t="shared" si="10"/>
        <v>1.9254966851331299E-2</v>
      </c>
      <c r="U16" s="28">
        <f t="shared" si="0"/>
        <v>1.3546660971182078</v>
      </c>
      <c r="V16" s="72">
        <f t="shared" si="1"/>
        <v>118993.86997086338</v>
      </c>
      <c r="W16" s="27">
        <f t="shared" si="2"/>
        <v>1.7530354945449744E-10</v>
      </c>
      <c r="X16" s="28">
        <f t="shared" si="3"/>
        <v>0.41640095481215678</v>
      </c>
      <c r="Y16" s="28">
        <f t="shared" si="4"/>
        <v>3.5914382578994264E-11</v>
      </c>
      <c r="Z16" s="132">
        <f t="shared" si="11"/>
        <v>1.3689409090936699</v>
      </c>
      <c r="AA16" s="132">
        <f t="shared" si="12"/>
        <v>0.98957236803967463</v>
      </c>
      <c r="AB16" s="132">
        <f t="shared" si="13"/>
        <v>118993.86997086338</v>
      </c>
      <c r="AC16" s="137">
        <f t="shared" si="14"/>
        <v>0.12054794520547946</v>
      </c>
      <c r="AD16" s="137">
        <f t="shared" si="15"/>
        <v>0.12054794520547946</v>
      </c>
      <c r="AE16" s="137">
        <f t="shared" si="16"/>
        <v>1.3689409090936699</v>
      </c>
      <c r="AF16" s="137">
        <f t="shared" si="17"/>
        <v>118993.86997086339</v>
      </c>
      <c r="AG16" s="150">
        <f t="shared" si="18"/>
        <v>8.150566994271731E-2</v>
      </c>
      <c r="AH16" s="150">
        <v>8.1505669952774903E-2</v>
      </c>
      <c r="AI16" s="150">
        <f t="shared" si="19"/>
        <v>1.2339751442880242E-10</v>
      </c>
    </row>
    <row r="17" spans="2:35" x14ac:dyDescent="0.25">
      <c r="B17" s="59" t="s">
        <v>20</v>
      </c>
      <c r="C17" s="62">
        <v>8784</v>
      </c>
      <c r="D17" s="29" t="s">
        <v>29</v>
      </c>
      <c r="E17" s="27" t="str">
        <f t="shared" si="5"/>
        <v>C</v>
      </c>
      <c r="F17" s="31">
        <v>40909</v>
      </c>
      <c r="G17" s="31">
        <v>41274</v>
      </c>
      <c r="H17" s="14">
        <v>1.35466609688073</v>
      </c>
      <c r="I17" s="134">
        <v>40892</v>
      </c>
      <c r="J17" s="134">
        <f t="shared" si="6"/>
        <v>40892</v>
      </c>
      <c r="K17" s="28">
        <v>45</v>
      </c>
      <c r="L17" s="62">
        <v>43.788048724954599</v>
      </c>
      <c r="M17" s="73">
        <f t="shared" si="7"/>
        <v>43.788048724954599</v>
      </c>
      <c r="N17" s="15">
        <v>0.31186378734126702</v>
      </c>
      <c r="O17" s="77">
        <f t="shared" si="8"/>
        <v>0.31186378734126702</v>
      </c>
      <c r="P17" s="14">
        <v>0.41640095479720202</v>
      </c>
      <c r="Q17" s="14">
        <v>1.4444728711645632E-2</v>
      </c>
      <c r="R17" s="14">
        <v>1.9254966851331299E-2</v>
      </c>
      <c r="S17" s="1">
        <f t="shared" si="9"/>
        <v>1.4444728711645632E-2</v>
      </c>
      <c r="T17" s="1">
        <f t="shared" si="10"/>
        <v>1.9254966851331299E-2</v>
      </c>
      <c r="U17" s="28">
        <f t="shared" si="0"/>
        <v>1.3546660971182078</v>
      </c>
      <c r="V17" s="64">
        <f t="shared" si="1"/>
        <v>118993.86997086338</v>
      </c>
      <c r="W17" s="27">
        <f t="shared" si="2"/>
        <v>1.7530354945449744E-10</v>
      </c>
      <c r="X17" s="28">
        <f t="shared" si="3"/>
        <v>0.41640095481215678</v>
      </c>
      <c r="Y17" s="28">
        <f t="shared" si="4"/>
        <v>3.5914382578994264E-11</v>
      </c>
      <c r="Z17" s="132">
        <f t="shared" si="11"/>
        <v>1.3689409090936699</v>
      </c>
      <c r="AA17" s="132">
        <f t="shared" si="12"/>
        <v>0.98957236803967463</v>
      </c>
      <c r="AB17" s="132">
        <f t="shared" si="13"/>
        <v>118993.86997086338</v>
      </c>
      <c r="AC17" s="137">
        <f t="shared" si="14"/>
        <v>0.12054794520547946</v>
      </c>
      <c r="AD17" s="137">
        <f t="shared" si="15"/>
        <v>0.12054794520547946</v>
      </c>
      <c r="AE17" s="137">
        <f t="shared" si="16"/>
        <v>1.3689409090936699</v>
      </c>
      <c r="AF17" s="137">
        <f t="shared" si="17"/>
        <v>118993.86997086339</v>
      </c>
      <c r="AG17" s="150">
        <f t="shared" si="18"/>
        <v>8.150566994271731E-2</v>
      </c>
      <c r="AH17" s="150">
        <v>8.1505669952774903E-2</v>
      </c>
      <c r="AI17" s="150">
        <f t="shared" si="19"/>
        <v>1.2339751442880242E-10</v>
      </c>
    </row>
    <row r="18" spans="2:35" x14ac:dyDescent="0.25">
      <c r="B18" s="59" t="s">
        <v>20</v>
      </c>
      <c r="C18" s="62">
        <v>8784</v>
      </c>
      <c r="D18" s="29" t="s">
        <v>31</v>
      </c>
      <c r="E18" s="27" t="str">
        <f t="shared" si="5"/>
        <v>P</v>
      </c>
      <c r="F18" s="31">
        <v>40909</v>
      </c>
      <c r="G18" s="31">
        <v>41274</v>
      </c>
      <c r="H18" s="14">
        <v>2.5518930637828099</v>
      </c>
      <c r="I18" s="134">
        <v>40892</v>
      </c>
      <c r="J18" s="134">
        <f t="shared" si="6"/>
        <v>40892</v>
      </c>
      <c r="K18" s="28">
        <v>45</v>
      </c>
      <c r="L18" s="62">
        <v>43.788048724954599</v>
      </c>
      <c r="M18" s="73">
        <f t="shared" si="7"/>
        <v>43.788048724954599</v>
      </c>
      <c r="N18" s="15">
        <v>0.31186378734126702</v>
      </c>
      <c r="O18" s="77">
        <f t="shared" si="8"/>
        <v>0.31186378734126702</v>
      </c>
      <c r="P18" s="14">
        <v>-0.57144978768184695</v>
      </c>
      <c r="Q18" s="14">
        <v>1.4444728711645632E-2</v>
      </c>
      <c r="R18" s="14">
        <v>1.9254966851331299E-2</v>
      </c>
      <c r="S18" s="1">
        <f t="shared" si="9"/>
        <v>1.4444728711645632E-2</v>
      </c>
      <c r="T18" s="1">
        <f t="shared" si="10"/>
        <v>1.9254966851331299E-2</v>
      </c>
      <c r="U18" s="28">
        <f t="shared" si="0"/>
        <v>2.5518930640204194</v>
      </c>
      <c r="V18" s="64">
        <f t="shared" si="1"/>
        <v>224158.28674355365</v>
      </c>
      <c r="W18" s="27">
        <f t="shared" si="2"/>
        <v>9.3111074406238004E-11</v>
      </c>
      <c r="X18" s="28">
        <f t="shared" si="3"/>
        <v>-0.5714497876670428</v>
      </c>
      <c r="Y18" s="28">
        <f t="shared" si="4"/>
        <v>-2.590627712351079E-11</v>
      </c>
      <c r="Z18" s="132">
        <f t="shared" si="11"/>
        <v>2.5787836710473986</v>
      </c>
      <c r="AA18" s="132">
        <f t="shared" si="12"/>
        <v>0.98957236803967463</v>
      </c>
      <c r="AB18" s="132">
        <f t="shared" si="13"/>
        <v>224158.28674355365</v>
      </c>
      <c r="AC18" s="137">
        <f t="shared" si="14"/>
        <v>0.12054794520547946</v>
      </c>
      <c r="AD18" s="137">
        <f t="shared" si="15"/>
        <v>0.12054794520547946</v>
      </c>
      <c r="AE18" s="137">
        <f t="shared" si="16"/>
        <v>2.5787836710473986</v>
      </c>
      <c r="AF18" s="137">
        <f t="shared" si="17"/>
        <v>224158.28674355365</v>
      </c>
      <c r="AG18" s="150">
        <f t="shared" si="18"/>
        <v>8.150566994271731E-2</v>
      </c>
      <c r="AH18" s="150">
        <v>8.1505669952774903E-2</v>
      </c>
      <c r="AI18" s="150">
        <f t="shared" si="19"/>
        <v>1.2339751442880242E-10</v>
      </c>
    </row>
    <row r="19" spans="2:35" x14ac:dyDescent="0.25">
      <c r="B19" s="59" t="s">
        <v>20</v>
      </c>
      <c r="C19" s="62">
        <v>8784</v>
      </c>
      <c r="D19" s="29" t="s">
        <v>31</v>
      </c>
      <c r="E19" s="27" t="str">
        <f t="shared" si="5"/>
        <v>P</v>
      </c>
      <c r="F19" s="31">
        <v>40909</v>
      </c>
      <c r="G19" s="31">
        <v>41274</v>
      </c>
      <c r="H19" s="14">
        <v>2.5518930637828099</v>
      </c>
      <c r="I19" s="134">
        <v>40892</v>
      </c>
      <c r="J19" s="134">
        <f t="shared" si="6"/>
        <v>40892</v>
      </c>
      <c r="K19" s="28">
        <v>45</v>
      </c>
      <c r="L19" s="62">
        <v>43.788048724954599</v>
      </c>
      <c r="M19" s="73">
        <f t="shared" si="7"/>
        <v>43.788048724954599</v>
      </c>
      <c r="N19" s="15">
        <v>0.31186378734126702</v>
      </c>
      <c r="O19" s="77">
        <f t="shared" si="8"/>
        <v>0.31186378734126702</v>
      </c>
      <c r="P19" s="14">
        <v>-0.57144978768184695</v>
      </c>
      <c r="Q19" s="14">
        <v>1.4444728711645632E-2</v>
      </c>
      <c r="R19" s="14">
        <v>1.9254966851331299E-2</v>
      </c>
      <c r="S19" s="1">
        <f t="shared" si="9"/>
        <v>1.4444728711645632E-2</v>
      </c>
      <c r="T19" s="1">
        <f t="shared" si="10"/>
        <v>1.9254966851331299E-2</v>
      </c>
      <c r="U19" s="28">
        <f t="shared" si="0"/>
        <v>2.5518930640204194</v>
      </c>
      <c r="V19" s="64">
        <f t="shared" si="1"/>
        <v>224158.28674355365</v>
      </c>
      <c r="W19" s="27">
        <f t="shared" si="2"/>
        <v>9.3111074406238004E-11</v>
      </c>
      <c r="X19" s="28">
        <f t="shared" si="3"/>
        <v>-0.5714497876670428</v>
      </c>
      <c r="Y19" s="28">
        <f t="shared" si="4"/>
        <v>-2.590627712351079E-11</v>
      </c>
      <c r="Z19" s="132">
        <f t="shared" si="11"/>
        <v>2.5787836710473986</v>
      </c>
      <c r="AA19" s="132">
        <f t="shared" si="12"/>
        <v>0.98957236803967463</v>
      </c>
      <c r="AB19" s="132">
        <f t="shared" si="13"/>
        <v>224158.28674355365</v>
      </c>
      <c r="AC19" s="137">
        <f t="shared" si="14"/>
        <v>0.12054794520547946</v>
      </c>
      <c r="AD19" s="137">
        <f t="shared" si="15"/>
        <v>0.12054794520547946</v>
      </c>
      <c r="AE19" s="137">
        <f t="shared" si="16"/>
        <v>2.5787836710473986</v>
      </c>
      <c r="AF19" s="137">
        <f t="shared" si="17"/>
        <v>224158.28674355365</v>
      </c>
      <c r="AG19" s="150">
        <f t="shared" si="18"/>
        <v>8.150566994271731E-2</v>
      </c>
      <c r="AH19" s="150">
        <v>8.1505669952774903E-2</v>
      </c>
      <c r="AI19" s="150">
        <f t="shared" si="19"/>
        <v>1.2339751442880242E-10</v>
      </c>
    </row>
    <row r="20" spans="2:35" x14ac:dyDescent="0.25">
      <c r="B20" s="59" t="s">
        <v>50</v>
      </c>
      <c r="C20" s="62">
        <v>8784</v>
      </c>
      <c r="D20" s="29" t="s">
        <v>29</v>
      </c>
      <c r="E20" s="27" t="str">
        <f t="shared" si="5"/>
        <v>C</v>
      </c>
      <c r="F20" s="31">
        <v>40909</v>
      </c>
      <c r="G20" s="31">
        <v>41274</v>
      </c>
      <c r="H20" s="14">
        <v>0.31535370043452299</v>
      </c>
      <c r="I20" s="134">
        <v>40892</v>
      </c>
      <c r="J20" s="134">
        <f t="shared" si="6"/>
        <v>40892</v>
      </c>
      <c r="K20" s="28">
        <v>45</v>
      </c>
      <c r="L20" s="62">
        <v>42.7880487249544</v>
      </c>
      <c r="M20" s="73">
        <f t="shared" si="7"/>
        <v>42.7880487249544</v>
      </c>
      <c r="N20" s="15">
        <v>0.178501840977208</v>
      </c>
      <c r="O20" s="77">
        <f t="shared" si="8"/>
        <v>0.178501840977208</v>
      </c>
      <c r="P20" s="14">
        <v>0.214385156264741</v>
      </c>
      <c r="Q20" s="14">
        <v>1.4444728711645632E-2</v>
      </c>
      <c r="R20" s="14">
        <v>1.9254966851331299E-2</v>
      </c>
      <c r="S20" s="1">
        <f t="shared" si="9"/>
        <v>1.4444728711645632E-2</v>
      </c>
      <c r="T20" s="1">
        <f t="shared" si="10"/>
        <v>1.9254966851331299E-2</v>
      </c>
      <c r="U20" s="28">
        <f t="shared" si="0"/>
        <v>0.31535370113885919</v>
      </c>
      <c r="V20" s="72">
        <f t="shared" si="1"/>
        <v>27700.669108037393</v>
      </c>
      <c r="W20" s="27">
        <f t="shared" si="2"/>
        <v>2.2334800675594124E-9</v>
      </c>
      <c r="X20" s="28">
        <f t="shared" si="3"/>
        <v>0.21438515629271851</v>
      </c>
      <c r="Y20" s="28">
        <f t="shared" si="4"/>
        <v>1.3050116542956403E-10</v>
      </c>
      <c r="Z20" s="132">
        <f t="shared" si="11"/>
        <v>0.31867674494950715</v>
      </c>
      <c r="AA20" s="132">
        <f t="shared" si="12"/>
        <v>0.98957236803967463</v>
      </c>
      <c r="AB20" s="132">
        <f t="shared" si="13"/>
        <v>27700.669108037393</v>
      </c>
      <c r="AC20" s="137">
        <f t="shared" si="14"/>
        <v>0.12054794520547946</v>
      </c>
      <c r="AD20" s="137">
        <f t="shared" si="15"/>
        <v>0.12054794520547946</v>
      </c>
      <c r="AE20" s="137">
        <f t="shared" si="16"/>
        <v>0.31867674494950715</v>
      </c>
      <c r="AF20" s="137">
        <f t="shared" si="17"/>
        <v>27700.669108037393</v>
      </c>
      <c r="AG20" s="150">
        <f t="shared" si="18"/>
        <v>0.10943764497584536</v>
      </c>
      <c r="AH20" s="150">
        <v>0.109437644980715</v>
      </c>
      <c r="AI20" s="150">
        <f t="shared" si="19"/>
        <v>4.4496850648556574E-11</v>
      </c>
    </row>
    <row r="21" spans="2:35" x14ac:dyDescent="0.25">
      <c r="B21" s="59" t="s">
        <v>50</v>
      </c>
      <c r="C21" s="62">
        <v>8784</v>
      </c>
      <c r="D21" s="29" t="s">
        <v>29</v>
      </c>
      <c r="E21" s="27" t="str">
        <f t="shared" si="5"/>
        <v>C</v>
      </c>
      <c r="F21" s="31">
        <v>40909</v>
      </c>
      <c r="G21" s="31">
        <v>41274</v>
      </c>
      <c r="H21" s="14">
        <v>0.31535370043452299</v>
      </c>
      <c r="I21" s="134">
        <v>40892</v>
      </c>
      <c r="J21" s="134">
        <f t="shared" si="6"/>
        <v>40892</v>
      </c>
      <c r="K21" s="28">
        <v>45</v>
      </c>
      <c r="L21" s="62">
        <v>42.7880487249544</v>
      </c>
      <c r="M21" s="73">
        <f t="shared" si="7"/>
        <v>42.7880487249544</v>
      </c>
      <c r="N21" s="15">
        <v>0.178501840977208</v>
      </c>
      <c r="O21" s="77">
        <f t="shared" si="8"/>
        <v>0.178501840977208</v>
      </c>
      <c r="P21" s="14">
        <v>0.214385156264741</v>
      </c>
      <c r="Q21" s="14">
        <v>1.4444728711645632E-2</v>
      </c>
      <c r="R21" s="14">
        <v>1.9254966851331299E-2</v>
      </c>
      <c r="S21" s="1">
        <f t="shared" si="9"/>
        <v>1.4444728711645632E-2</v>
      </c>
      <c r="T21" s="1">
        <f t="shared" si="10"/>
        <v>1.9254966851331299E-2</v>
      </c>
      <c r="U21" s="28">
        <f t="shared" si="0"/>
        <v>0.31535370113885919</v>
      </c>
      <c r="V21" s="64">
        <f t="shared" si="1"/>
        <v>27700.669108037393</v>
      </c>
      <c r="W21" s="27">
        <f t="shared" si="2"/>
        <v>2.2334800675594124E-9</v>
      </c>
      <c r="X21" s="28">
        <f t="shared" si="3"/>
        <v>0.21438515629271851</v>
      </c>
      <c r="Y21" s="28">
        <f t="shared" si="4"/>
        <v>1.3050116542956403E-10</v>
      </c>
      <c r="Z21" s="132">
        <f t="shared" si="11"/>
        <v>0.31867674494950715</v>
      </c>
      <c r="AA21" s="132">
        <f t="shared" si="12"/>
        <v>0.98957236803967463</v>
      </c>
      <c r="AB21" s="132">
        <f t="shared" si="13"/>
        <v>27700.669108037393</v>
      </c>
      <c r="AC21" s="137">
        <f t="shared" si="14"/>
        <v>0.12054794520547946</v>
      </c>
      <c r="AD21" s="137">
        <f t="shared" si="15"/>
        <v>0.12054794520547946</v>
      </c>
      <c r="AE21" s="137">
        <f t="shared" si="16"/>
        <v>0.31867674494950715</v>
      </c>
      <c r="AF21" s="137">
        <f t="shared" si="17"/>
        <v>27700.669108037393</v>
      </c>
      <c r="AG21" s="150">
        <f t="shared" si="18"/>
        <v>0.10943764497584536</v>
      </c>
      <c r="AH21" s="150">
        <v>0.109437644980715</v>
      </c>
      <c r="AI21" s="150">
        <f t="shared" si="19"/>
        <v>4.4496850648556574E-11</v>
      </c>
    </row>
    <row r="22" spans="2:35" x14ac:dyDescent="0.25">
      <c r="B22" s="59" t="s">
        <v>50</v>
      </c>
      <c r="C22" s="62">
        <v>8784</v>
      </c>
      <c r="D22" s="29" t="s">
        <v>31</v>
      </c>
      <c r="E22" s="27" t="str">
        <f t="shared" si="5"/>
        <v>P</v>
      </c>
      <c r="F22" s="31">
        <v>40909</v>
      </c>
      <c r="G22" s="31">
        <v>41274</v>
      </c>
      <c r="H22" s="14">
        <v>2.50043140981585</v>
      </c>
      <c r="I22" s="134">
        <v>40892</v>
      </c>
      <c r="J22" s="134">
        <f t="shared" si="6"/>
        <v>40892</v>
      </c>
      <c r="K22" s="28">
        <v>45</v>
      </c>
      <c r="L22" s="62">
        <v>42.7880487249544</v>
      </c>
      <c r="M22" s="73">
        <f t="shared" si="7"/>
        <v>42.7880487249544</v>
      </c>
      <c r="N22" s="15">
        <v>0.178501840977208</v>
      </c>
      <c r="O22" s="77">
        <f t="shared" si="8"/>
        <v>0.178501840977208</v>
      </c>
      <c r="P22" s="14">
        <v>-0.77346558621430805</v>
      </c>
      <c r="Q22" s="14">
        <v>1.4444728711645632E-2</v>
      </c>
      <c r="R22" s="14">
        <v>1.9254966851331299E-2</v>
      </c>
      <c r="S22" s="1">
        <f t="shared" si="9"/>
        <v>1.4444728711645632E-2</v>
      </c>
      <c r="T22" s="1">
        <f t="shared" si="10"/>
        <v>1.9254966851331299E-2</v>
      </c>
      <c r="U22" s="28">
        <f t="shared" si="0"/>
        <v>2.500431410520465</v>
      </c>
      <c r="V22" s="64">
        <f t="shared" si="1"/>
        <v>219637.89510011763</v>
      </c>
      <c r="W22" s="27">
        <f t="shared" si="2"/>
        <v>2.8179747424417201E-10</v>
      </c>
      <c r="X22" s="28">
        <f t="shared" si="3"/>
        <v>-0.77346558618648098</v>
      </c>
      <c r="Y22" s="28">
        <f t="shared" si="4"/>
        <v>-3.5977110179885585E-11</v>
      </c>
      <c r="Z22" s="132">
        <f t="shared" si="11"/>
        <v>2.5267797396907672</v>
      </c>
      <c r="AA22" s="132">
        <f t="shared" si="12"/>
        <v>0.98957236803967463</v>
      </c>
      <c r="AB22" s="132">
        <f t="shared" si="13"/>
        <v>219637.89510011763</v>
      </c>
      <c r="AC22" s="137">
        <f t="shared" si="14"/>
        <v>0.12054794520547946</v>
      </c>
      <c r="AD22" s="137">
        <f t="shared" si="15"/>
        <v>0.12054794520547946</v>
      </c>
      <c r="AE22" s="137">
        <f t="shared" si="16"/>
        <v>2.5267797396907672</v>
      </c>
      <c r="AF22" s="137">
        <f t="shared" si="17"/>
        <v>219637.89510011763</v>
      </c>
      <c r="AG22" s="150">
        <f t="shared" si="18"/>
        <v>0.10943764497584536</v>
      </c>
      <c r="AH22" s="150">
        <v>0.109437644980715</v>
      </c>
      <c r="AI22" s="150">
        <f t="shared" si="19"/>
        <v>4.4496850648556574E-11</v>
      </c>
    </row>
    <row r="23" spans="2:35" x14ac:dyDescent="0.25">
      <c r="B23" s="59" t="s">
        <v>50</v>
      </c>
      <c r="C23" s="62">
        <v>8784</v>
      </c>
      <c r="D23" s="29" t="s">
        <v>31</v>
      </c>
      <c r="E23" s="27" t="str">
        <f t="shared" si="5"/>
        <v>P</v>
      </c>
      <c r="F23" s="31">
        <v>40909</v>
      </c>
      <c r="G23" s="31">
        <v>41274</v>
      </c>
      <c r="H23" s="14">
        <v>2.50043140981585</v>
      </c>
      <c r="I23" s="134">
        <v>40892</v>
      </c>
      <c r="J23" s="134">
        <f t="shared" si="6"/>
        <v>40892</v>
      </c>
      <c r="K23" s="28">
        <v>45</v>
      </c>
      <c r="L23" s="62">
        <v>42.7880487249544</v>
      </c>
      <c r="M23" s="73">
        <f t="shared" si="7"/>
        <v>42.7880487249544</v>
      </c>
      <c r="N23" s="15">
        <v>0.178501840977208</v>
      </c>
      <c r="O23" s="77">
        <f t="shared" si="8"/>
        <v>0.178501840977208</v>
      </c>
      <c r="P23" s="14">
        <v>-0.77346558621430805</v>
      </c>
      <c r="Q23" s="14">
        <v>1.4444728711645632E-2</v>
      </c>
      <c r="R23" s="14">
        <v>1.9254966851331299E-2</v>
      </c>
      <c r="S23" s="1">
        <f t="shared" si="9"/>
        <v>1.4444728711645632E-2</v>
      </c>
      <c r="T23" s="1">
        <f t="shared" si="10"/>
        <v>1.9254966851331299E-2</v>
      </c>
      <c r="U23" s="28">
        <f t="shared" si="0"/>
        <v>2.500431410520465</v>
      </c>
      <c r="V23" s="64">
        <f t="shared" si="1"/>
        <v>219637.89510011763</v>
      </c>
      <c r="W23" s="27">
        <f t="shared" si="2"/>
        <v>2.8179747424417201E-10</v>
      </c>
      <c r="X23" s="28">
        <f t="shared" si="3"/>
        <v>-0.77346558618648098</v>
      </c>
      <c r="Y23" s="28">
        <f t="shared" si="4"/>
        <v>-3.5977110179885585E-11</v>
      </c>
      <c r="Z23" s="132">
        <f t="shared" si="11"/>
        <v>2.5267797396907672</v>
      </c>
      <c r="AA23" s="132">
        <f t="shared" si="12"/>
        <v>0.98957236803967463</v>
      </c>
      <c r="AB23" s="132">
        <f t="shared" si="13"/>
        <v>219637.89510011763</v>
      </c>
      <c r="AC23" s="137">
        <f t="shared" si="14"/>
        <v>0.12054794520547946</v>
      </c>
      <c r="AD23" s="137">
        <f t="shared" si="15"/>
        <v>0.12054794520547946</v>
      </c>
      <c r="AE23" s="137">
        <f t="shared" si="16"/>
        <v>2.5267797396907672</v>
      </c>
      <c r="AF23" s="137">
        <f t="shared" si="17"/>
        <v>219637.89510011763</v>
      </c>
      <c r="AG23" s="150">
        <f t="shared" si="18"/>
        <v>0.10943764497584536</v>
      </c>
      <c r="AH23" s="150">
        <v>0.109437644980715</v>
      </c>
      <c r="AI23" s="150">
        <f t="shared" si="19"/>
        <v>4.4496850648556574E-11</v>
      </c>
    </row>
    <row r="24" spans="2:35" x14ac:dyDescent="0.25">
      <c r="B24" s="59" t="s">
        <v>20</v>
      </c>
      <c r="C24" s="62">
        <v>780</v>
      </c>
      <c r="D24" s="29" t="s">
        <v>32</v>
      </c>
      <c r="E24" s="27" t="str">
        <f t="shared" si="5"/>
        <v>C</v>
      </c>
      <c r="F24" s="31">
        <v>41000</v>
      </c>
      <c r="G24" s="31">
        <v>41090</v>
      </c>
      <c r="H24" s="14">
        <v>8.5799025515110898</v>
      </c>
      <c r="I24" s="134">
        <v>40983</v>
      </c>
      <c r="J24" s="134">
        <f t="shared" si="6"/>
        <v>40983</v>
      </c>
      <c r="K24" s="28">
        <v>45</v>
      </c>
      <c r="L24" s="62">
        <v>46.250000000000398</v>
      </c>
      <c r="M24" s="73">
        <f t="shared" si="7"/>
        <v>46.250000000000398</v>
      </c>
      <c r="N24" s="15">
        <v>0.73045124269521</v>
      </c>
      <c r="O24" s="77">
        <f t="shared" si="8"/>
        <v>0.73045124269521</v>
      </c>
      <c r="P24" s="14">
        <v>0.606069786726674</v>
      </c>
      <c r="Q24" s="14">
        <v>1.6803828625654969E-2</v>
      </c>
      <c r="R24" s="14">
        <v>1.8151625940463201E-2</v>
      </c>
      <c r="S24" s="1">
        <f t="shared" si="9"/>
        <v>1.6803828625654969E-2</v>
      </c>
      <c r="T24" s="1">
        <f t="shared" si="10"/>
        <v>1.8151625940463201E-2</v>
      </c>
      <c r="U24" s="28">
        <f t="shared" si="0"/>
        <v>8.5799025518585523</v>
      </c>
      <c r="V24" s="64">
        <f t="shared" si="1"/>
        <v>66923.239904496702</v>
      </c>
      <c r="W24" s="27">
        <f t="shared" si="2"/>
        <v>4.0497161180041985E-11</v>
      </c>
      <c r="X24" s="28">
        <f t="shared" si="3"/>
        <v>0.60606978672951861</v>
      </c>
      <c r="Y24" s="28">
        <f t="shared" si="4"/>
        <v>4.6935788589053118E-12</v>
      </c>
      <c r="Z24" s="132">
        <f t="shared" si="11"/>
        <v>8.606176362343998</v>
      </c>
      <c r="AA24" s="132">
        <f t="shared" si="12"/>
        <v>0.9969470982955444</v>
      </c>
      <c r="AB24" s="132">
        <f t="shared" si="13"/>
        <v>66923.239904496702</v>
      </c>
      <c r="AC24" s="137">
        <f t="shared" si="14"/>
        <v>0.36986301369863012</v>
      </c>
      <c r="AD24" s="137">
        <f t="shared" si="15"/>
        <v>0.36986301369863012</v>
      </c>
      <c r="AE24" s="137">
        <f t="shared" si="16"/>
        <v>8.606176362343998</v>
      </c>
      <c r="AF24" s="137">
        <f t="shared" si="17"/>
        <v>66923.239904496702</v>
      </c>
      <c r="AG24" s="150">
        <f t="shared" si="18"/>
        <v>1.8478672004569499E-2</v>
      </c>
      <c r="AH24" s="150">
        <v>1.8478672005397101E-2</v>
      </c>
      <c r="AI24" s="150">
        <f t="shared" si="19"/>
        <v>4.4786840902588665E-11</v>
      </c>
    </row>
    <row r="25" spans="2:35" x14ac:dyDescent="0.25">
      <c r="B25" s="59" t="s">
        <v>20</v>
      </c>
      <c r="C25" s="62">
        <v>780</v>
      </c>
      <c r="D25" s="29" t="s">
        <v>32</v>
      </c>
      <c r="E25" s="27" t="str">
        <f t="shared" si="5"/>
        <v>C</v>
      </c>
      <c r="F25" s="31">
        <v>41000</v>
      </c>
      <c r="G25" s="31">
        <v>41090</v>
      </c>
      <c r="H25" s="14">
        <v>8.5799025515110898</v>
      </c>
      <c r="I25" s="134">
        <v>40983</v>
      </c>
      <c r="J25" s="134">
        <f t="shared" si="6"/>
        <v>40983</v>
      </c>
      <c r="K25" s="28">
        <v>45</v>
      </c>
      <c r="L25" s="62">
        <v>46.250000000000398</v>
      </c>
      <c r="M25" s="73">
        <f t="shared" si="7"/>
        <v>46.250000000000398</v>
      </c>
      <c r="N25" s="15">
        <v>0.73045124269521</v>
      </c>
      <c r="O25" s="77">
        <f t="shared" si="8"/>
        <v>0.73045124269521</v>
      </c>
      <c r="P25" s="14">
        <v>0.606069786726674</v>
      </c>
      <c r="Q25" s="14">
        <v>1.6803828625654969E-2</v>
      </c>
      <c r="R25" s="14">
        <v>1.8151625940463201E-2</v>
      </c>
      <c r="S25" s="1">
        <f t="shared" si="9"/>
        <v>1.6803828625654969E-2</v>
      </c>
      <c r="T25" s="1">
        <f t="shared" si="10"/>
        <v>1.8151625940463201E-2</v>
      </c>
      <c r="U25" s="28">
        <f t="shared" si="0"/>
        <v>8.5799025518585523</v>
      </c>
      <c r="V25" s="64">
        <f t="shared" si="1"/>
        <v>66923.239904496702</v>
      </c>
      <c r="W25" s="27">
        <f t="shared" si="2"/>
        <v>4.0497161180041985E-11</v>
      </c>
      <c r="X25" s="28">
        <f t="shared" si="3"/>
        <v>0.60606978672951861</v>
      </c>
      <c r="Y25" s="28">
        <f t="shared" si="4"/>
        <v>4.6935788589053118E-12</v>
      </c>
      <c r="Z25" s="132">
        <f t="shared" si="11"/>
        <v>8.606176362343998</v>
      </c>
      <c r="AA25" s="132">
        <f t="shared" si="12"/>
        <v>0.9969470982955444</v>
      </c>
      <c r="AB25" s="132">
        <f t="shared" si="13"/>
        <v>66923.239904496702</v>
      </c>
      <c r="AC25" s="137">
        <f t="shared" si="14"/>
        <v>0.36986301369863012</v>
      </c>
      <c r="AD25" s="137">
        <f t="shared" si="15"/>
        <v>0.36986301369863012</v>
      </c>
      <c r="AE25" s="137">
        <f t="shared" si="16"/>
        <v>8.606176362343998</v>
      </c>
      <c r="AF25" s="137">
        <f t="shared" si="17"/>
        <v>66923.239904496702</v>
      </c>
      <c r="AG25" s="150">
        <f t="shared" si="18"/>
        <v>1.8478672004569499E-2</v>
      </c>
      <c r="AH25" s="150">
        <v>1.8478672005397101E-2</v>
      </c>
      <c r="AI25" s="150">
        <f t="shared" si="19"/>
        <v>4.4786840902588665E-11</v>
      </c>
    </row>
    <row r="26" spans="2:35" x14ac:dyDescent="0.25">
      <c r="B26" s="59" t="s">
        <v>20</v>
      </c>
      <c r="C26" s="62">
        <v>780</v>
      </c>
      <c r="D26" s="29" t="s">
        <v>35</v>
      </c>
      <c r="E26" s="27" t="str">
        <f t="shared" si="5"/>
        <v>P</v>
      </c>
      <c r="F26" s="31">
        <v>41000</v>
      </c>
      <c r="G26" s="31">
        <v>41090</v>
      </c>
      <c r="H26" s="14">
        <v>7.3414398355528796</v>
      </c>
      <c r="I26" s="134">
        <v>40983</v>
      </c>
      <c r="J26" s="134">
        <f t="shared" si="6"/>
        <v>40983</v>
      </c>
      <c r="K26" s="28">
        <v>45</v>
      </c>
      <c r="L26" s="62">
        <v>46.250000000000398</v>
      </c>
      <c r="M26" s="73">
        <f t="shared" si="7"/>
        <v>46.250000000000398</v>
      </c>
      <c r="N26" s="15">
        <v>0.73045124269521</v>
      </c>
      <c r="O26" s="77">
        <f t="shared" si="8"/>
        <v>0.73045124269521</v>
      </c>
      <c r="P26" s="14">
        <v>-0.38470038603958001</v>
      </c>
      <c r="Q26" s="14">
        <v>1.6803828625654969E-2</v>
      </c>
      <c r="R26" s="14">
        <v>1.8151625940463201E-2</v>
      </c>
      <c r="S26" s="1">
        <f t="shared" si="9"/>
        <v>1.6803828625654969E-2</v>
      </c>
      <c r="T26" s="1">
        <f t="shared" si="10"/>
        <v>1.8151625940463201E-2</v>
      </c>
      <c r="U26" s="28">
        <f t="shared" si="0"/>
        <v>7.341439835900295</v>
      </c>
      <c r="V26" s="64">
        <f t="shared" si="1"/>
        <v>57263.2307200223</v>
      </c>
      <c r="W26" s="27">
        <f t="shared" si="2"/>
        <v>4.7322590290832522E-11</v>
      </c>
      <c r="X26" s="28">
        <f t="shared" si="3"/>
        <v>-0.38470038603676887</v>
      </c>
      <c r="Y26" s="28">
        <f t="shared" si="4"/>
        <v>-7.3073769257803178E-12</v>
      </c>
      <c r="Z26" s="132">
        <f t="shared" si="11"/>
        <v>7.3639211633714288</v>
      </c>
      <c r="AA26" s="132">
        <f t="shared" si="12"/>
        <v>0.9969470982955444</v>
      </c>
      <c r="AB26" s="132">
        <f t="shared" si="13"/>
        <v>57263.2307200223</v>
      </c>
      <c r="AC26" s="137">
        <f t="shared" si="14"/>
        <v>0.36986301369863012</v>
      </c>
      <c r="AD26" s="137">
        <f t="shared" si="15"/>
        <v>0.36986301369863012</v>
      </c>
      <c r="AE26" s="137">
        <f t="shared" si="16"/>
        <v>7.3639211633714288</v>
      </c>
      <c r="AF26" s="137">
        <f t="shared" si="17"/>
        <v>57263.230720022308</v>
      </c>
      <c r="AG26" s="150">
        <f t="shared" si="18"/>
        <v>1.8478672004569499E-2</v>
      </c>
      <c r="AH26" s="150">
        <v>1.8478672005397101E-2</v>
      </c>
      <c r="AI26" s="150">
        <f t="shared" si="19"/>
        <v>4.4786840902588665E-11</v>
      </c>
    </row>
    <row r="27" spans="2:35" x14ac:dyDescent="0.25">
      <c r="B27" s="59" t="s">
        <v>20</v>
      </c>
      <c r="C27" s="62">
        <v>780</v>
      </c>
      <c r="D27" s="29" t="s">
        <v>35</v>
      </c>
      <c r="E27" s="27" t="str">
        <f t="shared" si="5"/>
        <v>P</v>
      </c>
      <c r="F27" s="31">
        <v>41000</v>
      </c>
      <c r="G27" s="31">
        <v>41090</v>
      </c>
      <c r="H27" s="14">
        <v>7.3414398355528796</v>
      </c>
      <c r="I27" s="134">
        <v>40983</v>
      </c>
      <c r="J27" s="134">
        <f t="shared" si="6"/>
        <v>40983</v>
      </c>
      <c r="K27" s="28">
        <v>45</v>
      </c>
      <c r="L27" s="62">
        <v>46.250000000000398</v>
      </c>
      <c r="M27" s="73">
        <f t="shared" si="7"/>
        <v>46.250000000000398</v>
      </c>
      <c r="N27" s="15">
        <v>0.73045124269521</v>
      </c>
      <c r="O27" s="77">
        <f t="shared" si="8"/>
        <v>0.73045124269521</v>
      </c>
      <c r="P27" s="14">
        <v>-0.38470038603958001</v>
      </c>
      <c r="Q27" s="14">
        <v>1.6803828625654969E-2</v>
      </c>
      <c r="R27" s="14">
        <v>1.8151625940463201E-2</v>
      </c>
      <c r="S27" s="1">
        <f t="shared" si="9"/>
        <v>1.6803828625654969E-2</v>
      </c>
      <c r="T27" s="1">
        <f t="shared" si="10"/>
        <v>1.8151625940463201E-2</v>
      </c>
      <c r="U27" s="28">
        <f t="shared" si="0"/>
        <v>7.341439835900295</v>
      </c>
      <c r="V27" s="64">
        <f t="shared" si="1"/>
        <v>57263.2307200223</v>
      </c>
      <c r="W27" s="27">
        <f t="shared" si="2"/>
        <v>4.7322590290832522E-11</v>
      </c>
      <c r="X27" s="28">
        <f t="shared" si="3"/>
        <v>-0.38470038603676887</v>
      </c>
      <c r="Y27" s="28">
        <f t="shared" si="4"/>
        <v>-7.3073769257803178E-12</v>
      </c>
      <c r="Z27" s="132">
        <f t="shared" si="11"/>
        <v>7.3639211633714288</v>
      </c>
      <c r="AA27" s="132">
        <f t="shared" si="12"/>
        <v>0.9969470982955444</v>
      </c>
      <c r="AB27" s="132">
        <f t="shared" si="13"/>
        <v>57263.2307200223</v>
      </c>
      <c r="AC27" s="137">
        <f t="shared" si="14"/>
        <v>0.36986301369863012</v>
      </c>
      <c r="AD27" s="137">
        <f t="shared" si="15"/>
        <v>0.36986301369863012</v>
      </c>
      <c r="AE27" s="137">
        <f t="shared" si="16"/>
        <v>7.3639211633714288</v>
      </c>
      <c r="AF27" s="137">
        <f t="shared" si="17"/>
        <v>57263.230720022308</v>
      </c>
      <c r="AG27" s="150">
        <f t="shared" si="18"/>
        <v>1.8478672004569499E-2</v>
      </c>
      <c r="AH27" s="150">
        <v>1.8478672005397101E-2</v>
      </c>
      <c r="AI27" s="150">
        <f t="shared" si="19"/>
        <v>4.4786840902588665E-11</v>
      </c>
    </row>
    <row r="28" spans="2:35" x14ac:dyDescent="0.25">
      <c r="B28" s="59" t="s">
        <v>20</v>
      </c>
      <c r="C28" s="62">
        <v>2184</v>
      </c>
      <c r="D28" s="29" t="s">
        <v>36</v>
      </c>
      <c r="E28" s="27" t="str">
        <f t="shared" si="5"/>
        <v>C</v>
      </c>
      <c r="F28" s="31">
        <v>41000</v>
      </c>
      <c r="G28" s="31">
        <v>41090</v>
      </c>
      <c r="H28" s="14">
        <v>2.40993277230484</v>
      </c>
      <c r="I28" s="134">
        <v>40983</v>
      </c>
      <c r="J28" s="134">
        <f t="shared" si="6"/>
        <v>40983</v>
      </c>
      <c r="K28" s="28">
        <v>45</v>
      </c>
      <c r="L28" s="62">
        <v>41.1000000000003</v>
      </c>
      <c r="M28" s="73">
        <f t="shared" si="7"/>
        <v>41.1000000000003</v>
      </c>
      <c r="N28" s="15">
        <v>0.39277563758550699</v>
      </c>
      <c r="O28" s="77">
        <f t="shared" si="8"/>
        <v>0.39277563758550699</v>
      </c>
      <c r="P28" s="14">
        <v>0.39373518300409799</v>
      </c>
      <c r="Q28" s="14">
        <v>1.6803828625654969E-2</v>
      </c>
      <c r="R28" s="14">
        <v>1.8151625940463201E-2</v>
      </c>
      <c r="S28" s="1">
        <f t="shared" si="9"/>
        <v>1.6803828625654969E-2</v>
      </c>
      <c r="T28" s="1">
        <f t="shared" si="10"/>
        <v>1.8151625940463201E-2</v>
      </c>
      <c r="U28" s="28">
        <f t="shared" si="0"/>
        <v>2.4099327726950945</v>
      </c>
      <c r="V28" s="64">
        <f t="shared" si="1"/>
        <v>52632.931755660866</v>
      </c>
      <c r="W28" s="27">
        <f t="shared" si="2"/>
        <v>1.6193579810419578E-10</v>
      </c>
      <c r="X28" s="28">
        <f t="shared" si="3"/>
        <v>0.39373518301221977</v>
      </c>
      <c r="Y28" s="28">
        <f t="shared" si="4"/>
        <v>2.0627499708325558E-11</v>
      </c>
      <c r="Z28" s="132">
        <f t="shared" si="11"/>
        <v>2.4173125904225978</v>
      </c>
      <c r="AA28" s="132">
        <f t="shared" si="12"/>
        <v>0.9969470982955444</v>
      </c>
      <c r="AB28" s="132">
        <f t="shared" si="13"/>
        <v>52632.931755660866</v>
      </c>
      <c r="AC28" s="137">
        <f t="shared" si="14"/>
        <v>0.36986301369863012</v>
      </c>
      <c r="AD28" s="137">
        <f t="shared" si="15"/>
        <v>0.36986301369863012</v>
      </c>
      <c r="AE28" s="137">
        <f t="shared" si="16"/>
        <v>2.4173125904225978</v>
      </c>
      <c r="AF28" s="137">
        <f t="shared" si="17"/>
        <v>52632.931755660873</v>
      </c>
      <c r="AG28" s="150">
        <f t="shared" si="18"/>
        <v>3.8921413484258961E-2</v>
      </c>
      <c r="AH28" s="150">
        <v>3.8921413485709697E-2</v>
      </c>
      <c r="AI28" s="150">
        <f t="shared" si="19"/>
        <v>3.7273517605740381E-11</v>
      </c>
    </row>
    <row r="29" spans="2:35" x14ac:dyDescent="0.25">
      <c r="B29" s="59" t="s">
        <v>20</v>
      </c>
      <c r="C29" s="62">
        <v>2184</v>
      </c>
      <c r="D29" s="29" t="s">
        <v>36</v>
      </c>
      <c r="E29" s="27" t="str">
        <f t="shared" si="5"/>
        <v>C</v>
      </c>
      <c r="F29" s="31">
        <v>41000</v>
      </c>
      <c r="G29" s="31">
        <v>41090</v>
      </c>
      <c r="H29" s="14">
        <v>2.40993277230484</v>
      </c>
      <c r="I29" s="134">
        <v>40983</v>
      </c>
      <c r="J29" s="134">
        <f t="shared" si="6"/>
        <v>40983</v>
      </c>
      <c r="K29" s="28">
        <v>45</v>
      </c>
      <c r="L29" s="62">
        <v>41.1000000000003</v>
      </c>
      <c r="M29" s="73">
        <f t="shared" si="7"/>
        <v>41.1000000000003</v>
      </c>
      <c r="N29" s="15">
        <v>0.39277563758550699</v>
      </c>
      <c r="O29" s="77">
        <f t="shared" si="8"/>
        <v>0.39277563758550699</v>
      </c>
      <c r="P29" s="14">
        <v>0.39373518300409799</v>
      </c>
      <c r="Q29" s="14">
        <v>1.6803828625654969E-2</v>
      </c>
      <c r="R29" s="14">
        <v>1.8151625940463201E-2</v>
      </c>
      <c r="S29" s="1">
        <f t="shared" si="9"/>
        <v>1.6803828625654969E-2</v>
      </c>
      <c r="T29" s="1">
        <f t="shared" si="10"/>
        <v>1.8151625940463201E-2</v>
      </c>
      <c r="U29" s="28">
        <f t="shared" si="0"/>
        <v>2.4099327726950945</v>
      </c>
      <c r="V29" s="64">
        <f t="shared" si="1"/>
        <v>52632.931755660866</v>
      </c>
      <c r="W29" s="27">
        <f t="shared" si="2"/>
        <v>1.6193579810419578E-10</v>
      </c>
      <c r="X29" s="28">
        <f t="shared" si="3"/>
        <v>0.39373518301221977</v>
      </c>
      <c r="Y29" s="28">
        <f t="shared" si="4"/>
        <v>2.0627499708325558E-11</v>
      </c>
      <c r="Z29" s="132">
        <f t="shared" si="11"/>
        <v>2.4173125904225978</v>
      </c>
      <c r="AA29" s="132">
        <f t="shared" si="12"/>
        <v>0.9969470982955444</v>
      </c>
      <c r="AB29" s="132">
        <f t="shared" si="13"/>
        <v>52632.931755660866</v>
      </c>
      <c r="AC29" s="137">
        <f t="shared" si="14"/>
        <v>0.36986301369863012</v>
      </c>
      <c r="AD29" s="137">
        <f t="shared" si="15"/>
        <v>0.36986301369863012</v>
      </c>
      <c r="AE29" s="137">
        <f t="shared" si="16"/>
        <v>2.4173125904225978</v>
      </c>
      <c r="AF29" s="137">
        <f t="shared" si="17"/>
        <v>52632.931755660873</v>
      </c>
      <c r="AG29" s="150">
        <f t="shared" si="18"/>
        <v>3.8921413484258961E-2</v>
      </c>
      <c r="AH29" s="150">
        <v>3.8921413485709697E-2</v>
      </c>
      <c r="AI29" s="150">
        <f t="shared" si="19"/>
        <v>3.7273517605740381E-11</v>
      </c>
    </row>
    <row r="30" spans="2:35" x14ac:dyDescent="0.25">
      <c r="B30" s="59" t="s">
        <v>20</v>
      </c>
      <c r="C30" s="62">
        <v>2184</v>
      </c>
      <c r="D30" s="29" t="s">
        <v>38</v>
      </c>
      <c r="E30" s="27" t="str">
        <f t="shared" si="5"/>
        <v>P</v>
      </c>
      <c r="F30" s="31">
        <v>41000</v>
      </c>
      <c r="G30" s="31">
        <v>41090</v>
      </c>
      <c r="H30" s="14">
        <v>6.2739364460929696</v>
      </c>
      <c r="I30" s="134">
        <v>40983</v>
      </c>
      <c r="J30" s="134">
        <f t="shared" si="6"/>
        <v>40983</v>
      </c>
      <c r="K30" s="28">
        <v>45</v>
      </c>
      <c r="L30" s="62">
        <v>41.1000000000003</v>
      </c>
      <c r="M30" s="73">
        <f t="shared" si="7"/>
        <v>41.1000000000003</v>
      </c>
      <c r="N30" s="15">
        <v>0.39277563758550699</v>
      </c>
      <c r="O30" s="77">
        <f t="shared" si="8"/>
        <v>0.39277563758550699</v>
      </c>
      <c r="P30" s="14">
        <v>-0.59703498976215597</v>
      </c>
      <c r="Q30" s="14">
        <v>1.6803828625654969E-2</v>
      </c>
      <c r="R30" s="14">
        <v>1.8151625940463201E-2</v>
      </c>
      <c r="S30" s="1">
        <f t="shared" si="9"/>
        <v>1.6803828625654969E-2</v>
      </c>
      <c r="T30" s="1">
        <f t="shared" si="10"/>
        <v>1.8151625940463201E-2</v>
      </c>
      <c r="U30" s="28">
        <f t="shared" si="0"/>
        <v>6.2739364464833187</v>
      </c>
      <c r="V30" s="64">
        <f t="shared" si="1"/>
        <v>137022.77199119568</v>
      </c>
      <c r="W30" s="27">
        <f t="shared" si="2"/>
        <v>6.2217564433808548E-11</v>
      </c>
      <c r="X30" s="28">
        <f t="shared" si="3"/>
        <v>-0.59703498975406777</v>
      </c>
      <c r="Y30" s="28">
        <f t="shared" si="4"/>
        <v>-1.3547274413383548E-11</v>
      </c>
      <c r="Z30" s="132">
        <f t="shared" si="11"/>
        <v>6.2931488112154712</v>
      </c>
      <c r="AA30" s="132">
        <f t="shared" si="12"/>
        <v>0.9969470982955444</v>
      </c>
      <c r="AB30" s="132">
        <f t="shared" si="13"/>
        <v>137022.77199119568</v>
      </c>
      <c r="AC30" s="137">
        <f t="shared" si="14"/>
        <v>0.36986301369863012</v>
      </c>
      <c r="AD30" s="137">
        <f t="shared" si="15"/>
        <v>0.36986301369863012</v>
      </c>
      <c r="AE30" s="137">
        <f t="shared" si="16"/>
        <v>6.2931488112154712</v>
      </c>
      <c r="AF30" s="137">
        <f t="shared" si="17"/>
        <v>137022.77199119568</v>
      </c>
      <c r="AG30" s="150">
        <f t="shared" si="18"/>
        <v>3.8921413484258961E-2</v>
      </c>
      <c r="AH30" s="150">
        <v>3.8921413485709697E-2</v>
      </c>
      <c r="AI30" s="150">
        <f t="shared" si="19"/>
        <v>3.7273517605740381E-11</v>
      </c>
    </row>
    <row r="31" spans="2:35" x14ac:dyDescent="0.25">
      <c r="B31" s="59" t="s">
        <v>20</v>
      </c>
      <c r="C31" s="62">
        <v>2184</v>
      </c>
      <c r="D31" s="29" t="s">
        <v>38</v>
      </c>
      <c r="E31" s="27" t="str">
        <f t="shared" si="5"/>
        <v>P</v>
      </c>
      <c r="F31" s="31">
        <v>41000</v>
      </c>
      <c r="G31" s="31">
        <v>41090</v>
      </c>
      <c r="H31" s="14">
        <v>6.2739364460929696</v>
      </c>
      <c r="I31" s="134">
        <v>40983</v>
      </c>
      <c r="J31" s="134">
        <f t="shared" si="6"/>
        <v>40983</v>
      </c>
      <c r="K31" s="28">
        <v>45</v>
      </c>
      <c r="L31" s="62">
        <v>41.1000000000003</v>
      </c>
      <c r="M31" s="73">
        <f t="shared" si="7"/>
        <v>41.1000000000003</v>
      </c>
      <c r="N31" s="15">
        <v>0.39277563758550699</v>
      </c>
      <c r="O31" s="77">
        <f t="shared" si="8"/>
        <v>0.39277563758550699</v>
      </c>
      <c r="P31" s="14">
        <v>-0.59703498976215597</v>
      </c>
      <c r="Q31" s="14">
        <v>1.6803828625654969E-2</v>
      </c>
      <c r="R31" s="14">
        <v>1.8151625940463201E-2</v>
      </c>
      <c r="S31" s="1">
        <f t="shared" si="9"/>
        <v>1.6803828625654969E-2</v>
      </c>
      <c r="T31" s="1">
        <f t="shared" si="10"/>
        <v>1.8151625940463201E-2</v>
      </c>
      <c r="U31" s="28">
        <f t="shared" si="0"/>
        <v>6.2739364464833187</v>
      </c>
      <c r="V31" s="64">
        <f t="shared" si="1"/>
        <v>137022.77199119568</v>
      </c>
      <c r="W31" s="27">
        <f t="shared" si="2"/>
        <v>6.2217564433808548E-11</v>
      </c>
      <c r="X31" s="28">
        <f t="shared" si="3"/>
        <v>-0.59703498975406777</v>
      </c>
      <c r="Y31" s="28">
        <f t="shared" si="4"/>
        <v>-1.3547274413383548E-11</v>
      </c>
      <c r="Z31" s="132">
        <f t="shared" si="11"/>
        <v>6.2931488112154712</v>
      </c>
      <c r="AA31" s="132">
        <f t="shared" si="12"/>
        <v>0.9969470982955444</v>
      </c>
      <c r="AB31" s="132">
        <f t="shared" si="13"/>
        <v>137022.77199119568</v>
      </c>
      <c r="AC31" s="137">
        <f t="shared" si="14"/>
        <v>0.36986301369863012</v>
      </c>
      <c r="AD31" s="137">
        <f t="shared" si="15"/>
        <v>0.36986301369863012</v>
      </c>
      <c r="AE31" s="137">
        <f t="shared" si="16"/>
        <v>6.2931488112154712</v>
      </c>
      <c r="AF31" s="137">
        <f t="shared" si="17"/>
        <v>137022.77199119568</v>
      </c>
      <c r="AG31" s="150">
        <f t="shared" si="18"/>
        <v>3.8921413484258961E-2</v>
      </c>
      <c r="AH31" s="150">
        <v>3.8921413485709697E-2</v>
      </c>
      <c r="AI31" s="150">
        <f t="shared" si="19"/>
        <v>3.7273517605740381E-11</v>
      </c>
    </row>
    <row r="32" spans="2:35" x14ac:dyDescent="0.25">
      <c r="B32" s="59" t="s">
        <v>50</v>
      </c>
      <c r="C32" s="62">
        <v>2184</v>
      </c>
      <c r="D32" s="29" t="s">
        <v>36</v>
      </c>
      <c r="E32" s="27" t="str">
        <f t="shared" si="5"/>
        <v>C</v>
      </c>
      <c r="F32" s="31">
        <v>41000</v>
      </c>
      <c r="G32" s="31">
        <v>41090</v>
      </c>
      <c r="H32" s="14">
        <v>0.71231955789272405</v>
      </c>
      <c r="I32" s="134">
        <v>40983</v>
      </c>
      <c r="J32" s="134">
        <f t="shared" si="6"/>
        <v>40983</v>
      </c>
      <c r="K32" s="28">
        <v>45</v>
      </c>
      <c r="L32" s="62">
        <v>40.839999999999797</v>
      </c>
      <c r="M32" s="73">
        <f t="shared" si="7"/>
        <v>40.839999999999797</v>
      </c>
      <c r="N32" s="15">
        <v>0.21171481849828999</v>
      </c>
      <c r="O32" s="77">
        <f t="shared" si="8"/>
        <v>0.21171481849828999</v>
      </c>
      <c r="P32" s="14">
        <v>0.243152500858003</v>
      </c>
      <c r="Q32" s="14">
        <v>1.6803828625654969E-2</v>
      </c>
      <c r="R32" s="14">
        <v>1.8151625940463201E-2</v>
      </c>
      <c r="S32" s="1">
        <f t="shared" si="9"/>
        <v>1.6803828625654969E-2</v>
      </c>
      <c r="T32" s="1">
        <f t="shared" si="10"/>
        <v>1.8151625940463201E-2</v>
      </c>
      <c r="U32" s="28">
        <f t="shared" si="0"/>
        <v>0.71231955772886058</v>
      </c>
      <c r="V32" s="64">
        <f t="shared" si="1"/>
        <v>15557.059140798316</v>
      </c>
      <c r="W32" s="27">
        <f t="shared" si="2"/>
        <v>-2.3004209648291862E-10</v>
      </c>
      <c r="X32" s="28">
        <f t="shared" si="3"/>
        <v>0.2431525008524725</v>
      </c>
      <c r="Y32" s="28">
        <f t="shared" si="4"/>
        <v>-2.2744917060890657E-11</v>
      </c>
      <c r="Z32" s="132">
        <f t="shared" si="11"/>
        <v>0.71450085861797041</v>
      </c>
      <c r="AA32" s="132">
        <f t="shared" si="12"/>
        <v>0.9969470982955444</v>
      </c>
      <c r="AB32" s="132">
        <f t="shared" si="13"/>
        <v>15557.059140798316</v>
      </c>
      <c r="AC32" s="137">
        <f t="shared" si="14"/>
        <v>0.36986301369863012</v>
      </c>
      <c r="AD32" s="137">
        <f t="shared" si="15"/>
        <v>0.36986301369863012</v>
      </c>
      <c r="AE32" s="137">
        <f t="shared" si="16"/>
        <v>0.71450085861797041</v>
      </c>
      <c r="AF32" s="137">
        <f t="shared" si="17"/>
        <v>15557.059140798316</v>
      </c>
      <c r="AG32" s="150">
        <f t="shared" si="18"/>
        <v>5.9285286942082675E-2</v>
      </c>
      <c r="AH32" s="150">
        <v>5.9285286943190303E-2</v>
      </c>
      <c r="AI32" s="150">
        <f t="shared" si="19"/>
        <v>1.8683055102997059E-11</v>
      </c>
    </row>
    <row r="33" spans="2:35" x14ac:dyDescent="0.25">
      <c r="B33" s="59" t="s">
        <v>50</v>
      </c>
      <c r="C33" s="62">
        <v>2184</v>
      </c>
      <c r="D33" s="29" t="s">
        <v>36</v>
      </c>
      <c r="E33" s="27" t="str">
        <f t="shared" si="5"/>
        <v>C</v>
      </c>
      <c r="F33" s="31">
        <v>41000</v>
      </c>
      <c r="G33" s="31">
        <v>41090</v>
      </c>
      <c r="H33" s="14">
        <v>0.71231955789272405</v>
      </c>
      <c r="I33" s="134">
        <v>40983</v>
      </c>
      <c r="J33" s="134">
        <f t="shared" si="6"/>
        <v>40983</v>
      </c>
      <c r="K33" s="28">
        <v>45</v>
      </c>
      <c r="L33" s="62">
        <v>40.839999999999797</v>
      </c>
      <c r="M33" s="73">
        <f t="shared" si="7"/>
        <v>40.839999999999797</v>
      </c>
      <c r="N33" s="15">
        <v>0.21171481849828999</v>
      </c>
      <c r="O33" s="77">
        <f t="shared" si="8"/>
        <v>0.21171481849828999</v>
      </c>
      <c r="P33" s="14">
        <v>0.243152500858003</v>
      </c>
      <c r="Q33" s="14">
        <v>1.6803828625654969E-2</v>
      </c>
      <c r="R33" s="14">
        <v>1.8151625940463201E-2</v>
      </c>
      <c r="S33" s="1">
        <f t="shared" si="9"/>
        <v>1.6803828625654969E-2</v>
      </c>
      <c r="T33" s="1">
        <f t="shared" si="10"/>
        <v>1.8151625940463201E-2</v>
      </c>
      <c r="U33" s="28">
        <f t="shared" si="0"/>
        <v>0.71231955772886058</v>
      </c>
      <c r="V33" s="64">
        <f t="shared" si="1"/>
        <v>15557.059140798316</v>
      </c>
      <c r="W33" s="27">
        <f t="shared" si="2"/>
        <v>-2.3004209648291862E-10</v>
      </c>
      <c r="X33" s="28">
        <f t="shared" si="3"/>
        <v>0.2431525008524725</v>
      </c>
      <c r="Y33" s="28">
        <f t="shared" si="4"/>
        <v>-2.2744917060890657E-11</v>
      </c>
      <c r="Z33" s="132">
        <f t="shared" si="11"/>
        <v>0.71450085861797041</v>
      </c>
      <c r="AA33" s="132">
        <f t="shared" si="12"/>
        <v>0.9969470982955444</v>
      </c>
      <c r="AB33" s="132">
        <f t="shared" si="13"/>
        <v>15557.059140798316</v>
      </c>
      <c r="AC33" s="137">
        <f t="shared" si="14"/>
        <v>0.36986301369863012</v>
      </c>
      <c r="AD33" s="137">
        <f t="shared" si="15"/>
        <v>0.36986301369863012</v>
      </c>
      <c r="AE33" s="137">
        <f t="shared" si="16"/>
        <v>0.71450085861797041</v>
      </c>
      <c r="AF33" s="137">
        <f t="shared" si="17"/>
        <v>15557.059140798316</v>
      </c>
      <c r="AG33" s="150">
        <f t="shared" si="18"/>
        <v>5.9285286942082675E-2</v>
      </c>
      <c r="AH33" s="150">
        <v>5.9285286943190303E-2</v>
      </c>
      <c r="AI33" s="150">
        <f t="shared" si="19"/>
        <v>1.8683055102997059E-11</v>
      </c>
    </row>
    <row r="34" spans="2:35" x14ac:dyDescent="0.25">
      <c r="B34" s="59" t="s">
        <v>50</v>
      </c>
      <c r="C34" s="62">
        <v>2184</v>
      </c>
      <c r="D34" s="29" t="s">
        <v>38</v>
      </c>
      <c r="E34" s="27" t="str">
        <f t="shared" si="5"/>
        <v>P</v>
      </c>
      <c r="F34" s="31">
        <v>41000</v>
      </c>
      <c r="G34" s="31">
        <v>41090</v>
      </c>
      <c r="H34" s="14">
        <v>4.8339234766005701</v>
      </c>
      <c r="I34" s="134">
        <v>40983</v>
      </c>
      <c r="J34" s="134">
        <f t="shared" si="6"/>
        <v>40983</v>
      </c>
      <c r="K34" s="28">
        <v>45</v>
      </c>
      <c r="L34" s="62">
        <v>40.839999999999797</v>
      </c>
      <c r="M34" s="73">
        <f t="shared" si="7"/>
        <v>40.839999999999797</v>
      </c>
      <c r="N34" s="15">
        <v>0.21171481849828999</v>
      </c>
      <c r="O34" s="77">
        <f t="shared" si="8"/>
        <v>0.21171481849828999</v>
      </c>
      <c r="P34" s="14">
        <v>-0.74761767190825101</v>
      </c>
      <c r="Q34" s="14">
        <v>1.6803828625654969E-2</v>
      </c>
      <c r="R34" s="14">
        <v>1.8151625940463201E-2</v>
      </c>
      <c r="S34" s="1">
        <f t="shared" si="9"/>
        <v>1.6803828625654969E-2</v>
      </c>
      <c r="T34" s="1">
        <f t="shared" si="10"/>
        <v>1.8151625940463201E-2</v>
      </c>
      <c r="U34" s="28">
        <f t="shared" si="0"/>
        <v>4.8339234764368157</v>
      </c>
      <c r="V34" s="64">
        <f t="shared" si="1"/>
        <v>105572.88872538005</v>
      </c>
      <c r="W34" s="27">
        <f t="shared" si="2"/>
        <v>-3.3876124128084939E-11</v>
      </c>
      <c r="X34" s="28">
        <f t="shared" si="3"/>
        <v>-0.74761767191381501</v>
      </c>
      <c r="Y34" s="28">
        <f t="shared" si="4"/>
        <v>7.4422690232722744E-12</v>
      </c>
      <c r="Z34" s="132">
        <f t="shared" si="11"/>
        <v>4.8487261607975531</v>
      </c>
      <c r="AA34" s="132">
        <f t="shared" si="12"/>
        <v>0.9969470982955444</v>
      </c>
      <c r="AB34" s="132">
        <f t="shared" si="13"/>
        <v>105572.88872538005</v>
      </c>
      <c r="AC34" s="137">
        <f t="shared" si="14"/>
        <v>0.36986301369863012</v>
      </c>
      <c r="AD34" s="137">
        <f t="shared" si="15"/>
        <v>0.36986301369863012</v>
      </c>
      <c r="AE34" s="137">
        <f t="shared" si="16"/>
        <v>4.8487261607975531</v>
      </c>
      <c r="AF34" s="137">
        <f t="shared" si="17"/>
        <v>105572.88872538005</v>
      </c>
      <c r="AG34" s="150">
        <f t="shared" si="18"/>
        <v>5.9285286942082675E-2</v>
      </c>
      <c r="AH34" s="150">
        <v>5.9285286943190303E-2</v>
      </c>
      <c r="AI34" s="150">
        <f t="shared" si="19"/>
        <v>1.8683055102997059E-11</v>
      </c>
    </row>
    <row r="35" spans="2:35" x14ac:dyDescent="0.25">
      <c r="B35" s="59" t="s">
        <v>50</v>
      </c>
      <c r="C35" s="62">
        <v>2184</v>
      </c>
      <c r="D35" s="29" t="s">
        <v>38</v>
      </c>
      <c r="E35" s="27" t="str">
        <f t="shared" si="5"/>
        <v>P</v>
      </c>
      <c r="F35" s="31">
        <v>41000</v>
      </c>
      <c r="G35" s="31">
        <v>41090</v>
      </c>
      <c r="H35" s="14">
        <v>4.8339234766005701</v>
      </c>
      <c r="I35" s="134">
        <v>40983</v>
      </c>
      <c r="J35" s="134">
        <f t="shared" si="6"/>
        <v>40983</v>
      </c>
      <c r="K35" s="28">
        <v>45</v>
      </c>
      <c r="L35" s="62">
        <v>40.839999999999797</v>
      </c>
      <c r="M35" s="73">
        <f t="shared" si="7"/>
        <v>40.839999999999797</v>
      </c>
      <c r="N35" s="15">
        <v>0.21171481849828999</v>
      </c>
      <c r="O35" s="77">
        <f t="shared" si="8"/>
        <v>0.21171481849828999</v>
      </c>
      <c r="P35" s="14">
        <v>-0.74761767190825101</v>
      </c>
      <c r="Q35" s="14">
        <v>1.6803828625654969E-2</v>
      </c>
      <c r="R35" s="14">
        <v>1.8151625940463201E-2</v>
      </c>
      <c r="S35" s="1">
        <f t="shared" si="9"/>
        <v>1.6803828625654969E-2</v>
      </c>
      <c r="T35" s="1">
        <f t="shared" si="10"/>
        <v>1.8151625940463201E-2</v>
      </c>
      <c r="U35" s="28">
        <f t="shared" si="0"/>
        <v>4.8339234764368157</v>
      </c>
      <c r="V35" s="64">
        <f t="shared" si="1"/>
        <v>105572.88872538005</v>
      </c>
      <c r="W35" s="27">
        <f t="shared" si="2"/>
        <v>-3.3876124128084939E-11</v>
      </c>
      <c r="X35" s="28">
        <f t="shared" si="3"/>
        <v>-0.74761767191381501</v>
      </c>
      <c r="Y35" s="28">
        <f t="shared" si="4"/>
        <v>7.4422690232722744E-12</v>
      </c>
      <c r="Z35" s="132">
        <f t="shared" si="11"/>
        <v>4.8487261607975531</v>
      </c>
      <c r="AA35" s="132">
        <f t="shared" si="12"/>
        <v>0.9969470982955444</v>
      </c>
      <c r="AB35" s="132">
        <f t="shared" si="13"/>
        <v>105572.88872538005</v>
      </c>
      <c r="AC35" s="137">
        <f t="shared" si="14"/>
        <v>0.36986301369863012</v>
      </c>
      <c r="AD35" s="137">
        <f t="shared" si="15"/>
        <v>0.36986301369863012</v>
      </c>
      <c r="AE35" s="137">
        <f t="shared" si="16"/>
        <v>4.8487261607975531</v>
      </c>
      <c r="AF35" s="137">
        <f t="shared" si="17"/>
        <v>105572.88872538005</v>
      </c>
      <c r="AG35" s="150">
        <f t="shared" si="18"/>
        <v>5.9285286942082675E-2</v>
      </c>
      <c r="AH35" s="150">
        <v>5.9285286943190303E-2</v>
      </c>
      <c r="AI35" s="150">
        <f t="shared" si="19"/>
        <v>1.8683055102997059E-11</v>
      </c>
    </row>
    <row r="36" spans="2:35" x14ac:dyDescent="0.25">
      <c r="B36" s="59" t="s">
        <v>20</v>
      </c>
      <c r="C36" s="62">
        <v>252</v>
      </c>
      <c r="D36" s="29" t="s">
        <v>39</v>
      </c>
      <c r="E36" s="27" t="str">
        <f t="shared" si="5"/>
        <v>C</v>
      </c>
      <c r="F36" s="31">
        <v>41061</v>
      </c>
      <c r="G36" s="31">
        <v>41090</v>
      </c>
      <c r="H36" s="14">
        <v>9.6933550460518596</v>
      </c>
      <c r="I36" s="134">
        <v>41046</v>
      </c>
      <c r="J36" s="134">
        <f t="shared" si="6"/>
        <v>41046</v>
      </c>
      <c r="K36" s="28">
        <v>45</v>
      </c>
      <c r="L36" s="62">
        <v>44.949793254007801</v>
      </c>
      <c r="M36" s="73">
        <f t="shared" si="7"/>
        <v>44.949793254007801</v>
      </c>
      <c r="N36" s="15">
        <v>0.75334912097484996</v>
      </c>
      <c r="O36" s="77">
        <f t="shared" si="8"/>
        <v>0.75334912097484996</v>
      </c>
      <c r="P36" s="14">
        <v>0.60162501016388104</v>
      </c>
      <c r="Q36" s="14">
        <v>1.8187453991377642E-2</v>
      </c>
      <c r="R36" s="14">
        <v>1.8882750826653898E-2</v>
      </c>
      <c r="S36" s="1">
        <f t="shared" si="9"/>
        <v>1.8187453991377642E-2</v>
      </c>
      <c r="T36" s="1">
        <f t="shared" si="10"/>
        <v>1.8882750826653898E-2</v>
      </c>
      <c r="U36" s="28">
        <f t="shared" si="0"/>
        <v>9.6933550463428571</v>
      </c>
      <c r="V36" s="64">
        <f t="shared" si="1"/>
        <v>24427.254716784002</v>
      </c>
      <c r="W36" s="27">
        <f t="shared" si="2"/>
        <v>3.0020208541259308E-11</v>
      </c>
      <c r="X36" s="28">
        <f t="shared" si="3"/>
        <v>0.60162501016712222</v>
      </c>
      <c r="Y36" s="28">
        <f t="shared" si="4"/>
        <v>5.3874682492960346E-12</v>
      </c>
      <c r="Z36" s="132">
        <f t="shared" si="11"/>
        <v>9.7079076687607593</v>
      </c>
      <c r="AA36" s="132">
        <f t="shared" si="12"/>
        <v>0.99850095170716013</v>
      </c>
      <c r="AB36" s="132">
        <f t="shared" si="13"/>
        <v>24427.254716784002</v>
      </c>
      <c r="AC36" s="137">
        <f t="shared" si="14"/>
        <v>0.54246575342465753</v>
      </c>
      <c r="AD36" s="137">
        <f t="shared" si="15"/>
        <v>0.54246575342465753</v>
      </c>
      <c r="AE36" s="137">
        <f t="shared" si="16"/>
        <v>9.7079076687607593</v>
      </c>
      <c r="AF36" s="137">
        <f t="shared" si="17"/>
        <v>24427.254716783998</v>
      </c>
      <c r="AG36" s="150">
        <f t="shared" si="18"/>
        <v>1.5226215252037665E-2</v>
      </c>
      <c r="AH36" s="150">
        <v>1.5226215252517101E-2</v>
      </c>
      <c r="AI36" s="150">
        <f t="shared" si="19"/>
        <v>3.1487479290603915E-11</v>
      </c>
    </row>
    <row r="37" spans="2:35" x14ac:dyDescent="0.25">
      <c r="B37" s="59" t="s">
        <v>20</v>
      </c>
      <c r="C37" s="62">
        <v>252</v>
      </c>
      <c r="D37" s="29" t="s">
        <v>39</v>
      </c>
      <c r="E37" s="27" t="str">
        <f t="shared" si="5"/>
        <v>C</v>
      </c>
      <c r="F37" s="31">
        <v>41061</v>
      </c>
      <c r="G37" s="31">
        <v>41090</v>
      </c>
      <c r="H37" s="14">
        <v>9.6933550460518596</v>
      </c>
      <c r="I37" s="134">
        <v>41046</v>
      </c>
      <c r="J37" s="134">
        <f t="shared" si="6"/>
        <v>41046</v>
      </c>
      <c r="K37" s="28">
        <v>45</v>
      </c>
      <c r="L37" s="62">
        <v>44.949793254007801</v>
      </c>
      <c r="M37" s="73">
        <f t="shared" si="7"/>
        <v>44.949793254007801</v>
      </c>
      <c r="N37" s="15">
        <v>0.75334912097484996</v>
      </c>
      <c r="O37" s="77">
        <f t="shared" si="8"/>
        <v>0.75334912097484996</v>
      </c>
      <c r="P37" s="14">
        <v>0.60162501016388104</v>
      </c>
      <c r="Q37" s="14">
        <v>1.8187453991377642E-2</v>
      </c>
      <c r="R37" s="14">
        <v>1.8882750826653898E-2</v>
      </c>
      <c r="S37" s="1">
        <f t="shared" si="9"/>
        <v>1.8187453991377642E-2</v>
      </c>
      <c r="T37" s="1">
        <f t="shared" si="10"/>
        <v>1.8882750826653898E-2</v>
      </c>
      <c r="U37" s="28">
        <f t="shared" si="0"/>
        <v>9.6933550463428571</v>
      </c>
      <c r="V37" s="64">
        <f t="shared" si="1"/>
        <v>24427.254716784002</v>
      </c>
      <c r="W37" s="27">
        <f t="shared" si="2"/>
        <v>3.0020208541259308E-11</v>
      </c>
      <c r="X37" s="28">
        <f t="shared" si="3"/>
        <v>0.60162501016712222</v>
      </c>
      <c r="Y37" s="28">
        <f t="shared" si="4"/>
        <v>5.3874682492960346E-12</v>
      </c>
      <c r="Z37" s="132">
        <f t="shared" si="11"/>
        <v>9.7079076687607593</v>
      </c>
      <c r="AA37" s="132">
        <f t="shared" si="12"/>
        <v>0.99850095170716013</v>
      </c>
      <c r="AB37" s="132">
        <f t="shared" si="13"/>
        <v>24427.254716784002</v>
      </c>
      <c r="AC37" s="137">
        <f t="shared" si="14"/>
        <v>0.54246575342465753</v>
      </c>
      <c r="AD37" s="137">
        <f t="shared" si="15"/>
        <v>0.54246575342465753</v>
      </c>
      <c r="AE37" s="137">
        <f t="shared" si="16"/>
        <v>9.7079076687607593</v>
      </c>
      <c r="AF37" s="137">
        <f t="shared" si="17"/>
        <v>24427.254716783998</v>
      </c>
      <c r="AG37" s="150">
        <f t="shared" si="18"/>
        <v>1.5226215252037665E-2</v>
      </c>
      <c r="AH37" s="150">
        <v>1.5226215252517101E-2</v>
      </c>
      <c r="AI37" s="150">
        <f t="shared" si="19"/>
        <v>3.1487479290603915E-11</v>
      </c>
    </row>
    <row r="38" spans="2:35" x14ac:dyDescent="0.25">
      <c r="B38" s="59" t="s">
        <v>20</v>
      </c>
      <c r="C38" s="62">
        <v>252</v>
      </c>
      <c r="D38" s="29" t="s">
        <v>42</v>
      </c>
      <c r="E38" s="27" t="str">
        <f t="shared" si="5"/>
        <v>P</v>
      </c>
      <c r="F38" s="31">
        <v>41061</v>
      </c>
      <c r="G38" s="31">
        <v>41090</v>
      </c>
      <c r="H38" s="14">
        <v>9.7429943608124105</v>
      </c>
      <c r="I38" s="134">
        <v>41046</v>
      </c>
      <c r="J38" s="134">
        <f t="shared" si="6"/>
        <v>41046</v>
      </c>
      <c r="K38" s="28">
        <v>45</v>
      </c>
      <c r="L38" s="62">
        <v>44.949793254007801</v>
      </c>
      <c r="M38" s="73">
        <f t="shared" si="7"/>
        <v>44.949793254007801</v>
      </c>
      <c r="N38" s="15">
        <v>0.75334912097484996</v>
      </c>
      <c r="O38" s="77">
        <f t="shared" si="8"/>
        <v>0.75334912097484996</v>
      </c>
      <c r="P38" s="14">
        <v>-0.38707309762124698</v>
      </c>
      <c r="Q38" s="14">
        <v>1.8187453991377642E-2</v>
      </c>
      <c r="R38" s="14">
        <v>1.8882750826653898E-2</v>
      </c>
      <c r="S38" s="1">
        <f t="shared" si="9"/>
        <v>1.8187453991377642E-2</v>
      </c>
      <c r="T38" s="1">
        <f t="shared" si="10"/>
        <v>1.8882750826653898E-2</v>
      </c>
      <c r="U38" s="28">
        <f t="shared" si="0"/>
        <v>9.742994361103392</v>
      </c>
      <c r="V38" s="64">
        <f t="shared" si="1"/>
        <v>24552.345789980551</v>
      </c>
      <c r="W38" s="27">
        <f t="shared" si="2"/>
        <v>2.9865665496231486E-11</v>
      </c>
      <c r="X38" s="28">
        <f t="shared" si="3"/>
        <v>-0.38707309761800057</v>
      </c>
      <c r="Y38" s="28">
        <f t="shared" si="4"/>
        <v>-8.3870688172282826E-12</v>
      </c>
      <c r="Z38" s="132">
        <f t="shared" si="11"/>
        <v>9.7576215069655863</v>
      </c>
      <c r="AA38" s="132">
        <f t="shared" si="12"/>
        <v>0.99850095170716013</v>
      </c>
      <c r="AB38" s="132">
        <f t="shared" si="13"/>
        <v>24552.345789980551</v>
      </c>
      <c r="AC38" s="137">
        <f t="shared" si="14"/>
        <v>0.54246575342465753</v>
      </c>
      <c r="AD38" s="137">
        <f t="shared" si="15"/>
        <v>0.54246575342465753</v>
      </c>
      <c r="AE38" s="137">
        <f t="shared" si="16"/>
        <v>9.7576215069655863</v>
      </c>
      <c r="AF38" s="137">
        <f t="shared" si="17"/>
        <v>24552.345789980547</v>
      </c>
      <c r="AG38" s="150">
        <f t="shared" si="18"/>
        <v>1.5226215252037665E-2</v>
      </c>
      <c r="AH38" s="150">
        <v>1.5226215252517101E-2</v>
      </c>
      <c r="AI38" s="150">
        <f t="shared" si="19"/>
        <v>3.1487479290603915E-11</v>
      </c>
    </row>
    <row r="39" spans="2:35" x14ac:dyDescent="0.25">
      <c r="B39" s="59" t="s">
        <v>20</v>
      </c>
      <c r="C39" s="62">
        <v>252</v>
      </c>
      <c r="D39" s="29" t="s">
        <v>42</v>
      </c>
      <c r="E39" s="27" t="str">
        <f t="shared" si="5"/>
        <v>P</v>
      </c>
      <c r="F39" s="31">
        <v>41061</v>
      </c>
      <c r="G39" s="31">
        <v>41090</v>
      </c>
      <c r="H39" s="14">
        <v>9.7429943608124105</v>
      </c>
      <c r="I39" s="134">
        <v>41046</v>
      </c>
      <c r="J39" s="134">
        <f t="shared" si="6"/>
        <v>41046</v>
      </c>
      <c r="K39" s="28">
        <v>45</v>
      </c>
      <c r="L39" s="62">
        <v>44.949793254007801</v>
      </c>
      <c r="M39" s="73">
        <f t="shared" si="7"/>
        <v>44.949793254007801</v>
      </c>
      <c r="N39" s="15">
        <v>0.75334912097484996</v>
      </c>
      <c r="O39" s="77">
        <f t="shared" si="8"/>
        <v>0.75334912097484996</v>
      </c>
      <c r="P39" s="14">
        <v>-0.38707309762124698</v>
      </c>
      <c r="Q39" s="14">
        <v>1.8187453991377642E-2</v>
      </c>
      <c r="R39" s="14">
        <v>1.8882750826653898E-2</v>
      </c>
      <c r="S39" s="1">
        <f t="shared" si="9"/>
        <v>1.8187453991377642E-2</v>
      </c>
      <c r="T39" s="1">
        <f t="shared" si="10"/>
        <v>1.8882750826653898E-2</v>
      </c>
      <c r="U39" s="28">
        <f t="shared" si="0"/>
        <v>9.742994361103392</v>
      </c>
      <c r="V39" s="64">
        <f t="shared" si="1"/>
        <v>24552.345789980551</v>
      </c>
      <c r="W39" s="27">
        <f t="shared" si="2"/>
        <v>2.9865665496231486E-11</v>
      </c>
      <c r="X39" s="28">
        <f t="shared" si="3"/>
        <v>-0.38707309761800057</v>
      </c>
      <c r="Y39" s="28">
        <f t="shared" si="4"/>
        <v>-8.3870688172282826E-12</v>
      </c>
      <c r="Z39" s="132">
        <f t="shared" si="11"/>
        <v>9.7576215069655863</v>
      </c>
      <c r="AA39" s="132">
        <f t="shared" si="12"/>
        <v>0.99850095170716013</v>
      </c>
      <c r="AB39" s="132">
        <f t="shared" si="13"/>
        <v>24552.345789980551</v>
      </c>
      <c r="AC39" s="137">
        <f t="shared" si="14"/>
        <v>0.54246575342465753</v>
      </c>
      <c r="AD39" s="137">
        <f t="shared" si="15"/>
        <v>0.54246575342465753</v>
      </c>
      <c r="AE39" s="137">
        <f t="shared" si="16"/>
        <v>9.7576215069655863</v>
      </c>
      <c r="AF39" s="137">
        <f t="shared" si="17"/>
        <v>24552.345789980547</v>
      </c>
      <c r="AG39" s="150">
        <f t="shared" si="18"/>
        <v>1.5226215252037665E-2</v>
      </c>
      <c r="AH39" s="150">
        <v>1.5226215252517101E-2</v>
      </c>
      <c r="AI39" s="150">
        <f t="shared" si="19"/>
        <v>3.1487479290603915E-11</v>
      </c>
    </row>
    <row r="40" spans="2:35" x14ac:dyDescent="0.25">
      <c r="B40" s="59" t="s">
        <v>20</v>
      </c>
      <c r="C40" s="62">
        <v>720</v>
      </c>
      <c r="D40" s="29" t="s">
        <v>43</v>
      </c>
      <c r="E40" s="27" t="str">
        <f t="shared" si="5"/>
        <v>C</v>
      </c>
      <c r="F40" s="31">
        <v>41061</v>
      </c>
      <c r="G40" s="31">
        <v>41090</v>
      </c>
      <c r="H40" s="14">
        <v>3.19393673875406</v>
      </c>
      <c r="I40" s="134">
        <v>41046</v>
      </c>
      <c r="J40" s="134">
        <f t="shared" si="6"/>
        <v>41046</v>
      </c>
      <c r="K40" s="28">
        <v>45</v>
      </c>
      <c r="L40" s="62">
        <v>40.3366666666669</v>
      </c>
      <c r="M40" s="73">
        <f t="shared" si="7"/>
        <v>40.3366666666669</v>
      </c>
      <c r="N40" s="15">
        <v>0.41963456642098501</v>
      </c>
      <c r="O40" s="77">
        <f t="shared" si="8"/>
        <v>0.41963456642098501</v>
      </c>
      <c r="P40" s="14">
        <v>0.41620373495115598</v>
      </c>
      <c r="Q40" s="14">
        <v>1.8187453991377642E-2</v>
      </c>
      <c r="R40" s="14">
        <v>1.8882750826653898E-2</v>
      </c>
      <c r="S40" s="1">
        <f t="shared" si="9"/>
        <v>1.8187453991377642E-2</v>
      </c>
      <c r="T40" s="1">
        <f t="shared" si="10"/>
        <v>1.8882750826653898E-2</v>
      </c>
      <c r="U40" s="28">
        <f t="shared" si="0"/>
        <v>3.1939367391718623</v>
      </c>
      <c r="V40" s="64">
        <f t="shared" si="1"/>
        <v>22996.344522037405</v>
      </c>
      <c r="W40" s="27">
        <f t="shared" si="2"/>
        <v>1.3081113969803937E-10</v>
      </c>
      <c r="X40" s="28">
        <f t="shared" si="3"/>
        <v>0.41620373495616331</v>
      </c>
      <c r="Y40" s="28">
        <f t="shared" si="4"/>
        <v>1.2031042828652971E-11</v>
      </c>
      <c r="Z40" s="132">
        <f t="shared" si="11"/>
        <v>3.1987317926048191</v>
      </c>
      <c r="AA40" s="132">
        <f t="shared" si="12"/>
        <v>0.99850095170716013</v>
      </c>
      <c r="AB40" s="132">
        <f t="shared" si="13"/>
        <v>22996.344522037405</v>
      </c>
      <c r="AC40" s="137">
        <f t="shared" si="14"/>
        <v>0.54246575342465753</v>
      </c>
      <c r="AD40" s="137">
        <f t="shared" si="15"/>
        <v>0.54246575342465753</v>
      </c>
      <c r="AE40" s="137">
        <f t="shared" si="16"/>
        <v>3.1987317926048191</v>
      </c>
      <c r="AF40" s="137">
        <f t="shared" si="17"/>
        <v>22996.344522037409</v>
      </c>
      <c r="AG40" s="150">
        <f t="shared" si="18"/>
        <v>3.101555057063984E-2</v>
      </c>
      <c r="AH40" s="150">
        <v>3.1015550571454699E-2</v>
      </c>
      <c r="AI40" s="150">
        <f t="shared" si="19"/>
        <v>2.6272539699334629E-11</v>
      </c>
    </row>
    <row r="41" spans="2:35" x14ac:dyDescent="0.25">
      <c r="B41" s="59" t="s">
        <v>20</v>
      </c>
      <c r="C41" s="62">
        <v>720</v>
      </c>
      <c r="D41" s="29" t="s">
        <v>43</v>
      </c>
      <c r="E41" s="27" t="str">
        <f t="shared" si="5"/>
        <v>C</v>
      </c>
      <c r="F41" s="31">
        <v>41061</v>
      </c>
      <c r="G41" s="31">
        <v>41090</v>
      </c>
      <c r="H41" s="14">
        <v>3.19393673875406</v>
      </c>
      <c r="I41" s="134">
        <v>41046</v>
      </c>
      <c r="J41" s="134">
        <f t="shared" si="6"/>
        <v>41046</v>
      </c>
      <c r="K41" s="28">
        <v>45</v>
      </c>
      <c r="L41" s="62">
        <v>40.3366666666669</v>
      </c>
      <c r="M41" s="73">
        <f t="shared" si="7"/>
        <v>40.3366666666669</v>
      </c>
      <c r="N41" s="15">
        <v>0.41963456642098501</v>
      </c>
      <c r="O41" s="77">
        <f t="shared" si="8"/>
        <v>0.41963456642098501</v>
      </c>
      <c r="P41" s="14">
        <v>0.41620373495115598</v>
      </c>
      <c r="Q41" s="14">
        <v>1.8187453991377642E-2</v>
      </c>
      <c r="R41" s="14">
        <v>1.8882750826653898E-2</v>
      </c>
      <c r="S41" s="1">
        <f t="shared" si="9"/>
        <v>1.8187453991377642E-2</v>
      </c>
      <c r="T41" s="1">
        <f t="shared" si="10"/>
        <v>1.8882750826653898E-2</v>
      </c>
      <c r="U41" s="28">
        <f t="shared" si="0"/>
        <v>3.1939367391718623</v>
      </c>
      <c r="V41" s="64">
        <f t="shared" si="1"/>
        <v>22996.344522037405</v>
      </c>
      <c r="W41" s="27">
        <f t="shared" si="2"/>
        <v>1.3081113969803937E-10</v>
      </c>
      <c r="X41" s="28">
        <f t="shared" si="3"/>
        <v>0.41620373495616331</v>
      </c>
      <c r="Y41" s="28">
        <f t="shared" si="4"/>
        <v>1.2031042828652971E-11</v>
      </c>
      <c r="Z41" s="132">
        <f t="shared" si="11"/>
        <v>3.1987317926048191</v>
      </c>
      <c r="AA41" s="132">
        <f t="shared" si="12"/>
        <v>0.99850095170716013</v>
      </c>
      <c r="AB41" s="132">
        <f t="shared" si="13"/>
        <v>22996.344522037405</v>
      </c>
      <c r="AC41" s="137">
        <f t="shared" si="14"/>
        <v>0.54246575342465753</v>
      </c>
      <c r="AD41" s="137">
        <f t="shared" si="15"/>
        <v>0.54246575342465753</v>
      </c>
      <c r="AE41" s="137">
        <f t="shared" si="16"/>
        <v>3.1987317926048191</v>
      </c>
      <c r="AF41" s="137">
        <f t="shared" si="17"/>
        <v>22996.344522037409</v>
      </c>
      <c r="AG41" s="150">
        <f t="shared" si="18"/>
        <v>3.101555057063984E-2</v>
      </c>
      <c r="AH41" s="150">
        <v>3.1015550571454699E-2</v>
      </c>
      <c r="AI41" s="150">
        <f t="shared" si="19"/>
        <v>2.6272539699334629E-11</v>
      </c>
    </row>
    <row r="42" spans="2:35" x14ac:dyDescent="0.25">
      <c r="B42" s="59" t="s">
        <v>20</v>
      </c>
      <c r="C42" s="62">
        <v>720</v>
      </c>
      <c r="D42" s="29" t="s">
        <v>45</v>
      </c>
      <c r="E42" s="27" t="str">
        <f t="shared" si="5"/>
        <v>P</v>
      </c>
      <c r="F42" s="31">
        <v>41061</v>
      </c>
      <c r="G42" s="31">
        <v>41090</v>
      </c>
      <c r="H42" s="14">
        <v>7.8045655813918096</v>
      </c>
      <c r="I42" s="134">
        <v>41046</v>
      </c>
      <c r="J42" s="134">
        <f t="shared" si="6"/>
        <v>41046</v>
      </c>
      <c r="K42" s="28">
        <v>45</v>
      </c>
      <c r="L42" s="62">
        <v>40.3366666666669</v>
      </c>
      <c r="M42" s="73">
        <f t="shared" si="7"/>
        <v>40.3366666666669</v>
      </c>
      <c r="N42" s="15">
        <v>0.41963456642098501</v>
      </c>
      <c r="O42" s="77">
        <f t="shared" si="8"/>
        <v>0.41963456642098501</v>
      </c>
      <c r="P42" s="14">
        <v>-0.57249437283397298</v>
      </c>
      <c r="Q42" s="14">
        <v>1.8187453991377642E-2</v>
      </c>
      <c r="R42" s="14">
        <v>1.8882750826653898E-2</v>
      </c>
      <c r="S42" s="1">
        <f t="shared" si="9"/>
        <v>1.8187453991377642E-2</v>
      </c>
      <c r="T42" s="1">
        <f t="shared" si="10"/>
        <v>1.8882750826653898E-2</v>
      </c>
      <c r="U42" s="28">
        <f t="shared" si="0"/>
        <v>7.8045655818095891</v>
      </c>
      <c r="V42" s="64">
        <f t="shared" si="1"/>
        <v>56192.87218902904</v>
      </c>
      <c r="W42" s="27">
        <f t="shared" si="2"/>
        <v>5.3530069266116698E-11</v>
      </c>
      <c r="X42" s="28">
        <f t="shared" si="3"/>
        <v>-0.57249437282895954</v>
      </c>
      <c r="Y42" s="28">
        <f t="shared" si="4"/>
        <v>-8.7572171736383098E-12</v>
      </c>
      <c r="Z42" s="132">
        <f t="shared" si="11"/>
        <v>7.816282566847776</v>
      </c>
      <c r="AA42" s="132">
        <f t="shared" si="12"/>
        <v>0.99850095170716013</v>
      </c>
      <c r="AB42" s="132">
        <f t="shared" si="13"/>
        <v>56192.87218902904</v>
      </c>
      <c r="AC42" s="137">
        <f t="shared" si="14"/>
        <v>0.54246575342465753</v>
      </c>
      <c r="AD42" s="137">
        <f t="shared" si="15"/>
        <v>0.54246575342465753</v>
      </c>
      <c r="AE42" s="137">
        <f t="shared" si="16"/>
        <v>7.816282566847776</v>
      </c>
      <c r="AF42" s="137">
        <f t="shared" si="17"/>
        <v>56192.872189029033</v>
      </c>
      <c r="AG42" s="150">
        <f t="shared" si="18"/>
        <v>3.101555057063984E-2</v>
      </c>
      <c r="AH42" s="150">
        <v>3.1015550571454699E-2</v>
      </c>
      <c r="AI42" s="150">
        <f t="shared" si="19"/>
        <v>2.6272539699334629E-11</v>
      </c>
    </row>
    <row r="43" spans="2:35" x14ac:dyDescent="0.25">
      <c r="B43" s="59" t="s">
        <v>20</v>
      </c>
      <c r="C43" s="62">
        <v>720</v>
      </c>
      <c r="D43" s="29" t="s">
        <v>45</v>
      </c>
      <c r="E43" s="27" t="str">
        <f t="shared" si="5"/>
        <v>P</v>
      </c>
      <c r="F43" s="31">
        <v>41061</v>
      </c>
      <c r="G43" s="31">
        <v>41090</v>
      </c>
      <c r="H43" s="14">
        <v>7.8045655813918096</v>
      </c>
      <c r="I43" s="134">
        <v>41046</v>
      </c>
      <c r="J43" s="134">
        <f t="shared" si="6"/>
        <v>41046</v>
      </c>
      <c r="K43" s="28">
        <v>45</v>
      </c>
      <c r="L43" s="62">
        <v>40.3366666666669</v>
      </c>
      <c r="M43" s="73">
        <f t="shared" si="7"/>
        <v>40.3366666666669</v>
      </c>
      <c r="N43" s="15">
        <v>0.41963456642098501</v>
      </c>
      <c r="O43" s="77">
        <f t="shared" si="8"/>
        <v>0.41963456642098501</v>
      </c>
      <c r="P43" s="14">
        <v>-0.57249437283397298</v>
      </c>
      <c r="Q43" s="14">
        <v>1.8187453991377642E-2</v>
      </c>
      <c r="R43" s="14">
        <v>1.8882750826653898E-2</v>
      </c>
      <c r="S43" s="1">
        <f t="shared" si="9"/>
        <v>1.8187453991377642E-2</v>
      </c>
      <c r="T43" s="1">
        <f t="shared" si="10"/>
        <v>1.8882750826653898E-2</v>
      </c>
      <c r="U43" s="28">
        <f t="shared" si="0"/>
        <v>7.8045655818095891</v>
      </c>
      <c r="V43" s="64">
        <f t="shared" si="1"/>
        <v>56192.87218902904</v>
      </c>
      <c r="W43" s="27">
        <f t="shared" si="2"/>
        <v>5.3530069266116698E-11</v>
      </c>
      <c r="X43" s="28">
        <f t="shared" si="3"/>
        <v>-0.57249437282895954</v>
      </c>
      <c r="Y43" s="28">
        <f t="shared" si="4"/>
        <v>-8.7572171736383098E-12</v>
      </c>
      <c r="Z43" s="132">
        <f t="shared" si="11"/>
        <v>7.816282566847776</v>
      </c>
      <c r="AA43" s="132">
        <f t="shared" si="12"/>
        <v>0.99850095170716013</v>
      </c>
      <c r="AB43" s="132">
        <f t="shared" si="13"/>
        <v>56192.87218902904</v>
      </c>
      <c r="AC43" s="137">
        <f t="shared" si="14"/>
        <v>0.54246575342465753</v>
      </c>
      <c r="AD43" s="137">
        <f t="shared" si="15"/>
        <v>0.54246575342465753</v>
      </c>
      <c r="AE43" s="137">
        <f t="shared" si="16"/>
        <v>7.816282566847776</v>
      </c>
      <c r="AF43" s="137">
        <f t="shared" si="17"/>
        <v>56192.872189029033</v>
      </c>
      <c r="AG43" s="150">
        <f t="shared" si="18"/>
        <v>3.101555057063984E-2</v>
      </c>
      <c r="AH43" s="150">
        <v>3.1015550571454699E-2</v>
      </c>
      <c r="AI43" s="150">
        <f t="shared" si="19"/>
        <v>2.6272539699334629E-11</v>
      </c>
    </row>
    <row r="44" spans="2:35" x14ac:dyDescent="0.25">
      <c r="B44" s="59" t="s">
        <v>50</v>
      </c>
      <c r="C44" s="62">
        <v>720</v>
      </c>
      <c r="D44" s="29" t="s">
        <v>43</v>
      </c>
      <c r="E44" s="27" t="str">
        <f t="shared" si="5"/>
        <v>C</v>
      </c>
      <c r="F44" s="31">
        <v>41061</v>
      </c>
      <c r="G44" s="31">
        <v>41090</v>
      </c>
      <c r="H44" s="14">
        <v>1.1831026698229601</v>
      </c>
      <c r="I44" s="134">
        <v>41046</v>
      </c>
      <c r="J44" s="134">
        <f t="shared" si="6"/>
        <v>41046</v>
      </c>
      <c r="K44" s="28">
        <v>45</v>
      </c>
      <c r="L44" s="62">
        <v>40.692644260961799</v>
      </c>
      <c r="M44" s="73">
        <f t="shared" si="7"/>
        <v>40.692644260961799</v>
      </c>
      <c r="N44" s="15">
        <v>0.22658429383426901</v>
      </c>
      <c r="O44" s="77">
        <f t="shared" si="8"/>
        <v>0.22658429383426901</v>
      </c>
      <c r="P44" s="14">
        <v>0.29830975877473498</v>
      </c>
      <c r="Q44" s="14">
        <v>1.8187453991377642E-2</v>
      </c>
      <c r="R44" s="14">
        <v>1.8882750826653898E-2</v>
      </c>
      <c r="S44" s="1">
        <f t="shared" si="9"/>
        <v>1.8187453991377642E-2</v>
      </c>
      <c r="T44" s="1">
        <f t="shared" si="10"/>
        <v>1.8882750826653898E-2</v>
      </c>
      <c r="U44" s="28">
        <f t="shared" si="0"/>
        <v>1.1831026702052909</v>
      </c>
      <c r="V44" s="64">
        <f t="shared" si="1"/>
        <v>8518.3392254780956</v>
      </c>
      <c r="W44" s="27">
        <f t="shared" si="2"/>
        <v>3.2315949916039699E-10</v>
      </c>
      <c r="X44" s="28">
        <f t="shared" si="3"/>
        <v>0.29830975877230587</v>
      </c>
      <c r="Y44" s="28">
        <f t="shared" si="4"/>
        <v>-8.1429307741132106E-12</v>
      </c>
      <c r="Z44" s="132">
        <f t="shared" si="11"/>
        <v>1.1848788608388534</v>
      </c>
      <c r="AA44" s="132">
        <f t="shared" si="12"/>
        <v>0.99850095170716013</v>
      </c>
      <c r="AB44" s="132">
        <f t="shared" si="13"/>
        <v>8518.3392254780956</v>
      </c>
      <c r="AC44" s="137">
        <f t="shared" si="14"/>
        <v>0.54246575342465753</v>
      </c>
      <c r="AD44" s="137">
        <f t="shared" si="15"/>
        <v>0.54246575342465753</v>
      </c>
      <c r="AE44" s="137">
        <f t="shared" si="16"/>
        <v>1.1848788608388534</v>
      </c>
      <c r="AF44" s="137">
        <f t="shared" si="17"/>
        <v>8518.3392254780938</v>
      </c>
      <c r="AG44" s="150">
        <f t="shared" si="18"/>
        <v>5.0751281261075913E-2</v>
      </c>
      <c r="AH44" s="150">
        <v>5.0751281262031003E-2</v>
      </c>
      <c r="AI44" s="150">
        <f t="shared" si="19"/>
        <v>1.8818946401211178E-11</v>
      </c>
    </row>
    <row r="45" spans="2:35" x14ac:dyDescent="0.25">
      <c r="B45" s="59" t="s">
        <v>50</v>
      </c>
      <c r="C45" s="62">
        <v>720</v>
      </c>
      <c r="D45" s="29" t="s">
        <v>43</v>
      </c>
      <c r="E45" s="27" t="str">
        <f t="shared" si="5"/>
        <v>C</v>
      </c>
      <c r="F45" s="31">
        <v>41061</v>
      </c>
      <c r="G45" s="31">
        <v>41090</v>
      </c>
      <c r="H45" s="14">
        <v>1.1831026698229601</v>
      </c>
      <c r="I45" s="134">
        <v>41046</v>
      </c>
      <c r="J45" s="134">
        <f t="shared" si="6"/>
        <v>41046</v>
      </c>
      <c r="K45" s="28">
        <v>45</v>
      </c>
      <c r="L45" s="62">
        <v>40.692644260961799</v>
      </c>
      <c r="M45" s="73">
        <f t="shared" si="7"/>
        <v>40.692644260961799</v>
      </c>
      <c r="N45" s="15">
        <v>0.22658429383426901</v>
      </c>
      <c r="O45" s="77">
        <f t="shared" si="8"/>
        <v>0.22658429383426901</v>
      </c>
      <c r="P45" s="14">
        <v>0.29830975877473498</v>
      </c>
      <c r="Q45" s="14">
        <v>1.8187453991377642E-2</v>
      </c>
      <c r="R45" s="14">
        <v>1.8882750826653898E-2</v>
      </c>
      <c r="S45" s="1">
        <f t="shared" si="9"/>
        <v>1.8187453991377642E-2</v>
      </c>
      <c r="T45" s="1">
        <f t="shared" si="10"/>
        <v>1.8882750826653898E-2</v>
      </c>
      <c r="U45" s="28">
        <f t="shared" si="0"/>
        <v>1.1831026702052909</v>
      </c>
      <c r="V45" s="64">
        <f t="shared" si="1"/>
        <v>8518.3392254780956</v>
      </c>
      <c r="W45" s="27">
        <f t="shared" si="2"/>
        <v>3.2315949916039699E-10</v>
      </c>
      <c r="X45" s="28">
        <f t="shared" si="3"/>
        <v>0.29830975877230587</v>
      </c>
      <c r="Y45" s="28">
        <f t="shared" si="4"/>
        <v>-8.1429307741132106E-12</v>
      </c>
      <c r="Z45" s="132">
        <f t="shared" si="11"/>
        <v>1.1848788608388534</v>
      </c>
      <c r="AA45" s="132">
        <f t="shared" si="12"/>
        <v>0.99850095170716013</v>
      </c>
      <c r="AB45" s="132">
        <f t="shared" si="13"/>
        <v>8518.3392254780956</v>
      </c>
      <c r="AC45" s="137">
        <f t="shared" si="14"/>
        <v>0.54246575342465753</v>
      </c>
      <c r="AD45" s="137">
        <f t="shared" si="15"/>
        <v>0.54246575342465753</v>
      </c>
      <c r="AE45" s="137">
        <f t="shared" si="16"/>
        <v>1.1848788608388534</v>
      </c>
      <c r="AF45" s="137">
        <f t="shared" si="17"/>
        <v>8518.3392254780938</v>
      </c>
      <c r="AG45" s="150">
        <f t="shared" si="18"/>
        <v>5.0751281261075913E-2</v>
      </c>
      <c r="AH45" s="150">
        <v>5.0751281262031003E-2</v>
      </c>
      <c r="AI45" s="150">
        <f t="shared" si="19"/>
        <v>1.8818946401211178E-11</v>
      </c>
    </row>
    <row r="46" spans="2:35" x14ac:dyDescent="0.25">
      <c r="B46" s="59" t="s">
        <v>50</v>
      </c>
      <c r="C46" s="62">
        <v>720</v>
      </c>
      <c r="D46" s="29" t="s">
        <v>45</v>
      </c>
      <c r="E46" s="27" t="str">
        <f t="shared" si="5"/>
        <v>P</v>
      </c>
      <c r="F46" s="31">
        <v>41061</v>
      </c>
      <c r="G46" s="31">
        <v>41090</v>
      </c>
      <c r="H46" s="14">
        <v>5.4417771385674101</v>
      </c>
      <c r="I46" s="134">
        <v>41046</v>
      </c>
      <c r="J46" s="134">
        <f t="shared" si="6"/>
        <v>41046</v>
      </c>
      <c r="K46" s="28">
        <v>45</v>
      </c>
      <c r="L46" s="62">
        <v>40.692644260961799</v>
      </c>
      <c r="M46" s="73">
        <f t="shared" si="7"/>
        <v>40.692644260961799</v>
      </c>
      <c r="N46" s="15">
        <v>0.22658429383426901</v>
      </c>
      <c r="O46" s="77">
        <f t="shared" si="8"/>
        <v>0.22658429383426901</v>
      </c>
      <c r="P46" s="14">
        <v>-0.69038834901039403</v>
      </c>
      <c r="Q46" s="14">
        <v>1.8187453991377642E-2</v>
      </c>
      <c r="R46" s="14">
        <v>1.8882750826653898E-2</v>
      </c>
      <c r="S46" s="1">
        <f t="shared" si="9"/>
        <v>1.8187453991377642E-2</v>
      </c>
      <c r="T46" s="1">
        <f t="shared" si="10"/>
        <v>1.8882750826653898E-2</v>
      </c>
      <c r="U46" s="28">
        <f t="shared" si="0"/>
        <v>5.4417771389497451</v>
      </c>
      <c r="V46" s="64">
        <f t="shared" si="1"/>
        <v>39180.795400438161</v>
      </c>
      <c r="W46" s="27">
        <f t="shared" si="2"/>
        <v>7.0259131845773481E-11</v>
      </c>
      <c r="X46" s="28">
        <f t="shared" si="3"/>
        <v>-0.69038834901281687</v>
      </c>
      <c r="Y46" s="28">
        <f t="shared" si="4"/>
        <v>3.5094149808401198E-12</v>
      </c>
      <c r="Z46" s="132">
        <f t="shared" si="11"/>
        <v>5.4499468725050422</v>
      </c>
      <c r="AA46" s="132">
        <f t="shared" si="12"/>
        <v>0.99850095170716013</v>
      </c>
      <c r="AB46" s="132">
        <f t="shared" si="13"/>
        <v>39180.795400438161</v>
      </c>
      <c r="AC46" s="137">
        <f t="shared" si="14"/>
        <v>0.54246575342465753</v>
      </c>
      <c r="AD46" s="137">
        <f t="shared" si="15"/>
        <v>0.54246575342465753</v>
      </c>
      <c r="AE46" s="137">
        <f t="shared" si="16"/>
        <v>5.4499468725050422</v>
      </c>
      <c r="AF46" s="137">
        <f t="shared" si="17"/>
        <v>39180.795400438175</v>
      </c>
      <c r="AG46" s="150">
        <f t="shared" si="18"/>
        <v>5.0751281261075913E-2</v>
      </c>
      <c r="AH46" s="150">
        <v>5.0751281262031003E-2</v>
      </c>
      <c r="AI46" s="150">
        <f t="shared" si="19"/>
        <v>1.8818946401211178E-11</v>
      </c>
    </row>
    <row r="47" spans="2:35" x14ac:dyDescent="0.25">
      <c r="B47" s="59" t="s">
        <v>50</v>
      </c>
      <c r="C47" s="62">
        <v>720</v>
      </c>
      <c r="D47" s="29" t="s">
        <v>45</v>
      </c>
      <c r="E47" s="27" t="str">
        <f t="shared" si="5"/>
        <v>P</v>
      </c>
      <c r="F47" s="31">
        <v>41061</v>
      </c>
      <c r="G47" s="31">
        <v>41090</v>
      </c>
      <c r="H47" s="14">
        <v>5.4417771385674101</v>
      </c>
      <c r="I47" s="134">
        <v>41046</v>
      </c>
      <c r="J47" s="134">
        <f t="shared" si="6"/>
        <v>41046</v>
      </c>
      <c r="K47" s="28">
        <v>45</v>
      </c>
      <c r="L47" s="62">
        <v>40.692644260961799</v>
      </c>
      <c r="M47" s="73">
        <f t="shared" si="7"/>
        <v>40.692644260961799</v>
      </c>
      <c r="N47" s="15">
        <v>0.22658429383426901</v>
      </c>
      <c r="O47" s="77">
        <f t="shared" si="8"/>
        <v>0.22658429383426901</v>
      </c>
      <c r="P47" s="14">
        <v>-0.69038834901039403</v>
      </c>
      <c r="Q47" s="14">
        <v>1.8187453991377642E-2</v>
      </c>
      <c r="R47" s="14">
        <v>1.8882750826653898E-2</v>
      </c>
      <c r="S47" s="1">
        <f t="shared" si="9"/>
        <v>1.8187453991377642E-2</v>
      </c>
      <c r="T47" s="1">
        <f t="shared" si="10"/>
        <v>1.8882750826653898E-2</v>
      </c>
      <c r="U47" s="28">
        <f t="shared" si="0"/>
        <v>5.4417771389497451</v>
      </c>
      <c r="V47" s="64">
        <f t="shared" si="1"/>
        <v>39180.795400438161</v>
      </c>
      <c r="W47" s="27">
        <f t="shared" si="2"/>
        <v>7.0259131845773481E-11</v>
      </c>
      <c r="X47" s="28">
        <f t="shared" si="3"/>
        <v>-0.69038834901281687</v>
      </c>
      <c r="Y47" s="28">
        <f t="shared" si="4"/>
        <v>3.5094149808401198E-12</v>
      </c>
      <c r="Z47" s="132">
        <f t="shared" si="11"/>
        <v>5.4499468725050422</v>
      </c>
      <c r="AA47" s="132">
        <f t="shared" si="12"/>
        <v>0.99850095170716013</v>
      </c>
      <c r="AB47" s="132">
        <f t="shared" si="13"/>
        <v>39180.795400438161</v>
      </c>
      <c r="AC47" s="137">
        <f t="shared" si="14"/>
        <v>0.54246575342465753</v>
      </c>
      <c r="AD47" s="137">
        <f t="shared" si="15"/>
        <v>0.54246575342465753</v>
      </c>
      <c r="AE47" s="137">
        <f t="shared" si="16"/>
        <v>5.4499468725050422</v>
      </c>
      <c r="AF47" s="137">
        <f t="shared" si="17"/>
        <v>39180.795400438175</v>
      </c>
      <c r="AG47" s="150">
        <f t="shared" si="18"/>
        <v>5.0751281261075913E-2</v>
      </c>
      <c r="AH47" s="150">
        <v>5.0751281262031003E-2</v>
      </c>
      <c r="AI47" s="150">
        <f t="shared" si="19"/>
        <v>1.8818946401211178E-11</v>
      </c>
    </row>
    <row r="48" spans="2:35" s="74" customFormat="1" x14ac:dyDescent="0.25">
      <c r="B48" s="59"/>
      <c r="D48" s="59"/>
      <c r="E48" s="57"/>
      <c r="F48" s="61"/>
      <c r="G48" s="61"/>
      <c r="H48" s="14"/>
      <c r="I48" s="92"/>
      <c r="J48" s="61"/>
      <c r="N48" s="15"/>
      <c r="O48" s="15"/>
      <c r="P48" s="14"/>
      <c r="Q48" s="14"/>
      <c r="R48" s="14"/>
      <c r="S48" s="1"/>
      <c r="T48" s="1"/>
      <c r="V48" s="64"/>
      <c r="W48" s="57"/>
      <c r="AG48" s="150"/>
    </row>
    <row r="49" spans="3:30" x14ac:dyDescent="0.25">
      <c r="I49" s="132"/>
      <c r="K49" s="28"/>
      <c r="L49" s="62"/>
      <c r="M49" s="28"/>
      <c r="N49" s="70"/>
      <c r="P49" s="28"/>
      <c r="R49" s="71"/>
      <c r="U49" s="28"/>
      <c r="V49" s="62"/>
    </row>
    <row r="50" spans="3:30" x14ac:dyDescent="0.25">
      <c r="P50" s="71" t="s">
        <v>128</v>
      </c>
    </row>
    <row r="51" spans="3:30" x14ac:dyDescent="0.25">
      <c r="C51" s="30"/>
      <c r="D51" s="30"/>
      <c r="E51" s="30"/>
      <c r="F51" s="30"/>
      <c r="G51" s="67"/>
      <c r="H51" s="67"/>
      <c r="I51" s="30"/>
      <c r="J51" s="30"/>
      <c r="K51" s="63"/>
      <c r="L51" s="66"/>
      <c r="M51" s="63"/>
      <c r="N51" s="30"/>
      <c r="O51" s="30"/>
      <c r="P51" s="63"/>
      <c r="Q51" s="66"/>
      <c r="R51" s="30"/>
      <c r="S51" s="63"/>
      <c r="T51" s="69"/>
      <c r="V51" s="132" t="s">
        <v>155</v>
      </c>
      <c r="W51" s="135">
        <f>AB8</f>
        <v>2898430.483923391</v>
      </c>
      <c r="X51" s="30"/>
      <c r="Y51" s="30"/>
      <c r="Z51" s="30"/>
      <c r="AA51" s="28" t="s">
        <v>155</v>
      </c>
      <c r="AB51" s="28">
        <f>AF8</f>
        <v>2898430.483923391</v>
      </c>
    </row>
    <row r="52" spans="3:30" x14ac:dyDescent="0.25">
      <c r="C52" s="29"/>
      <c r="D52" s="29"/>
      <c r="F52" s="29"/>
      <c r="G52" s="68"/>
      <c r="H52" s="64"/>
      <c r="I52" s="64"/>
      <c r="J52" s="2"/>
      <c r="K52" s="10"/>
      <c r="L52" s="64"/>
      <c r="M52" s="71"/>
      <c r="N52" s="69"/>
      <c r="P52" s="76"/>
      <c r="Q52" s="75"/>
      <c r="R52" s="78"/>
      <c r="S52" s="76"/>
      <c r="V52" s="68">
        <v>-5</v>
      </c>
      <c r="W52" s="136">
        <f t="dataTable" ref="W52:W62" dt2D="0" dtr="0" r1="F8"/>
        <v>2802569.2170734312</v>
      </c>
      <c r="X52" s="136">
        <f>W52-$W$51</f>
        <v>-95861.266849959735</v>
      </c>
      <c r="Y52" s="28">
        <f>W52/X52-1</f>
        <v>-30.235678905224152</v>
      </c>
      <c r="AA52" s="76">
        <v>-0.05</v>
      </c>
      <c r="AB52" s="28">
        <f t="dataTable" ref="AB52:AB62" dt2D="0" dtr="0" r1="F9"/>
        <v>2838908.6871520844</v>
      </c>
      <c r="AC52" s="138">
        <v>2838908.6866184245</v>
      </c>
      <c r="AD52" s="138">
        <f>AB52/AC52-1</f>
        <v>1.8798074208348226E-10</v>
      </c>
    </row>
    <row r="53" spans="3:30" x14ac:dyDescent="0.25">
      <c r="G53" s="68"/>
      <c r="H53" s="64"/>
      <c r="I53" s="64"/>
      <c r="J53" s="2"/>
      <c r="K53" s="10"/>
      <c r="L53" s="64"/>
      <c r="M53" s="71"/>
      <c r="N53" s="69"/>
      <c r="P53" s="76"/>
      <c r="Q53" s="75"/>
      <c r="R53" s="78"/>
      <c r="S53" s="76"/>
      <c r="V53" s="68">
        <v>-4</v>
      </c>
      <c r="W53" s="136">
        <v>2822075.9871593099</v>
      </c>
      <c r="X53" s="136">
        <f t="shared" ref="X53:X62" si="20">W53-$W$51</f>
        <v>-76354.496764081065</v>
      </c>
      <c r="Y53" s="137">
        <f t="shared" ref="Y53:Y62" si="21">W53/X53-1</f>
        <v>-37.960180562500682</v>
      </c>
      <c r="AA53" s="76">
        <v>-0.04</v>
      </c>
      <c r="AB53" s="28">
        <v>2850917.6967855548</v>
      </c>
      <c r="AC53" s="138">
        <v>2850917.6962719238</v>
      </c>
      <c r="AD53" s="138">
        <f t="shared" ref="AD53:AD62" si="22">AB53/AC53-1</f>
        <v>1.801634397224916E-10</v>
      </c>
    </row>
    <row r="54" spans="3:30" x14ac:dyDescent="0.25">
      <c r="G54" s="68"/>
      <c r="H54" s="64"/>
      <c r="I54" s="64"/>
      <c r="J54" s="2"/>
      <c r="K54" s="10"/>
      <c r="L54" s="64"/>
      <c r="M54" s="71"/>
      <c r="N54" s="69"/>
      <c r="P54" s="76"/>
      <c r="Q54" s="75"/>
      <c r="R54" s="78"/>
      <c r="S54" s="76"/>
      <c r="V54" s="68">
        <v>-3</v>
      </c>
      <c r="W54" s="136">
        <v>2841410.9315183661</v>
      </c>
      <c r="X54" s="136">
        <f t="shared" si="20"/>
        <v>-57019.552405024879</v>
      </c>
      <c r="Y54" s="137">
        <f t="shared" si="21"/>
        <v>-50.832220907927805</v>
      </c>
      <c r="AA54" s="76">
        <v>-0.03</v>
      </c>
      <c r="AB54" s="28">
        <v>2862873.7392396582</v>
      </c>
      <c r="AC54" s="138">
        <v>2862873.7387543391</v>
      </c>
      <c r="AD54" s="138">
        <f t="shared" si="22"/>
        <v>1.6952172998685455E-10</v>
      </c>
    </row>
    <row r="55" spans="3:30" x14ac:dyDescent="0.25">
      <c r="G55" s="68"/>
      <c r="H55" s="64"/>
      <c r="I55" s="64"/>
      <c r="J55" s="2"/>
      <c r="K55" s="10"/>
      <c r="L55" s="64"/>
      <c r="M55" s="71"/>
      <c r="N55" s="69"/>
      <c r="P55" s="76"/>
      <c r="Q55" s="75"/>
      <c r="R55" s="78"/>
      <c r="S55" s="76"/>
      <c r="V55" s="68">
        <v>-2</v>
      </c>
      <c r="W55" s="136">
        <v>2860578.7224489287</v>
      </c>
      <c r="X55" s="136">
        <f t="shared" si="20"/>
        <v>-37851.761474462226</v>
      </c>
      <c r="Y55" s="137">
        <f t="shared" si="21"/>
        <v>-76.573199529403666</v>
      </c>
      <c r="AA55" s="76">
        <v>-0.02</v>
      </c>
      <c r="AB55" s="28">
        <v>2874777.4630704289</v>
      </c>
      <c r="AC55" s="138">
        <v>2874777.4626009362</v>
      </c>
      <c r="AD55" s="138">
        <f t="shared" si="22"/>
        <v>1.633144730561753E-10</v>
      </c>
    </row>
    <row r="56" spans="3:30" x14ac:dyDescent="0.25">
      <c r="G56" s="68"/>
      <c r="H56" s="64"/>
      <c r="I56" s="64"/>
      <c r="J56" s="2"/>
      <c r="K56" s="10"/>
      <c r="L56" s="64"/>
      <c r="M56" s="71"/>
      <c r="N56" s="69"/>
      <c r="P56" s="76"/>
      <c r="Q56" s="75"/>
      <c r="R56" s="78"/>
      <c r="S56" s="76"/>
      <c r="V56" s="68">
        <v>-1</v>
      </c>
      <c r="W56" s="136">
        <v>2879583.8197455187</v>
      </c>
      <c r="X56" s="136">
        <f t="shared" si="20"/>
        <v>-18846.664177872241</v>
      </c>
      <c r="Y56" s="137">
        <f t="shared" si="21"/>
        <v>-153.7901061200221</v>
      </c>
      <c r="AA56" s="76">
        <v>-0.01</v>
      </c>
      <c r="AB56" s="28">
        <v>2886629.503728719</v>
      </c>
      <c r="AC56" s="138">
        <v>2886629.5032737842</v>
      </c>
      <c r="AD56" s="138">
        <f t="shared" si="22"/>
        <v>1.5760059923763947E-10</v>
      </c>
    </row>
    <row r="57" spans="3:30" x14ac:dyDescent="0.25">
      <c r="G57" s="68"/>
      <c r="H57" s="64"/>
      <c r="I57" s="64"/>
      <c r="J57" s="2"/>
      <c r="K57" s="10"/>
      <c r="L57" s="64"/>
      <c r="M57" s="71"/>
      <c r="N57" s="69"/>
      <c r="P57" s="76"/>
      <c r="Q57" s="75"/>
      <c r="R57" s="78"/>
      <c r="S57" s="76"/>
      <c r="V57" s="68">
        <v>0</v>
      </c>
      <c r="W57" s="136">
        <v>2898430.483923391</v>
      </c>
      <c r="X57" s="136">
        <f t="shared" si="20"/>
        <v>0</v>
      </c>
      <c r="Y57" s="137" t="e">
        <f t="shared" si="21"/>
        <v>#DIV/0!</v>
      </c>
      <c r="AA57" s="76">
        <v>0</v>
      </c>
      <c r="AB57" s="28">
        <v>2898430.483923391</v>
      </c>
      <c r="AC57" s="138">
        <v>2898430.4834818495</v>
      </c>
      <c r="AD57" s="138">
        <f t="shared" si="22"/>
        <v>1.5233814210091623E-10</v>
      </c>
    </row>
    <row r="58" spans="3:30" x14ac:dyDescent="0.25">
      <c r="G58" s="68"/>
      <c r="H58" s="64"/>
      <c r="I58" s="64"/>
      <c r="J58" s="2"/>
      <c r="K58" s="10"/>
      <c r="L58" s="64"/>
      <c r="M58" s="71"/>
      <c r="N58" s="69"/>
      <c r="P58" s="76"/>
      <c r="Q58" s="75"/>
      <c r="R58" s="78"/>
      <c r="S58" s="76"/>
      <c r="V58" s="68">
        <v>1</v>
      </c>
      <c r="W58" s="136">
        <v>2917122.7884175708</v>
      </c>
      <c r="X58" s="136">
        <f t="shared" si="20"/>
        <v>18692.304494179785</v>
      </c>
      <c r="Y58" s="137">
        <f t="shared" si="21"/>
        <v>155.06009357090636</v>
      </c>
      <c r="AA58" s="76">
        <v>0.01</v>
      </c>
      <c r="AB58" s="28">
        <v>2910181.0139718908</v>
      </c>
      <c r="AC58" s="138">
        <v>2910181.0135426689</v>
      </c>
      <c r="AD58" s="138">
        <f t="shared" si="22"/>
        <v>1.4748979815237817E-10</v>
      </c>
    </row>
    <row r="59" spans="3:30" x14ac:dyDescent="0.25">
      <c r="G59" s="68"/>
      <c r="H59" s="64"/>
      <c r="I59" s="64"/>
      <c r="J59" s="2"/>
      <c r="K59" s="10"/>
      <c r="L59" s="64"/>
      <c r="M59" s="71"/>
      <c r="N59" s="69"/>
      <c r="P59" s="76"/>
      <c r="Q59" s="75"/>
      <c r="R59" s="78"/>
      <c r="S59" s="76"/>
      <c r="V59" s="68">
        <v>2</v>
      </c>
      <c r="W59" s="136">
        <v>2935664.6308500818</v>
      </c>
      <c r="X59" s="136">
        <f t="shared" si="20"/>
        <v>37234.146926690824</v>
      </c>
      <c r="Y59" s="137">
        <f t="shared" si="21"/>
        <v>77.843343359793423</v>
      </c>
      <c r="AA59" s="76">
        <v>0.02</v>
      </c>
      <c r="AB59" s="28">
        <v>2921881.6921386989</v>
      </c>
      <c r="AC59" s="138">
        <v>2921881.6917208191</v>
      </c>
      <c r="AD59" s="138">
        <f t="shared" si="22"/>
        <v>1.4301737571997819E-10</v>
      </c>
    </row>
    <row r="60" spans="3:30" x14ac:dyDescent="0.25">
      <c r="G60" s="68"/>
      <c r="H60" s="64"/>
      <c r="I60" s="64"/>
      <c r="J60" s="2"/>
      <c r="K60" s="10"/>
      <c r="L60" s="64"/>
      <c r="M60" s="71"/>
      <c r="N60" s="69"/>
      <c r="P60" s="76"/>
      <c r="Q60" s="75"/>
      <c r="R60" s="78"/>
      <c r="S60" s="76"/>
      <c r="V60" s="68">
        <v>3</v>
      </c>
      <c r="W60" s="136">
        <v>2954059.7434495529</v>
      </c>
      <c r="X60" s="136">
        <f t="shared" si="20"/>
        <v>55629.259526161943</v>
      </c>
      <c r="Y60" s="137">
        <f t="shared" si="21"/>
        <v>52.102625643619888</v>
      </c>
      <c r="AA60" s="76">
        <v>0.03</v>
      </c>
      <c r="AB60" s="28">
        <v>2933533.1049622027</v>
      </c>
      <c r="AC60" s="138">
        <v>2933533.104554757</v>
      </c>
      <c r="AD60" s="138">
        <f t="shared" si="22"/>
        <v>1.3889245309428588E-10</v>
      </c>
    </row>
    <row r="61" spans="3:30" x14ac:dyDescent="0.25">
      <c r="G61" s="68"/>
      <c r="H61" s="64"/>
      <c r="I61" s="64"/>
      <c r="J61" s="2"/>
      <c r="K61" s="10"/>
      <c r="L61" s="64"/>
      <c r="M61" s="71"/>
      <c r="N61" s="69"/>
      <c r="P61" s="76"/>
      <c r="Q61" s="75"/>
      <c r="R61" s="78"/>
      <c r="S61" s="76"/>
      <c r="V61" s="68">
        <v>4</v>
      </c>
      <c r="W61" s="136">
        <v>2972311.7026984952</v>
      </c>
      <c r="X61" s="136">
        <f t="shared" si="20"/>
        <v>73881.218775104266</v>
      </c>
      <c r="Y61" s="137">
        <f t="shared" si="21"/>
        <v>39.230951139913714</v>
      </c>
      <c r="AA61" s="76">
        <v>0.04</v>
      </c>
      <c r="AB61" s="28">
        <v>2945135.8275703886</v>
      </c>
      <c r="AC61" s="138">
        <v>2945135.8271725574</v>
      </c>
      <c r="AD61" s="138">
        <f t="shared" si="22"/>
        <v>1.350808354061428E-10</v>
      </c>
    </row>
    <row r="62" spans="3:30" x14ac:dyDescent="0.25">
      <c r="G62" s="68"/>
      <c r="H62" s="64"/>
      <c r="I62" s="64"/>
      <c r="J62" s="2"/>
      <c r="K62" s="10"/>
      <c r="L62" s="64"/>
      <c r="M62" s="71"/>
      <c r="N62" s="69"/>
      <c r="P62" s="76"/>
      <c r="Q62" s="75"/>
      <c r="R62" s="78"/>
      <c r="S62" s="76"/>
      <c r="V62" s="68">
        <v>5</v>
      </c>
      <c r="W62" s="136">
        <v>2990423.9382761419</v>
      </c>
      <c r="X62" s="136">
        <f t="shared" si="20"/>
        <v>91993.454352750909</v>
      </c>
      <c r="Y62" s="137">
        <f t="shared" si="21"/>
        <v>31.506920838185899</v>
      </c>
      <c r="AA62" s="76">
        <v>0.05</v>
      </c>
      <c r="AB62" s="28">
        <v>2956690.423985891</v>
      </c>
      <c r="AC62" s="138">
        <v>2956690.4235969074</v>
      </c>
      <c r="AD62" s="138">
        <f t="shared" si="22"/>
        <v>1.3156054023966135E-10</v>
      </c>
    </row>
    <row r="64" spans="3:30" x14ac:dyDescent="0.25">
      <c r="R64" s="78"/>
    </row>
    <row r="65" spans="4:18" x14ac:dyDescent="0.25">
      <c r="R65" s="78"/>
    </row>
    <row r="66" spans="4:18" x14ac:dyDescent="0.25">
      <c r="R66" s="78"/>
    </row>
    <row r="67" spans="4:18" x14ac:dyDescent="0.25">
      <c r="R67" s="78"/>
    </row>
    <row r="68" spans="4:18" x14ac:dyDescent="0.25">
      <c r="R68" s="78"/>
    </row>
    <row r="69" spans="4:18" x14ac:dyDescent="0.25">
      <c r="D69" s="28" t="s">
        <v>129</v>
      </c>
      <c r="E69" s="28">
        <v>-5</v>
      </c>
      <c r="F69" s="28">
        <v>4371928.2476482298</v>
      </c>
      <c r="G69" s="28">
        <v>4371928.2476482298</v>
      </c>
      <c r="H69" s="64">
        <v>4371928.249051013</v>
      </c>
      <c r="R69" s="78"/>
    </row>
    <row r="70" spans="4:18" x14ac:dyDescent="0.25">
      <c r="D70" s="28" t="s">
        <v>129</v>
      </c>
      <c r="E70" s="28">
        <v>-4</v>
      </c>
      <c r="F70" s="28">
        <v>3985457.4630775</v>
      </c>
      <c r="G70" s="28">
        <v>3985457.4630775</v>
      </c>
      <c r="H70" s="64">
        <v>3985457.4626334482</v>
      </c>
      <c r="I70" s="79">
        <f t="shared" ref="I70:I79" si="23">H70-G70</f>
        <v>-4.4405180960893631E-4</v>
      </c>
      <c r="R70" s="78"/>
    </row>
    <row r="71" spans="4:18" x14ac:dyDescent="0.25">
      <c r="D71" s="28" t="s">
        <v>129</v>
      </c>
      <c r="E71" s="28">
        <v>-3</v>
      </c>
      <c r="F71" s="28">
        <v>3634159.0827319599</v>
      </c>
      <c r="G71" s="28">
        <v>3634159.0827319599</v>
      </c>
      <c r="H71" s="64">
        <v>3634159.0830355277</v>
      </c>
      <c r="I71" s="79">
        <f t="shared" si="23"/>
        <v>3.0356785282492638E-4</v>
      </c>
      <c r="R71" s="78"/>
    </row>
    <row r="72" spans="4:18" x14ac:dyDescent="0.25">
      <c r="D72" s="28" t="s">
        <v>129</v>
      </c>
      <c r="E72" s="28">
        <v>-2</v>
      </c>
      <c r="F72" s="28">
        <v>3327599.8520830399</v>
      </c>
      <c r="G72" s="28">
        <v>3327599.8520830399</v>
      </c>
      <c r="H72" s="64">
        <v>3327599.851304872</v>
      </c>
      <c r="I72" s="79">
        <f t="shared" si="23"/>
        <v>-7.78167974203825E-4</v>
      </c>
      <c r="R72" s="78"/>
    </row>
    <row r="73" spans="4:18" x14ac:dyDescent="0.25">
      <c r="D73" s="28" t="s">
        <v>129</v>
      </c>
      <c r="E73" s="28">
        <v>-1</v>
      </c>
      <c r="F73" s="28">
        <v>3077833.7897551302</v>
      </c>
      <c r="G73" s="28">
        <v>3077833.7897551302</v>
      </c>
      <c r="H73" s="64">
        <v>3077833.7908021612</v>
      </c>
      <c r="I73" s="79">
        <f t="shared" si="23"/>
        <v>1.0470310226082802E-3</v>
      </c>
      <c r="R73" s="78"/>
    </row>
    <row r="74" spans="4:18" x14ac:dyDescent="0.25">
      <c r="D74" s="28" t="s">
        <v>129</v>
      </c>
      <c r="E74" s="28">
        <v>0</v>
      </c>
      <c r="F74" s="28">
        <v>2898430.4834818598</v>
      </c>
      <c r="G74" s="28">
        <v>2898430.4834818598</v>
      </c>
      <c r="H74" s="64">
        <v>2898430.483923391</v>
      </c>
      <c r="I74" s="79">
        <f t="shared" si="23"/>
        <v>4.4153118506073952E-4</v>
      </c>
      <c r="R74" s="78"/>
    </row>
    <row r="75" spans="4:18" x14ac:dyDescent="0.25">
      <c r="D75" s="28" t="s">
        <v>129</v>
      </c>
      <c r="E75" s="28">
        <v>1</v>
      </c>
      <c r="F75" s="28">
        <v>2801989.43465306</v>
      </c>
      <c r="G75" s="28">
        <v>2801989.43465306</v>
      </c>
      <c r="H75" s="64">
        <v>2801989.4349761107</v>
      </c>
      <c r="I75" s="79">
        <f t="shared" si="23"/>
        <v>3.2305065542459488E-4</v>
      </c>
    </row>
    <row r="76" spans="4:18" x14ac:dyDescent="0.25">
      <c r="D76" s="28" t="s">
        <v>129</v>
      </c>
      <c r="E76" s="28">
        <v>2</v>
      </c>
      <c r="F76" s="28">
        <v>2796855.2679020301</v>
      </c>
      <c r="G76" s="28">
        <v>2796855.2679020301</v>
      </c>
      <c r="H76" s="64">
        <v>2796855.2681886675</v>
      </c>
      <c r="I76" s="79">
        <f t="shared" si="23"/>
        <v>2.8663733974099159E-4</v>
      </c>
    </row>
    <row r="77" spans="4:18" x14ac:dyDescent="0.25">
      <c r="D77" s="28" t="s">
        <v>129</v>
      </c>
      <c r="E77" s="28">
        <v>3</v>
      </c>
      <c r="F77" s="28">
        <v>2884577.85314399</v>
      </c>
      <c r="G77" s="28">
        <v>2884577.85314399</v>
      </c>
      <c r="H77" s="64">
        <v>2884577.8535262244</v>
      </c>
      <c r="I77" s="79">
        <f t="shared" si="23"/>
        <v>3.8223434239625931E-4</v>
      </c>
    </row>
    <row r="78" spans="4:18" x14ac:dyDescent="0.25">
      <c r="D78" s="28" t="s">
        <v>129</v>
      </c>
      <c r="E78" s="28">
        <v>4</v>
      </c>
      <c r="F78" s="28">
        <v>3059437.1702736798</v>
      </c>
      <c r="G78" s="28">
        <v>3059437.1702736798</v>
      </c>
      <c r="H78" s="64">
        <v>3059437.1705883523</v>
      </c>
      <c r="I78" s="79">
        <f t="shared" si="23"/>
        <v>3.1467247754335403E-4</v>
      </c>
    </row>
    <row r="79" spans="4:18" x14ac:dyDescent="0.25">
      <c r="D79" s="28" t="s">
        <v>129</v>
      </c>
      <c r="E79" s="28">
        <v>5</v>
      </c>
      <c r="F79" s="28">
        <v>3310185.45593386</v>
      </c>
      <c r="G79" s="28">
        <v>3310185.45593386</v>
      </c>
      <c r="H79" s="64">
        <v>3310185.456461573</v>
      </c>
      <c r="I79" s="79">
        <f t="shared" si="23"/>
        <v>5.2771298214793205E-4</v>
      </c>
    </row>
    <row r="80" spans="4:18" x14ac:dyDescent="0.25">
      <c r="D80" s="28" t="s">
        <v>130</v>
      </c>
      <c r="E80" s="28">
        <v>-5</v>
      </c>
      <c r="F80" s="28">
        <v>3362949.5118249999</v>
      </c>
      <c r="G80" s="28">
        <v>3362949.5118249999</v>
      </c>
      <c r="I80" s="79"/>
    </row>
    <row r="81" spans="4:9" x14ac:dyDescent="0.25">
      <c r="D81" s="28" t="s">
        <v>130</v>
      </c>
      <c r="E81" s="28">
        <v>-4</v>
      </c>
      <c r="F81" s="28">
        <v>3245051.9689352</v>
      </c>
      <c r="G81" s="28">
        <v>3245051.9689352</v>
      </c>
      <c r="I81" s="79"/>
    </row>
    <row r="82" spans="4:9" x14ac:dyDescent="0.25">
      <c r="D82" s="28" t="s">
        <v>130</v>
      </c>
      <c r="E82" s="28">
        <v>-3</v>
      </c>
      <c r="F82" s="28">
        <v>3138573.6843393999</v>
      </c>
      <c r="G82" s="28">
        <v>3138573.6843393999</v>
      </c>
      <c r="I82" s="79"/>
    </row>
    <row r="83" spans="4:9" x14ac:dyDescent="0.25">
      <c r="D83" s="28" t="s">
        <v>130</v>
      </c>
      <c r="E83" s="28">
        <v>-2</v>
      </c>
      <c r="F83" s="28">
        <v>3044597.84511428</v>
      </c>
      <c r="G83" s="28">
        <v>3044597.84511428</v>
      </c>
      <c r="I83" s="79"/>
    </row>
    <row r="84" spans="4:9" x14ac:dyDescent="0.25">
      <c r="D84" s="28" t="s">
        <v>130</v>
      </c>
      <c r="E84" s="28">
        <v>-1</v>
      </c>
      <c r="F84" s="28">
        <v>2964205.68738156</v>
      </c>
      <c r="G84" s="28">
        <v>2964205.68738156</v>
      </c>
      <c r="I84" s="79"/>
    </row>
    <row r="85" spans="4:9" x14ac:dyDescent="0.25">
      <c r="D85" s="28" t="s">
        <v>130</v>
      </c>
      <c r="E85" s="28">
        <v>0</v>
      </c>
      <c r="F85" s="28">
        <v>2898430.48348185</v>
      </c>
      <c r="G85" s="28">
        <v>2898430.48348185</v>
      </c>
      <c r="I85" s="79"/>
    </row>
    <row r="86" spans="4:9" x14ac:dyDescent="0.25">
      <c r="D86" s="28" t="s">
        <v>130</v>
      </c>
      <c r="E86" s="28">
        <v>1</v>
      </c>
      <c r="F86" s="28">
        <v>2848206.7835021201</v>
      </c>
      <c r="G86" s="28">
        <v>2848206.7835021201</v>
      </c>
      <c r="I86" s="79"/>
    </row>
    <row r="87" spans="4:9" x14ac:dyDescent="0.25">
      <c r="D87" s="28" t="s">
        <v>130</v>
      </c>
      <c r="E87" s="28">
        <v>2</v>
      </c>
      <c r="F87" s="28">
        <v>2814319.57817167</v>
      </c>
      <c r="G87" s="28">
        <v>2814319.57817167</v>
      </c>
      <c r="I87" s="79"/>
    </row>
    <row r="88" spans="4:9" x14ac:dyDescent="0.25">
      <c r="D88" s="28" t="s">
        <v>130</v>
      </c>
      <c r="E88" s="28">
        <v>3</v>
      </c>
      <c r="F88" s="28">
        <v>2797358.46609302</v>
      </c>
      <c r="G88" s="28">
        <v>2797358.46609302</v>
      </c>
      <c r="I88" s="79"/>
    </row>
    <row r="89" spans="4:9" x14ac:dyDescent="0.25">
      <c r="D89" s="28" t="s">
        <v>130</v>
      </c>
      <c r="E89" s="28">
        <v>4</v>
      </c>
      <c r="F89" s="28">
        <v>2797681.6249549398</v>
      </c>
      <c r="G89" s="28">
        <v>2797681.6249549398</v>
      </c>
      <c r="I89" s="79"/>
    </row>
    <row r="90" spans="4:9" x14ac:dyDescent="0.25">
      <c r="D90" s="28" t="s">
        <v>130</v>
      </c>
      <c r="E90" s="28">
        <v>5</v>
      </c>
      <c r="F90" s="28">
        <v>2815393.3499328801</v>
      </c>
      <c r="G90" s="28">
        <v>2815393.3499328801</v>
      </c>
      <c r="I90" s="79"/>
    </row>
    <row r="91" spans="4:9" x14ac:dyDescent="0.25">
      <c r="D91" s="28" t="s">
        <v>133</v>
      </c>
      <c r="E91" s="28">
        <v>-5</v>
      </c>
      <c r="F91" s="28">
        <v>2990072.7207322102</v>
      </c>
      <c r="G91" s="28">
        <v>2990072.7207322102</v>
      </c>
      <c r="H91" s="78">
        <v>2990072.7211884256</v>
      </c>
      <c r="I91" s="79">
        <f t="shared" ref="I91:I101" si="24">H91-G91</f>
        <v>4.5621534809470177E-4</v>
      </c>
    </row>
    <row r="92" spans="4:9" x14ac:dyDescent="0.25">
      <c r="D92" s="28" t="s">
        <v>133</v>
      </c>
      <c r="E92" s="28">
        <v>-4</v>
      </c>
      <c r="F92" s="28">
        <v>2971483.6161461002</v>
      </c>
      <c r="G92" s="28">
        <v>2971483.6161461002</v>
      </c>
      <c r="H92" s="78">
        <v>2971483.6165993325</v>
      </c>
      <c r="I92" s="79">
        <f t="shared" si="24"/>
        <v>4.5323232188820839E-4</v>
      </c>
    </row>
    <row r="93" spans="4:9" x14ac:dyDescent="0.25">
      <c r="D93" s="28" t="s">
        <v>133</v>
      </c>
      <c r="E93" s="28">
        <v>-3</v>
      </c>
      <c r="F93" s="28">
        <v>2953025.8654266298</v>
      </c>
      <c r="G93" s="28">
        <v>2953025.8654266298</v>
      </c>
      <c r="H93" s="78">
        <v>2953025.8658769378</v>
      </c>
      <c r="I93" s="79">
        <f t="shared" si="24"/>
        <v>4.5030796900391579E-4</v>
      </c>
    </row>
    <row r="94" spans="4:9" x14ac:dyDescent="0.25">
      <c r="D94" s="28" t="s">
        <v>133</v>
      </c>
      <c r="E94" s="28">
        <v>-2</v>
      </c>
      <c r="F94" s="28">
        <v>2934698.4388942802</v>
      </c>
      <c r="G94" s="28">
        <v>2934698.4388942802</v>
      </c>
      <c r="H94" s="78">
        <v>2934698.4393417216</v>
      </c>
      <c r="I94" s="79">
        <f t="shared" si="24"/>
        <v>4.4744135811924934E-4</v>
      </c>
    </row>
    <row r="95" spans="4:9" x14ac:dyDescent="0.25">
      <c r="D95" s="28" t="s">
        <v>133</v>
      </c>
      <c r="E95" s="28">
        <v>-1</v>
      </c>
      <c r="F95" s="28">
        <v>2916500.3156484799</v>
      </c>
      <c r="G95" s="28">
        <v>2916500.3156484799</v>
      </c>
      <c r="H95" s="78">
        <v>2916500.3160929373</v>
      </c>
      <c r="I95" s="79">
        <f t="shared" si="24"/>
        <v>4.4445740059018135E-4</v>
      </c>
    </row>
    <row r="96" spans="4:9" x14ac:dyDescent="0.25">
      <c r="D96" s="28" t="s">
        <v>133</v>
      </c>
      <c r="E96" s="28">
        <v>0</v>
      </c>
      <c r="F96" s="28">
        <v>2898430.4834818598</v>
      </c>
      <c r="G96" s="28">
        <v>2898430.4834818598</v>
      </c>
      <c r="H96" s="78">
        <v>2898430.483923391</v>
      </c>
      <c r="I96" s="79">
        <f t="shared" si="24"/>
        <v>4.4153118506073952E-4</v>
      </c>
    </row>
    <row r="97" spans="4:9" x14ac:dyDescent="0.25">
      <c r="D97" s="28" t="s">
        <v>133</v>
      </c>
      <c r="E97" s="28">
        <v>1</v>
      </c>
      <c r="F97" s="28">
        <v>2880487.9388071802</v>
      </c>
      <c r="G97" s="28">
        <v>2880487.9388071802</v>
      </c>
      <c r="H97" s="78">
        <v>2880487.9392458885</v>
      </c>
      <c r="I97" s="79">
        <f t="shared" si="24"/>
        <v>4.3870834633708E-4</v>
      </c>
    </row>
    <row r="98" spans="4:9" x14ac:dyDescent="0.25">
      <c r="D98" s="28" t="s">
        <v>133</v>
      </c>
      <c r="E98" s="28">
        <v>2</v>
      </c>
      <c r="F98" s="28">
        <v>2862671.68657585</v>
      </c>
      <c r="G98" s="28">
        <v>2862671.68657585</v>
      </c>
      <c r="H98" s="78">
        <v>2862671.6870116633</v>
      </c>
      <c r="I98" s="79">
        <f t="shared" si="24"/>
        <v>4.3581333011388779E-4</v>
      </c>
    </row>
    <row r="99" spans="4:9" x14ac:dyDescent="0.25">
      <c r="D99" s="28" t="s">
        <v>133</v>
      </c>
      <c r="E99" s="28">
        <v>3</v>
      </c>
      <c r="F99" s="28">
        <v>2844980.7402009801</v>
      </c>
      <c r="G99" s="28">
        <v>2844980.7402009801</v>
      </c>
      <c r="H99" s="78">
        <v>2844980.7406339915</v>
      </c>
      <c r="I99" s="79">
        <f t="shared" si="24"/>
        <v>4.3301144614815712E-4</v>
      </c>
    </row>
    <row r="100" spans="4:9" x14ac:dyDescent="0.25">
      <c r="D100" s="28" t="s">
        <v>133</v>
      </c>
      <c r="E100" s="28">
        <v>4</v>
      </c>
      <c r="F100" s="28">
        <v>2827414.1214807201</v>
      </c>
      <c r="G100" s="28">
        <v>2827414.1214807201</v>
      </c>
      <c r="H100" s="78">
        <v>2827414.1219109264</v>
      </c>
      <c r="I100" s="79">
        <f t="shared" si="24"/>
        <v>4.302063025534153E-4</v>
      </c>
    </row>
    <row r="101" spans="4:9" x14ac:dyDescent="0.25">
      <c r="D101" s="28" t="s">
        <v>133</v>
      </c>
      <c r="E101" s="28">
        <v>5</v>
      </c>
      <c r="F101" s="28">
        <v>2809970.8605219498</v>
      </c>
      <c r="G101" s="28">
        <v>2809970.8605219498</v>
      </c>
      <c r="H101" s="78">
        <v>2809970.8609493473</v>
      </c>
      <c r="I101" s="79">
        <f t="shared" si="24"/>
        <v>4.2739743366837502E-4</v>
      </c>
    </row>
    <row r="102" spans="4:9" x14ac:dyDescent="0.25">
      <c r="D102" s="28" t="s">
        <v>134</v>
      </c>
      <c r="E102" s="28">
        <v>-5</v>
      </c>
      <c r="F102" s="28">
        <v>2900057.7055681502</v>
      </c>
      <c r="G102" s="28">
        <v>2900057.7055681502</v>
      </c>
      <c r="H102" s="78">
        <v>2900057.7060099053</v>
      </c>
      <c r="I102" s="79">
        <f>H102-G102</f>
        <v>4.4175516813993454E-4</v>
      </c>
    </row>
    <row r="103" spans="4:9" x14ac:dyDescent="0.25">
      <c r="D103" s="28" t="s">
        <v>134</v>
      </c>
      <c r="E103" s="28">
        <v>-4</v>
      </c>
      <c r="F103" s="28">
        <v>2899732.1763594099</v>
      </c>
      <c r="G103" s="28">
        <v>2899732.1763594099</v>
      </c>
      <c r="H103" s="78">
        <v>2899732.1768011595</v>
      </c>
      <c r="I103" s="79">
        <f t="shared" ref="I103:I134" si="25">H103-G103</f>
        <v>4.4174958020448685E-4</v>
      </c>
    </row>
    <row r="104" spans="4:9" x14ac:dyDescent="0.25">
      <c r="D104" s="28" t="s">
        <v>134</v>
      </c>
      <c r="E104" s="28">
        <v>-3</v>
      </c>
      <c r="F104" s="28">
        <v>2899406.6895526401</v>
      </c>
      <c r="G104" s="28">
        <v>2899406.6895526401</v>
      </c>
      <c r="H104" s="78">
        <v>2899406.6899943501</v>
      </c>
      <c r="I104" s="79">
        <f t="shared" si="25"/>
        <v>4.4170999899506569E-4</v>
      </c>
    </row>
    <row r="105" spans="4:9" x14ac:dyDescent="0.25">
      <c r="D105" s="28" t="s">
        <v>134</v>
      </c>
      <c r="E105" s="28">
        <v>-2</v>
      </c>
      <c r="F105" s="28">
        <v>2899081.24514161</v>
      </c>
      <c r="G105" s="28">
        <v>2899081.24514161</v>
      </c>
      <c r="H105" s="78">
        <v>2899081.2455832553</v>
      </c>
      <c r="I105" s="79">
        <f t="shared" si="25"/>
        <v>4.4164527207612991E-4</v>
      </c>
    </row>
    <row r="106" spans="4:9" x14ac:dyDescent="0.25">
      <c r="D106" s="28" t="s">
        <v>134</v>
      </c>
      <c r="E106" s="28">
        <v>-1</v>
      </c>
      <c r="F106" s="28">
        <v>2898755.8431201102</v>
      </c>
      <c r="G106" s="28">
        <v>2898755.8431201102</v>
      </c>
      <c r="H106" s="78">
        <v>2898755.8435617327</v>
      </c>
      <c r="I106" s="79">
        <f t="shared" si="25"/>
        <v>4.4162245467305183E-4</v>
      </c>
    </row>
    <row r="107" spans="4:9" x14ac:dyDescent="0.25">
      <c r="D107" s="28" t="s">
        <v>134</v>
      </c>
      <c r="E107" s="28">
        <v>0</v>
      </c>
      <c r="F107" s="28">
        <v>2898430.48348185</v>
      </c>
      <c r="G107" s="28">
        <v>2898430.48348185</v>
      </c>
      <c r="H107" s="78">
        <v>2898430.483923391</v>
      </c>
      <c r="I107" s="79">
        <f t="shared" si="25"/>
        <v>4.4154096394777298E-4</v>
      </c>
    </row>
    <row r="108" spans="4:9" x14ac:dyDescent="0.25">
      <c r="D108" s="28" t="s">
        <v>134</v>
      </c>
      <c r="E108" s="28">
        <v>1</v>
      </c>
      <c r="F108" s="28">
        <v>2898105.1662207702</v>
      </c>
      <c r="G108" s="28">
        <v>2898105.1662207702</v>
      </c>
      <c r="H108" s="78">
        <v>2898105.1666622716</v>
      </c>
      <c r="I108" s="79">
        <f t="shared" si="25"/>
        <v>4.4150138273835182E-4</v>
      </c>
    </row>
    <row r="109" spans="4:9" x14ac:dyDescent="0.25">
      <c r="D109" s="28" t="s">
        <v>134</v>
      </c>
      <c r="E109" s="28">
        <v>2</v>
      </c>
      <c r="F109" s="28">
        <v>2897779.8913305001</v>
      </c>
      <c r="G109" s="28">
        <v>2897779.8913305001</v>
      </c>
      <c r="H109" s="78">
        <v>2897779.8917719703</v>
      </c>
      <c r="I109" s="79">
        <f t="shared" si="25"/>
        <v>4.414701834321022E-4</v>
      </c>
    </row>
    <row r="110" spans="4:9" x14ac:dyDescent="0.25">
      <c r="D110" s="28" t="s">
        <v>134</v>
      </c>
      <c r="E110" s="28">
        <v>3</v>
      </c>
      <c r="F110" s="28">
        <v>2897454.6588049298</v>
      </c>
      <c r="G110" s="28">
        <v>2897454.6588049298</v>
      </c>
      <c r="H110" s="78">
        <v>2897454.659246326</v>
      </c>
      <c r="I110" s="79">
        <f t="shared" si="25"/>
        <v>4.4139614328742027E-4</v>
      </c>
    </row>
    <row r="111" spans="4:9" x14ac:dyDescent="0.25">
      <c r="D111" s="28" t="s">
        <v>134</v>
      </c>
      <c r="E111" s="28">
        <v>4</v>
      </c>
      <c r="F111" s="28">
        <v>2897129.4686377202</v>
      </c>
      <c r="G111" s="28">
        <v>2897129.4686377202</v>
      </c>
      <c r="H111" s="78">
        <v>2897129.4690791047</v>
      </c>
      <c r="I111" s="79">
        <f t="shared" si="25"/>
        <v>4.4138450175523758E-4</v>
      </c>
    </row>
    <row r="112" spans="4:9" x14ac:dyDescent="0.25">
      <c r="D112" s="28" t="s">
        <v>134</v>
      </c>
      <c r="E112" s="28">
        <v>5</v>
      </c>
      <c r="F112" s="28">
        <v>2896804.3208228401</v>
      </c>
      <c r="G112" s="28">
        <v>2896804.3208228401</v>
      </c>
      <c r="H112" s="78">
        <v>2896804.3212641068</v>
      </c>
      <c r="I112" s="79">
        <f t="shared" si="25"/>
        <v>4.4126668944954872E-4</v>
      </c>
    </row>
    <row r="113" spans="4:9" x14ac:dyDescent="0.25">
      <c r="D113" s="28" t="s">
        <v>131</v>
      </c>
      <c r="E113" s="28">
        <v>-5</v>
      </c>
      <c r="F113" s="28">
        <v>2565405.2359115402</v>
      </c>
      <c r="G113" s="28">
        <v>2565405.2359115402</v>
      </c>
      <c r="H113" s="75">
        <v>2565405.2364953691</v>
      </c>
      <c r="I113" s="79">
        <f t="shared" si="25"/>
        <v>5.838288925588131E-4</v>
      </c>
    </row>
    <row r="114" spans="4:9" x14ac:dyDescent="0.25">
      <c r="D114" s="28" t="s">
        <v>131</v>
      </c>
      <c r="E114" s="28">
        <v>-4</v>
      </c>
      <c r="F114" s="28">
        <v>2629426.6900176099</v>
      </c>
      <c r="G114" s="28">
        <v>2629426.6900176099</v>
      </c>
      <c r="H114" s="75">
        <v>2629426.6909414926</v>
      </c>
      <c r="I114" s="79">
        <f t="shared" si="25"/>
        <v>9.2388270422816277E-4</v>
      </c>
    </row>
    <row r="115" spans="4:9" x14ac:dyDescent="0.25">
      <c r="D115" s="28" t="s">
        <v>131</v>
      </c>
      <c r="E115" s="28">
        <v>-3</v>
      </c>
      <c r="F115" s="28">
        <v>2694908.2704719799</v>
      </c>
      <c r="G115" s="28">
        <v>2694908.2704719799</v>
      </c>
      <c r="H115" s="75">
        <v>2694908.2709272043</v>
      </c>
      <c r="I115" s="79">
        <f t="shared" si="25"/>
        <v>4.552244208753109E-4</v>
      </c>
    </row>
    <row r="116" spans="4:9" x14ac:dyDescent="0.25">
      <c r="D116" s="28" t="s">
        <v>131</v>
      </c>
      <c r="E116" s="28">
        <v>-2</v>
      </c>
      <c r="F116" s="28">
        <v>2761670.1706712898</v>
      </c>
      <c r="G116" s="28">
        <v>2761670.1706712898</v>
      </c>
      <c r="H116" s="75">
        <v>2761670.1705245618</v>
      </c>
      <c r="I116" s="79">
        <f t="shared" si="25"/>
        <v>-1.4672800898551941E-4</v>
      </c>
    </row>
    <row r="117" spans="4:9" x14ac:dyDescent="0.25">
      <c r="D117" s="28" t="s">
        <v>131</v>
      </c>
      <c r="E117" s="28">
        <v>-1</v>
      </c>
      <c r="F117" s="28">
        <v>2829555.9829759598</v>
      </c>
      <c r="G117" s="28">
        <v>2829555.9829759598</v>
      </c>
      <c r="H117" s="75">
        <v>2829555.9837183896</v>
      </c>
      <c r="I117" s="79">
        <f t="shared" si="25"/>
        <v>7.4242986738681793E-4</v>
      </c>
    </row>
    <row r="118" spans="4:9" x14ac:dyDescent="0.25">
      <c r="D118" s="28" t="s">
        <v>131</v>
      </c>
      <c r="E118" s="28">
        <v>0</v>
      </c>
      <c r="F118" s="28">
        <v>2898430.48348185</v>
      </c>
      <c r="G118" s="28">
        <v>2898430.48348185</v>
      </c>
      <c r="H118" s="75">
        <v>2898430.483923391</v>
      </c>
      <c r="I118" s="79">
        <f t="shared" si="25"/>
        <v>4.4154096394777298E-4</v>
      </c>
    </row>
    <row r="119" spans="4:9" x14ac:dyDescent="0.25">
      <c r="D119" s="28" t="s">
        <v>131</v>
      </c>
      <c r="E119" s="28">
        <v>1</v>
      </c>
      <c r="F119" s="28">
        <v>2968177.0306849801</v>
      </c>
      <c r="G119" s="28">
        <v>2968177.0306849801</v>
      </c>
      <c r="H119" s="75">
        <v>2968177.0310251517</v>
      </c>
      <c r="I119" s="79">
        <f t="shared" si="25"/>
        <v>3.4017162397503853E-4</v>
      </c>
    </row>
    <row r="120" spans="4:9" x14ac:dyDescent="0.25">
      <c r="D120" s="28" t="s">
        <v>131</v>
      </c>
      <c r="E120" s="28">
        <v>2</v>
      </c>
      <c r="F120" s="28">
        <v>3038695.0198696498</v>
      </c>
      <c r="G120" s="28">
        <v>3038695.0198696498</v>
      </c>
      <c r="H120" s="75">
        <v>3038695.0198796103</v>
      </c>
      <c r="I120" s="79">
        <f t="shared" si="25"/>
        <v>9.9604949355125427E-6</v>
      </c>
    </row>
    <row r="121" spans="4:9" x14ac:dyDescent="0.25">
      <c r="D121" s="28" t="s">
        <v>131</v>
      </c>
      <c r="E121" s="28">
        <v>3</v>
      </c>
      <c r="F121" s="28">
        <v>3109897.5512177399</v>
      </c>
      <c r="G121" s="28">
        <v>3109897.5512177399</v>
      </c>
      <c r="H121" s="75">
        <v>3109897.5513856588</v>
      </c>
      <c r="I121" s="79">
        <f t="shared" si="25"/>
        <v>1.679188571870327E-4</v>
      </c>
    </row>
    <row r="122" spans="4:9" x14ac:dyDescent="0.25">
      <c r="D122" s="28" t="s">
        <v>131</v>
      </c>
      <c r="E122" s="28">
        <v>4</v>
      </c>
      <c r="F122" s="28">
        <v>3181709.3873969498</v>
      </c>
      <c r="G122" s="28">
        <v>3181709.3873969498</v>
      </c>
      <c r="H122" s="75">
        <v>3181709.388076751</v>
      </c>
      <c r="I122" s="79">
        <f t="shared" si="25"/>
        <v>6.7980121821165085E-4</v>
      </c>
    </row>
    <row r="123" spans="4:9" x14ac:dyDescent="0.25">
      <c r="D123" s="28" t="s">
        <v>131</v>
      </c>
      <c r="E123" s="28">
        <v>5</v>
      </c>
      <c r="F123" s="28">
        <v>3254065.19757772</v>
      </c>
      <c r="G123" s="28">
        <v>3254065.19757772</v>
      </c>
      <c r="H123" s="75">
        <v>3254065.1980374986</v>
      </c>
      <c r="I123" s="79">
        <f t="shared" si="25"/>
        <v>4.5977858826518059E-4</v>
      </c>
    </row>
    <row r="124" spans="4:9" x14ac:dyDescent="0.25">
      <c r="D124" s="28" t="s">
        <v>132</v>
      </c>
      <c r="E124" s="28">
        <v>-5</v>
      </c>
      <c r="F124" s="28">
        <v>2780018.8294138201</v>
      </c>
      <c r="G124" s="28">
        <v>2780018.8294138201</v>
      </c>
      <c r="H124" s="75">
        <v>2780018.8302577538</v>
      </c>
      <c r="I124" s="79">
        <f t="shared" si="25"/>
        <v>8.4393378347158432E-4</v>
      </c>
    </row>
    <row r="125" spans="4:9" x14ac:dyDescent="0.25">
      <c r="D125" s="28" t="s">
        <v>132</v>
      </c>
      <c r="E125" s="28">
        <v>-4</v>
      </c>
      <c r="F125" s="28">
        <v>2803613.9211090598</v>
      </c>
      <c r="G125" s="28">
        <v>2803613.9211090598</v>
      </c>
      <c r="H125" s="75">
        <v>2803613.9217124465</v>
      </c>
      <c r="I125" s="79">
        <f t="shared" si="25"/>
        <v>6.0338666662573814E-4</v>
      </c>
    </row>
    <row r="126" spans="4:9" x14ac:dyDescent="0.25">
      <c r="D126" s="28" t="s">
        <v>132</v>
      </c>
      <c r="E126" s="28">
        <v>-3</v>
      </c>
      <c r="F126" s="28">
        <v>2827253.9030125602</v>
      </c>
      <c r="G126" s="28">
        <v>2827253.9030125602</v>
      </c>
      <c r="H126" s="75">
        <v>2827253.9035658515</v>
      </c>
      <c r="I126" s="79">
        <f t="shared" si="25"/>
        <v>5.5329129099845886E-4</v>
      </c>
    </row>
    <row r="127" spans="4:9" x14ac:dyDescent="0.25">
      <c r="D127" s="28" t="s">
        <v>132</v>
      </c>
      <c r="E127" s="28">
        <v>-2</v>
      </c>
      <c r="F127" s="28">
        <v>2850937.4842644902</v>
      </c>
      <c r="G127" s="28">
        <v>2850937.4842644902</v>
      </c>
      <c r="H127" s="75">
        <v>2850937.4847772443</v>
      </c>
      <c r="I127" s="79">
        <f t="shared" si="25"/>
        <v>5.1275407895445824E-4</v>
      </c>
    </row>
    <row r="128" spans="4:9" x14ac:dyDescent="0.25">
      <c r="D128" s="28" t="s">
        <v>132</v>
      </c>
      <c r="E128" s="28">
        <v>-1</v>
      </c>
      <c r="F128" s="28">
        <v>2874663.4147069501</v>
      </c>
      <c r="G128" s="28">
        <v>2874663.4147069501</v>
      </c>
      <c r="H128" s="75">
        <v>2874663.4151762319</v>
      </c>
      <c r="I128" s="79">
        <f t="shared" si="25"/>
        <v>4.6928180381655693E-4</v>
      </c>
    </row>
    <row r="129" spans="4:9" x14ac:dyDescent="0.25">
      <c r="D129" s="28" t="s">
        <v>132</v>
      </c>
      <c r="E129" s="28">
        <v>0</v>
      </c>
      <c r="F129" s="28">
        <v>2898430.48348185</v>
      </c>
      <c r="G129" s="28">
        <v>2898430.48348185</v>
      </c>
      <c r="H129" s="75">
        <v>2898430.483923391</v>
      </c>
      <c r="I129" s="79">
        <f t="shared" si="25"/>
        <v>4.4154096394777298E-4</v>
      </c>
    </row>
    <row r="130" spans="4:9" x14ac:dyDescent="0.25">
      <c r="D130" s="28" t="s">
        <v>132</v>
      </c>
      <c r="E130" s="28">
        <v>1</v>
      </c>
      <c r="F130" s="28">
        <v>2922237.5176160401</v>
      </c>
      <c r="G130" s="28">
        <v>2922237.5176160401</v>
      </c>
      <c r="H130" s="75">
        <v>2922237.5180338551</v>
      </c>
      <c r="I130" s="79">
        <f t="shared" si="25"/>
        <v>4.1781505569815636E-4</v>
      </c>
    </row>
    <row r="131" spans="4:9" x14ac:dyDescent="0.25">
      <c r="D131" s="28" t="s">
        <v>132</v>
      </c>
      <c r="E131" s="28">
        <v>2</v>
      </c>
      <c r="F131" s="28">
        <v>2946083.3805637802</v>
      </c>
      <c r="G131" s="28">
        <v>2946083.3805637802</v>
      </c>
      <c r="H131" s="75">
        <v>2946083.3809613334</v>
      </c>
      <c r="I131" s="79">
        <f t="shared" si="25"/>
        <v>3.9755320176482201E-4</v>
      </c>
    </row>
    <row r="132" spans="4:9" x14ac:dyDescent="0.25">
      <c r="D132" s="28" t="s">
        <v>132</v>
      </c>
      <c r="E132" s="28">
        <v>3</v>
      </c>
      <c r="F132" s="28">
        <v>2969966.97085978</v>
      </c>
      <c r="G132" s="28">
        <v>2969966.97085978</v>
      </c>
      <c r="H132" s="75">
        <v>2969966.971240059</v>
      </c>
      <c r="I132" s="79">
        <f t="shared" si="25"/>
        <v>3.8027903065085411E-4</v>
      </c>
    </row>
    <row r="133" spans="4:9" x14ac:dyDescent="0.25">
      <c r="D133" s="28" t="s">
        <v>132</v>
      </c>
      <c r="E133" s="28">
        <v>4</v>
      </c>
      <c r="F133" s="28">
        <v>2993887.2208166998</v>
      </c>
      <c r="G133" s="28">
        <v>2993887.2208166998</v>
      </c>
      <c r="H133" s="75">
        <v>2993887.2211822825</v>
      </c>
      <c r="I133" s="79">
        <f t="shared" si="25"/>
        <v>3.6558276042342186E-4</v>
      </c>
    </row>
    <row r="134" spans="4:9" x14ac:dyDescent="0.25">
      <c r="D134" s="28" t="s">
        <v>132</v>
      </c>
      <c r="E134" s="28">
        <v>5</v>
      </c>
      <c r="F134" s="28">
        <v>3017843.0952759101</v>
      </c>
      <c r="G134" s="28">
        <v>3017843.0952759101</v>
      </c>
      <c r="H134" s="75">
        <v>3017843.0956290285</v>
      </c>
      <c r="I134" s="79">
        <f t="shared" si="25"/>
        <v>3.531184047460556E-4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3:AE46"/>
  <sheetViews>
    <sheetView workbookViewId="0">
      <selection activeCell="N43" sqref="N43"/>
    </sheetView>
  </sheetViews>
  <sheetFormatPr defaultRowHeight="15" x14ac:dyDescent="0.25"/>
  <cols>
    <col min="1" max="5" width="9.140625" style="4"/>
    <col min="6" max="6" width="10.7109375" style="4" bestFit="1" customWidth="1"/>
    <col min="7" max="7" width="34" style="4" bestFit="1" customWidth="1"/>
    <col min="8" max="8" width="9.140625" style="4"/>
    <col min="9" max="10" width="10.7109375" style="4" bestFit="1" customWidth="1"/>
    <col min="11" max="11" width="12" style="4" bestFit="1" customWidth="1"/>
    <col min="12" max="12" width="10.7109375" style="4" bestFit="1" customWidth="1"/>
    <col min="13" max="14" width="9.140625" style="4"/>
    <col min="15" max="15" width="12" style="4" bestFit="1" customWidth="1"/>
    <col min="16" max="20" width="9.140625" style="4"/>
    <col min="21" max="21" width="12" style="4" bestFit="1" customWidth="1"/>
    <col min="22" max="22" width="12" style="23" bestFit="1" customWidth="1"/>
    <col min="23" max="25" width="9.140625" style="4"/>
    <col min="26" max="26" width="12" style="4" bestFit="1" customWidth="1"/>
    <col min="27" max="28" width="9.140625" style="4"/>
    <col min="29" max="29" width="11" style="4" bestFit="1" customWidth="1"/>
    <col min="30" max="30" width="9.140625" style="4"/>
    <col min="31" max="31" width="12.7109375" style="4" bestFit="1" customWidth="1"/>
    <col min="32" max="16384" width="9.140625" style="4"/>
  </cols>
  <sheetData>
    <row r="3" spans="3:31" x14ac:dyDescent="0.25">
      <c r="E3" s="4" t="s">
        <v>46</v>
      </c>
      <c r="F3" s="7">
        <v>40848</v>
      </c>
    </row>
    <row r="4" spans="3:31" x14ac:dyDescent="0.25">
      <c r="U4" s="4">
        <f>U8-U7</f>
        <v>0</v>
      </c>
    </row>
    <row r="6" spans="3:31" x14ac:dyDescent="0.25">
      <c r="C6" s="6" t="s">
        <v>0</v>
      </c>
      <c r="D6" s="6" t="s">
        <v>2</v>
      </c>
      <c r="E6" s="6" t="s">
        <v>3</v>
      </c>
      <c r="F6" s="6" t="s">
        <v>4</v>
      </c>
      <c r="G6" s="6" t="s">
        <v>5</v>
      </c>
      <c r="H6" s="6"/>
      <c r="I6" s="6" t="s">
        <v>6</v>
      </c>
      <c r="J6" s="6" t="s">
        <v>7</v>
      </c>
      <c r="K6" s="6" t="s">
        <v>9</v>
      </c>
      <c r="L6" s="6" t="s">
        <v>10</v>
      </c>
      <c r="M6" s="6" t="s">
        <v>11</v>
      </c>
      <c r="N6" s="6" t="s">
        <v>12</v>
      </c>
      <c r="O6" s="6" t="s">
        <v>13</v>
      </c>
      <c r="P6" s="6" t="s">
        <v>14</v>
      </c>
      <c r="Q6" s="6" t="s">
        <v>15</v>
      </c>
      <c r="R6" s="6" t="s">
        <v>16</v>
      </c>
      <c r="S6" s="6" t="s">
        <v>17</v>
      </c>
      <c r="T6" s="6"/>
      <c r="U6" s="6" t="s">
        <v>23</v>
      </c>
      <c r="V6" s="20" t="s">
        <v>85</v>
      </c>
      <c r="W6" s="6" t="s">
        <v>49</v>
      </c>
      <c r="Y6" s="6" t="s">
        <v>14</v>
      </c>
    </row>
    <row r="7" spans="3:31" x14ac:dyDescent="0.25">
      <c r="C7" s="5" t="s">
        <v>24</v>
      </c>
      <c r="D7" s="5" t="s">
        <v>18</v>
      </c>
      <c r="E7" s="4">
        <v>155</v>
      </c>
      <c r="F7" s="5" t="s">
        <v>19</v>
      </c>
      <c r="G7" s="5" t="s">
        <v>25</v>
      </c>
      <c r="H7" s="3" t="str">
        <f>MID(G7,4,1)</f>
        <v>C</v>
      </c>
      <c r="I7" s="7">
        <v>40909</v>
      </c>
      <c r="J7" s="7">
        <v>41274</v>
      </c>
      <c r="K7" s="14">
        <v>5.4793202685604498</v>
      </c>
      <c r="L7" s="7">
        <v>40892</v>
      </c>
      <c r="M7" s="4">
        <v>45</v>
      </c>
      <c r="N7" s="4">
        <v>47.999999999999901</v>
      </c>
      <c r="O7" s="9">
        <v>0.59434662382532699</v>
      </c>
      <c r="P7" s="14">
        <v>0.65236758487619595</v>
      </c>
      <c r="Q7" s="5" t="s">
        <v>26</v>
      </c>
      <c r="R7" s="5" t="s">
        <v>27</v>
      </c>
      <c r="S7" s="4">
        <v>6.5285679415747504</v>
      </c>
      <c r="T7" s="23">
        <v>1.4444728711645631</v>
      </c>
      <c r="U7" s="28">
        <f t="shared" ref="U7:U42" si="0">T7/100</f>
        <v>1.4444728711645632E-2</v>
      </c>
      <c r="V7" s="25">
        <v>1.9254966851331299E-2</v>
      </c>
      <c r="W7" s="4">
        <f>B76Forward($F$3,H7,N7,M7,L7,O7,U7,V7,I7,J7)</f>
        <v>5.4793202689976228</v>
      </c>
      <c r="X7" s="3">
        <f>W7/K7-1</f>
        <v>7.978595562008195E-11</v>
      </c>
      <c r="Y7" s="4">
        <f>B76DeltaForward($F$3,H7,N7,M7,L7,O7,U7,V7,I7,J7)</f>
        <v>0.65236758486707203</v>
      </c>
      <c r="Z7" s="4">
        <f>Y7/P7-1</f>
        <v>-1.3985812508110484E-11</v>
      </c>
      <c r="AA7" s="8">
        <v>1.9256861906191882</v>
      </c>
      <c r="AB7" s="4">
        <f>AA7/100</f>
        <v>1.9256861906191882E-2</v>
      </c>
      <c r="AC7" s="4">
        <f>AB7/U7-1</f>
        <v>0.33314112646965888</v>
      </c>
      <c r="AD7" s="4">
        <f>ImpliedVolatilityB76Forward($F$3,H7,N7,M7,L7,W7,U7,V7,I7,J7)</f>
        <v>0.5943466238253261</v>
      </c>
      <c r="AE7" s="4">
        <f>AD7/O7-1</f>
        <v>-1.4432899320127035E-15</v>
      </c>
    </row>
    <row r="8" spans="3:31" x14ac:dyDescent="0.25">
      <c r="C8" s="5" t="s">
        <v>24</v>
      </c>
      <c r="D8" s="5" t="s">
        <v>18</v>
      </c>
      <c r="E8" s="4">
        <v>155</v>
      </c>
      <c r="F8" s="5" t="s">
        <v>19</v>
      </c>
      <c r="G8" s="5" t="s">
        <v>25</v>
      </c>
      <c r="H8" s="3" t="str">
        <f t="shared" ref="H8:H42" si="1">MID(G8,4,1)</f>
        <v>C</v>
      </c>
      <c r="I8" s="7">
        <v>40909</v>
      </c>
      <c r="J8" s="7">
        <v>41274</v>
      </c>
      <c r="K8" s="14">
        <v>5.4793202685604498</v>
      </c>
      <c r="L8" s="7">
        <v>40892</v>
      </c>
      <c r="M8" s="4">
        <v>45</v>
      </c>
      <c r="N8" s="4">
        <v>47.999999999999901</v>
      </c>
      <c r="O8" s="9">
        <v>0.59434662382532699</v>
      </c>
      <c r="P8" s="14">
        <v>0.65236758487619595</v>
      </c>
      <c r="Q8" s="5" t="s">
        <v>26</v>
      </c>
      <c r="R8" s="5" t="s">
        <v>27</v>
      </c>
      <c r="S8" s="4">
        <v>6.5285679415747504</v>
      </c>
      <c r="T8" s="23">
        <v>1.4444728711645631</v>
      </c>
      <c r="U8" s="4">
        <f t="shared" si="0"/>
        <v>1.4444728711645632E-2</v>
      </c>
      <c r="V8" s="27">
        <v>1.9254966851331299E-2</v>
      </c>
      <c r="W8" s="26">
        <f>B76Forward($F$3,H8,N8,M8,L8,O8,U8,V8,I8,J8)</f>
        <v>5.4793202689976228</v>
      </c>
      <c r="X8" s="3">
        <f t="shared" ref="X8:X42" si="2">W8/K8-1</f>
        <v>7.978595562008195E-11</v>
      </c>
      <c r="Y8" s="26">
        <f t="shared" ref="Y8:Y42" si="3">B76DeltaForward($F$3,H8,N8,M8,L8,O8,U8,V8,I8,J8)</f>
        <v>0.65236758486707203</v>
      </c>
      <c r="Z8" s="4">
        <f t="shared" ref="Z8:Z42" si="4">Y8/P8-1</f>
        <v>-1.3985812508110484E-11</v>
      </c>
      <c r="AA8" s="8">
        <v>1.9256861906191882</v>
      </c>
      <c r="AB8" s="8">
        <f t="shared" ref="AB8:AB42" si="5">AA8/100</f>
        <v>1.9256861906191882E-2</v>
      </c>
      <c r="AC8" s="8">
        <f t="shared" ref="AC8:AC42" si="6">AB8/U8-1</f>
        <v>0.33314112646965888</v>
      </c>
      <c r="AD8" s="54">
        <f t="shared" ref="AD8:AD42" si="7">ImpliedVolatilityB76Forward($F$3,H8,N8,M8,L8,W8,U8,V8,I8,J8)</f>
        <v>0.5943466238253261</v>
      </c>
      <c r="AE8" s="54">
        <f t="shared" ref="AE8:AE42" si="8">AD8/O8-1</f>
        <v>-1.4432899320127035E-15</v>
      </c>
    </row>
    <row r="9" spans="3:31" x14ac:dyDescent="0.25">
      <c r="C9" s="5" t="s">
        <v>24</v>
      </c>
      <c r="D9" s="5" t="s">
        <v>18</v>
      </c>
      <c r="E9" s="4">
        <v>155</v>
      </c>
      <c r="F9" s="5" t="s">
        <v>19</v>
      </c>
      <c r="G9" s="5" t="s">
        <v>28</v>
      </c>
      <c r="H9" s="3" t="str">
        <f t="shared" si="1"/>
        <v>P</v>
      </c>
      <c r="I9" s="7">
        <v>40909</v>
      </c>
      <c r="J9" s="7">
        <v>41274</v>
      </c>
      <c r="K9" s="14">
        <v>2.5158853201943501</v>
      </c>
      <c r="L9" s="7">
        <v>40892</v>
      </c>
      <c r="M9" s="4">
        <v>45</v>
      </c>
      <c r="N9" s="4">
        <v>47.999999999999901</v>
      </c>
      <c r="O9" s="9">
        <v>0.59434662382532699</v>
      </c>
      <c r="P9" s="14">
        <v>-0.33544406457919101</v>
      </c>
      <c r="Q9" s="5" t="s">
        <v>26</v>
      </c>
      <c r="R9" s="5" t="s">
        <v>27</v>
      </c>
      <c r="S9" s="4">
        <v>-3.3442129496570301</v>
      </c>
      <c r="T9" s="23">
        <v>1.4444728711645631</v>
      </c>
      <c r="U9" s="4">
        <f t="shared" si="0"/>
        <v>1.4444728711645632E-2</v>
      </c>
      <c r="V9" s="27">
        <v>1.9254966851331299E-2</v>
      </c>
      <c r="W9" s="26">
        <f t="shared" ref="W9:W42" si="9">B76Forward($F$3,H9,N9,M9,L9,O9,U9,V9,I9,J9)</f>
        <v>2.5158853206311083</v>
      </c>
      <c r="X9" s="3">
        <f t="shared" si="2"/>
        <v>1.7360024529011753E-10</v>
      </c>
      <c r="Y9" s="26">
        <f t="shared" si="3"/>
        <v>-0.33544406458846521</v>
      </c>
      <c r="Z9" s="4">
        <f t="shared" si="4"/>
        <v>2.7647439893030423E-11</v>
      </c>
      <c r="AA9" s="8">
        <v>1.9256861906191882</v>
      </c>
      <c r="AB9" s="8">
        <f t="shared" si="5"/>
        <v>1.9256861906191882E-2</v>
      </c>
      <c r="AC9" s="8">
        <f t="shared" si="6"/>
        <v>0.33314112646965888</v>
      </c>
      <c r="AD9" s="54">
        <f t="shared" si="7"/>
        <v>0.5943466238253271</v>
      </c>
      <c r="AE9" s="54">
        <f t="shared" si="8"/>
        <v>0</v>
      </c>
    </row>
    <row r="10" spans="3:31" x14ac:dyDescent="0.25">
      <c r="C10" s="5" t="s">
        <v>24</v>
      </c>
      <c r="D10" s="5" t="s">
        <v>18</v>
      </c>
      <c r="E10" s="4">
        <v>155</v>
      </c>
      <c r="F10" s="5" t="s">
        <v>19</v>
      </c>
      <c r="G10" s="5" t="s">
        <v>28</v>
      </c>
      <c r="H10" s="3" t="str">
        <f t="shared" si="1"/>
        <v>P</v>
      </c>
      <c r="I10" s="7">
        <v>40909</v>
      </c>
      <c r="J10" s="7">
        <v>41274</v>
      </c>
      <c r="K10" s="14">
        <v>2.5158853201943501</v>
      </c>
      <c r="L10" s="7">
        <v>40892</v>
      </c>
      <c r="M10" s="4">
        <v>45</v>
      </c>
      <c r="N10" s="4">
        <v>47.999999999999901</v>
      </c>
      <c r="O10" s="9">
        <v>0.59434662382532699</v>
      </c>
      <c r="P10" s="14">
        <v>-0.33544406457919101</v>
      </c>
      <c r="Q10" s="5" t="s">
        <v>26</v>
      </c>
      <c r="R10" s="5" t="s">
        <v>27</v>
      </c>
      <c r="S10" s="4">
        <v>-3.3442129496570301</v>
      </c>
      <c r="T10" s="23">
        <v>1.4444728711645631</v>
      </c>
      <c r="U10" s="4">
        <f t="shared" si="0"/>
        <v>1.4444728711645632E-2</v>
      </c>
      <c r="V10" s="27">
        <v>1.9254966851331299E-2</v>
      </c>
      <c r="W10" s="26">
        <f t="shared" si="9"/>
        <v>2.5158853206311083</v>
      </c>
      <c r="X10" s="3">
        <f t="shared" si="2"/>
        <v>1.7360024529011753E-10</v>
      </c>
      <c r="Y10" s="26">
        <f t="shared" si="3"/>
        <v>-0.33544406458846521</v>
      </c>
      <c r="Z10" s="4">
        <f t="shared" si="4"/>
        <v>2.7647439893030423E-11</v>
      </c>
      <c r="AA10" s="8">
        <v>1.9256861906191882</v>
      </c>
      <c r="AB10" s="8">
        <f t="shared" si="5"/>
        <v>1.9256861906191882E-2</v>
      </c>
      <c r="AC10" s="8">
        <f t="shared" si="6"/>
        <v>0.33314112646965888</v>
      </c>
      <c r="AD10" s="54">
        <f t="shared" si="7"/>
        <v>0.5943466238253271</v>
      </c>
      <c r="AE10" s="54">
        <f t="shared" si="8"/>
        <v>0</v>
      </c>
    </row>
    <row r="11" spans="3:31" x14ac:dyDescent="0.25">
      <c r="C11" s="5" t="s">
        <v>24</v>
      </c>
      <c r="D11" s="5" t="s">
        <v>18</v>
      </c>
      <c r="E11" s="4">
        <v>155</v>
      </c>
      <c r="F11" s="5" t="s">
        <v>19</v>
      </c>
      <c r="G11" s="5" t="s">
        <v>29</v>
      </c>
      <c r="H11" s="3" t="str">
        <f t="shared" si="1"/>
        <v>C</v>
      </c>
      <c r="I11" s="7">
        <v>40909</v>
      </c>
      <c r="J11" s="7">
        <v>41274</v>
      </c>
      <c r="K11" s="14">
        <v>1.37532291607944</v>
      </c>
      <c r="L11" s="7">
        <v>40892</v>
      </c>
      <c r="M11" s="4">
        <v>45</v>
      </c>
      <c r="N11" s="4">
        <v>43.788048724954599</v>
      </c>
      <c r="O11" s="9">
        <v>0.31186378734126702</v>
      </c>
      <c r="P11" s="14">
        <v>0.417710018980123</v>
      </c>
      <c r="Q11" s="5" t="s">
        <v>26</v>
      </c>
      <c r="R11" s="5" t="s">
        <v>30</v>
      </c>
      <c r="S11" s="4">
        <v>4.1615956875036204</v>
      </c>
      <c r="T11" s="23">
        <v>1.4444728711645631</v>
      </c>
      <c r="U11" s="4">
        <f t="shared" si="0"/>
        <v>1.4444728711645632E-2</v>
      </c>
      <c r="V11" s="27">
        <v>1.9254966851331299E-2</v>
      </c>
      <c r="W11" s="26">
        <f t="shared" si="9"/>
        <v>1.3753229163172624</v>
      </c>
      <c r="X11" s="3">
        <f t="shared" si="2"/>
        <v>1.7292123288825678E-10</v>
      </c>
      <c r="Y11" s="26">
        <f t="shared" si="3"/>
        <v>0.41771001899475113</v>
      </c>
      <c r="Z11" s="4">
        <f t="shared" si="4"/>
        <v>3.5019764865751313E-11</v>
      </c>
      <c r="AA11" s="8">
        <v>1.9256861906191882</v>
      </c>
      <c r="AB11" s="8">
        <f t="shared" si="5"/>
        <v>1.9256861906191882E-2</v>
      </c>
      <c r="AC11" s="8">
        <f t="shared" si="6"/>
        <v>0.33314112646965888</v>
      </c>
      <c r="AD11" s="54">
        <f t="shared" si="7"/>
        <v>0.31186378734126796</v>
      </c>
      <c r="AE11" s="54">
        <f t="shared" si="8"/>
        <v>3.1086244689504383E-15</v>
      </c>
    </row>
    <row r="12" spans="3:31" x14ac:dyDescent="0.25">
      <c r="C12" s="5" t="s">
        <v>24</v>
      </c>
      <c r="D12" s="5" t="s">
        <v>18</v>
      </c>
      <c r="E12" s="4">
        <v>155</v>
      </c>
      <c r="F12" s="5" t="s">
        <v>19</v>
      </c>
      <c r="G12" s="5" t="s">
        <v>29</v>
      </c>
      <c r="H12" s="3" t="str">
        <f t="shared" si="1"/>
        <v>C</v>
      </c>
      <c r="I12" s="7">
        <v>40909</v>
      </c>
      <c r="J12" s="7">
        <v>41274</v>
      </c>
      <c r="K12" s="14">
        <v>1.37532291607944</v>
      </c>
      <c r="L12" s="7">
        <v>40892</v>
      </c>
      <c r="M12" s="4">
        <v>45</v>
      </c>
      <c r="N12" s="4">
        <v>43.788048724954599</v>
      </c>
      <c r="O12" s="9">
        <v>0.31186378734126702</v>
      </c>
      <c r="P12" s="14">
        <v>0.417710018980123</v>
      </c>
      <c r="Q12" s="5" t="s">
        <v>26</v>
      </c>
      <c r="R12" s="5" t="s">
        <v>30</v>
      </c>
      <c r="S12" s="4">
        <v>4.1615956875036204</v>
      </c>
      <c r="T12" s="23">
        <v>1.4444728711645631</v>
      </c>
      <c r="U12" s="4">
        <f t="shared" si="0"/>
        <v>1.4444728711645632E-2</v>
      </c>
      <c r="V12" s="27">
        <v>1.9254966851331299E-2</v>
      </c>
      <c r="W12" s="26">
        <f t="shared" si="9"/>
        <v>1.3753229163172624</v>
      </c>
      <c r="X12" s="3">
        <f t="shared" si="2"/>
        <v>1.7292123288825678E-10</v>
      </c>
      <c r="Y12" s="26">
        <f t="shared" si="3"/>
        <v>0.41771001899475113</v>
      </c>
      <c r="Z12" s="4">
        <f t="shared" si="4"/>
        <v>3.5019764865751313E-11</v>
      </c>
      <c r="AA12" s="8">
        <v>1.9256861906191882</v>
      </c>
      <c r="AB12" s="8">
        <f t="shared" si="5"/>
        <v>1.9256861906191882E-2</v>
      </c>
      <c r="AC12" s="8">
        <f t="shared" si="6"/>
        <v>0.33314112646965888</v>
      </c>
      <c r="AD12" s="54">
        <f t="shared" si="7"/>
        <v>0.31186378734126796</v>
      </c>
      <c r="AE12" s="54">
        <f t="shared" si="8"/>
        <v>3.1086244689504383E-15</v>
      </c>
    </row>
    <row r="13" spans="3:31" x14ac:dyDescent="0.25">
      <c r="C13" s="5" t="s">
        <v>24</v>
      </c>
      <c r="D13" s="5" t="s">
        <v>18</v>
      </c>
      <c r="E13" s="4">
        <v>155</v>
      </c>
      <c r="F13" s="5" t="s">
        <v>19</v>
      </c>
      <c r="G13" s="5" t="s">
        <v>31</v>
      </c>
      <c r="H13" s="3" t="str">
        <f t="shared" si="1"/>
        <v>P</v>
      </c>
      <c r="I13" s="7">
        <v>40909</v>
      </c>
      <c r="J13" s="7">
        <v>41274</v>
      </c>
      <c r="K13" s="14">
        <v>2.5725025041416498</v>
      </c>
      <c r="L13" s="7">
        <v>40892</v>
      </c>
      <c r="M13" s="4">
        <v>45</v>
      </c>
      <c r="N13" s="4">
        <v>43.788048724954599</v>
      </c>
      <c r="O13" s="9">
        <v>0.31186378734126702</v>
      </c>
      <c r="P13" s="14">
        <v>-0.57010163047526397</v>
      </c>
      <c r="Q13" s="5" t="s">
        <v>26</v>
      </c>
      <c r="R13" s="5" t="s">
        <v>30</v>
      </c>
      <c r="S13" s="4">
        <v>-5.7111852037281601</v>
      </c>
      <c r="T13" s="23">
        <v>1.4444728711645631</v>
      </c>
      <c r="U13" s="4">
        <f t="shared" si="0"/>
        <v>1.4444728711645632E-2</v>
      </c>
      <c r="V13" s="27">
        <v>1.9254966851331299E-2</v>
      </c>
      <c r="W13" s="26">
        <f t="shared" si="9"/>
        <v>2.5725025043796013</v>
      </c>
      <c r="X13" s="3">
        <f t="shared" si="2"/>
        <v>9.2498009252039992E-11</v>
      </c>
      <c r="Y13" s="26">
        <f t="shared" si="3"/>
        <v>-0.57010163046078621</v>
      </c>
      <c r="Z13" s="4">
        <f t="shared" si="4"/>
        <v>-2.5395019420670906E-11</v>
      </c>
      <c r="AA13" s="8">
        <v>1.9256861906191882</v>
      </c>
      <c r="AB13" s="8">
        <f t="shared" si="5"/>
        <v>1.9256861906191882E-2</v>
      </c>
      <c r="AC13" s="8">
        <f t="shared" si="6"/>
        <v>0.33314112646965888</v>
      </c>
      <c r="AD13" s="54">
        <f t="shared" si="7"/>
        <v>0.31186378734126829</v>
      </c>
      <c r="AE13" s="54">
        <f t="shared" si="8"/>
        <v>3.9968028886505635E-15</v>
      </c>
    </row>
    <row r="14" spans="3:31" x14ac:dyDescent="0.25">
      <c r="C14" s="5" t="s">
        <v>24</v>
      </c>
      <c r="D14" s="5" t="s">
        <v>18</v>
      </c>
      <c r="E14" s="4">
        <v>155</v>
      </c>
      <c r="F14" s="5" t="s">
        <v>19</v>
      </c>
      <c r="G14" s="5" t="s">
        <v>31</v>
      </c>
      <c r="H14" s="3" t="str">
        <f t="shared" si="1"/>
        <v>P</v>
      </c>
      <c r="I14" s="7">
        <v>40909</v>
      </c>
      <c r="J14" s="7">
        <v>41274</v>
      </c>
      <c r="K14" s="14">
        <v>2.5725025041416498</v>
      </c>
      <c r="L14" s="7">
        <v>40892</v>
      </c>
      <c r="M14" s="4">
        <v>45</v>
      </c>
      <c r="N14" s="4">
        <v>43.788048724954599</v>
      </c>
      <c r="O14" s="9">
        <v>0.31186378734126702</v>
      </c>
      <c r="P14" s="14">
        <v>-0.57010163047526397</v>
      </c>
      <c r="Q14" s="5" t="s">
        <v>26</v>
      </c>
      <c r="R14" s="5" t="s">
        <v>30</v>
      </c>
      <c r="S14" s="4">
        <v>-5.7111852037281601</v>
      </c>
      <c r="T14" s="23">
        <v>1.4444728711645631</v>
      </c>
      <c r="U14" s="4">
        <f t="shared" si="0"/>
        <v>1.4444728711645632E-2</v>
      </c>
      <c r="V14" s="27">
        <v>1.9254966851331299E-2</v>
      </c>
      <c r="W14" s="26">
        <f t="shared" si="9"/>
        <v>2.5725025043796013</v>
      </c>
      <c r="X14" s="3">
        <f t="shared" si="2"/>
        <v>9.2498009252039992E-11</v>
      </c>
      <c r="Y14" s="26">
        <f t="shared" si="3"/>
        <v>-0.57010163046078621</v>
      </c>
      <c r="Z14" s="4">
        <f t="shared" si="4"/>
        <v>-2.5395019420670906E-11</v>
      </c>
      <c r="AA14" s="8">
        <v>1.9256861906191882</v>
      </c>
      <c r="AB14" s="8">
        <f t="shared" si="5"/>
        <v>1.9256861906191882E-2</v>
      </c>
      <c r="AC14" s="8">
        <f t="shared" si="6"/>
        <v>0.33314112646965888</v>
      </c>
      <c r="AD14" s="54">
        <f t="shared" si="7"/>
        <v>0.31186378734126829</v>
      </c>
      <c r="AE14" s="54">
        <f t="shared" si="8"/>
        <v>3.9968028886505635E-15</v>
      </c>
    </row>
    <row r="15" spans="3:31" x14ac:dyDescent="0.25">
      <c r="C15" s="5" t="s">
        <v>24</v>
      </c>
      <c r="D15" s="5" t="s">
        <v>18</v>
      </c>
      <c r="E15" s="4">
        <v>155</v>
      </c>
      <c r="F15" s="5" t="s">
        <v>19</v>
      </c>
      <c r="G15" s="5" t="s">
        <v>29</v>
      </c>
      <c r="H15" s="3" t="str">
        <f t="shared" si="1"/>
        <v>C</v>
      </c>
      <c r="I15" s="7">
        <v>40909</v>
      </c>
      <c r="J15" s="7">
        <v>41274</v>
      </c>
      <c r="K15" s="14">
        <v>0.32406919914910298</v>
      </c>
      <c r="L15" s="7">
        <v>40892</v>
      </c>
      <c r="M15" s="4">
        <v>45</v>
      </c>
      <c r="N15" s="4">
        <v>42.7880487249544</v>
      </c>
      <c r="O15" s="9">
        <v>0.178501840977208</v>
      </c>
      <c r="P15" s="14">
        <v>0.21712546942119701</v>
      </c>
      <c r="Q15" s="5" t="s">
        <v>26</v>
      </c>
      <c r="R15" s="5" t="s">
        <v>30</v>
      </c>
      <c r="S15" s="4">
        <v>2.1426087803509999</v>
      </c>
      <c r="T15" s="23">
        <v>1.4444728711645631</v>
      </c>
      <c r="U15" s="4">
        <f t="shared" si="0"/>
        <v>1.4444728711645632E-2</v>
      </c>
      <c r="V15" s="27">
        <v>1.9254966851331299E-2</v>
      </c>
      <c r="W15" s="26">
        <f t="shared" si="9"/>
        <v>0.32406919975307041</v>
      </c>
      <c r="X15" s="3">
        <f t="shared" si="2"/>
        <v>1.8636989729259312E-9</v>
      </c>
      <c r="Y15" s="26">
        <f t="shared" si="3"/>
        <v>0.2171254694492244</v>
      </c>
      <c r="Z15" s="4">
        <f t="shared" si="4"/>
        <v>1.2908385471632755E-10</v>
      </c>
      <c r="AA15" s="8">
        <v>1.9256861906191882</v>
      </c>
      <c r="AB15" s="8">
        <f t="shared" si="5"/>
        <v>1.9256861906191882E-2</v>
      </c>
      <c r="AC15" s="8">
        <f t="shared" si="6"/>
        <v>0.33314112646965888</v>
      </c>
      <c r="AD15" s="54">
        <f t="shared" si="7"/>
        <v>0.17850184097720775</v>
      </c>
      <c r="AE15" s="54">
        <f t="shared" si="8"/>
        <v>-1.4432899320127035E-15</v>
      </c>
    </row>
    <row r="16" spans="3:31" x14ac:dyDescent="0.25">
      <c r="C16" s="5" t="s">
        <v>24</v>
      </c>
      <c r="D16" s="5" t="s">
        <v>18</v>
      </c>
      <c r="E16" s="4">
        <v>155</v>
      </c>
      <c r="F16" s="5" t="s">
        <v>19</v>
      </c>
      <c r="G16" s="5" t="s">
        <v>29</v>
      </c>
      <c r="H16" s="3" t="str">
        <f t="shared" si="1"/>
        <v>C</v>
      </c>
      <c r="I16" s="7">
        <v>40909</v>
      </c>
      <c r="J16" s="7">
        <v>41274</v>
      </c>
      <c r="K16" s="14">
        <v>0.32406919914910298</v>
      </c>
      <c r="L16" s="7">
        <v>40892</v>
      </c>
      <c r="M16" s="4">
        <v>45</v>
      </c>
      <c r="N16" s="4">
        <v>42.7880487249544</v>
      </c>
      <c r="O16" s="9">
        <v>0.178501840977208</v>
      </c>
      <c r="P16" s="14">
        <v>0.21712546942119701</v>
      </c>
      <c r="Q16" s="5" t="s">
        <v>26</v>
      </c>
      <c r="R16" s="5" t="s">
        <v>30</v>
      </c>
      <c r="S16" s="4">
        <v>2.1426087803509999</v>
      </c>
      <c r="T16" s="23">
        <v>1.4444728711645631</v>
      </c>
      <c r="U16" s="4">
        <f t="shared" si="0"/>
        <v>1.4444728711645632E-2</v>
      </c>
      <c r="V16" s="27">
        <v>1.9254966851331299E-2</v>
      </c>
      <c r="W16" s="26">
        <f t="shared" si="9"/>
        <v>0.32406919975307041</v>
      </c>
      <c r="X16" s="3">
        <f t="shared" si="2"/>
        <v>1.8636989729259312E-9</v>
      </c>
      <c r="Y16" s="26">
        <f t="shared" si="3"/>
        <v>0.2171254694492244</v>
      </c>
      <c r="Z16" s="4">
        <f t="shared" si="4"/>
        <v>1.2908385471632755E-10</v>
      </c>
      <c r="AA16" s="8">
        <v>1.9256861906191882</v>
      </c>
      <c r="AB16" s="8">
        <f t="shared" si="5"/>
        <v>1.9256861906191882E-2</v>
      </c>
      <c r="AC16" s="8">
        <f t="shared" si="6"/>
        <v>0.33314112646965888</v>
      </c>
      <c r="AD16" s="54">
        <f t="shared" si="7"/>
        <v>0.17850184097720775</v>
      </c>
      <c r="AE16" s="54">
        <f t="shared" si="8"/>
        <v>-1.4432899320127035E-15</v>
      </c>
    </row>
    <row r="17" spans="3:31" x14ac:dyDescent="0.25">
      <c r="C17" s="5" t="s">
        <v>24</v>
      </c>
      <c r="D17" s="5" t="s">
        <v>18</v>
      </c>
      <c r="E17" s="4">
        <v>155</v>
      </c>
      <c r="F17" s="5" t="s">
        <v>19</v>
      </c>
      <c r="G17" s="5" t="s">
        <v>31</v>
      </c>
      <c r="H17" s="3" t="str">
        <f t="shared" si="1"/>
        <v>P</v>
      </c>
      <c r="I17" s="7">
        <v>40909</v>
      </c>
      <c r="J17" s="7">
        <v>41274</v>
      </c>
      <c r="K17" s="14">
        <v>2.50906043666689</v>
      </c>
      <c r="L17" s="7">
        <v>40892</v>
      </c>
      <c r="M17" s="4">
        <v>45</v>
      </c>
      <c r="N17" s="4">
        <v>42.7880487249544</v>
      </c>
      <c r="O17" s="9">
        <v>0.178501840977208</v>
      </c>
      <c r="P17" s="14">
        <v>-0.77068618003418898</v>
      </c>
      <c r="Q17" s="5" t="s">
        <v>26</v>
      </c>
      <c r="R17" s="5" t="s">
        <v>30</v>
      </c>
      <c r="S17" s="4">
        <v>-7.7301721108807699</v>
      </c>
      <c r="T17" s="23">
        <v>1.4444728711645631</v>
      </c>
      <c r="U17" s="4">
        <f t="shared" si="0"/>
        <v>1.4444728711645632E-2</v>
      </c>
      <c r="V17" s="27">
        <v>1.9254966851331299E-2</v>
      </c>
      <c r="W17" s="26">
        <f t="shared" si="9"/>
        <v>2.5090604372711427</v>
      </c>
      <c r="X17" s="3">
        <f t="shared" si="2"/>
        <v>2.4082824623405941E-10</v>
      </c>
      <c r="Y17" s="26">
        <f t="shared" si="3"/>
        <v>-0.77068618000631284</v>
      </c>
      <c r="Z17" s="4">
        <f t="shared" si="4"/>
        <v>-3.6170511030775288E-11</v>
      </c>
      <c r="AA17" s="8">
        <v>1.9256861906191882</v>
      </c>
      <c r="AB17" s="8">
        <f t="shared" si="5"/>
        <v>1.9256861906191882E-2</v>
      </c>
      <c r="AC17" s="8">
        <f t="shared" si="6"/>
        <v>0.33314112646965888</v>
      </c>
      <c r="AD17" s="54">
        <f t="shared" si="7"/>
        <v>0.17850184097720734</v>
      </c>
      <c r="AE17" s="54">
        <f t="shared" si="8"/>
        <v>-3.7747582837255322E-15</v>
      </c>
    </row>
    <row r="18" spans="3:31" x14ac:dyDescent="0.25">
      <c r="C18" s="5" t="s">
        <v>24</v>
      </c>
      <c r="D18" s="5" t="s">
        <v>18</v>
      </c>
      <c r="E18" s="4">
        <v>155</v>
      </c>
      <c r="F18" s="5" t="s">
        <v>19</v>
      </c>
      <c r="G18" s="5" t="s">
        <v>31</v>
      </c>
      <c r="H18" s="3" t="str">
        <f t="shared" si="1"/>
        <v>P</v>
      </c>
      <c r="I18" s="7">
        <v>40909</v>
      </c>
      <c r="J18" s="7">
        <v>41274</v>
      </c>
      <c r="K18" s="14">
        <v>2.50906043666689</v>
      </c>
      <c r="L18" s="7">
        <v>40892</v>
      </c>
      <c r="M18" s="4">
        <v>45</v>
      </c>
      <c r="N18" s="4">
        <v>42.7880487249544</v>
      </c>
      <c r="O18" s="9">
        <v>0.178501840977208</v>
      </c>
      <c r="P18" s="14">
        <v>-0.77068618003418898</v>
      </c>
      <c r="Q18" s="5" t="s">
        <v>26</v>
      </c>
      <c r="R18" s="5" t="s">
        <v>30</v>
      </c>
      <c r="S18" s="4">
        <v>-7.7301721108807699</v>
      </c>
      <c r="T18" s="23">
        <v>1.4444728711645631</v>
      </c>
      <c r="U18" s="4">
        <f t="shared" si="0"/>
        <v>1.4444728711645632E-2</v>
      </c>
      <c r="V18" s="27">
        <v>1.9254966851331299E-2</v>
      </c>
      <c r="W18" s="26">
        <f t="shared" si="9"/>
        <v>2.5090604372711427</v>
      </c>
      <c r="X18" s="3">
        <f t="shared" si="2"/>
        <v>2.4082824623405941E-10</v>
      </c>
      <c r="Y18" s="26">
        <f t="shared" si="3"/>
        <v>-0.77068618000631284</v>
      </c>
      <c r="Z18" s="4">
        <f t="shared" si="4"/>
        <v>-3.6170511030775288E-11</v>
      </c>
      <c r="AA18" s="8">
        <v>1.9256861906191882</v>
      </c>
      <c r="AB18" s="8">
        <f t="shared" si="5"/>
        <v>1.9256861906191882E-2</v>
      </c>
      <c r="AC18" s="8">
        <f t="shared" si="6"/>
        <v>0.33314112646965888</v>
      </c>
      <c r="AD18" s="54">
        <f t="shared" si="7"/>
        <v>0.17850184097720734</v>
      </c>
      <c r="AE18" s="54">
        <f t="shared" si="8"/>
        <v>-3.7747582837255322E-15</v>
      </c>
    </row>
    <row r="19" spans="3:31" x14ac:dyDescent="0.25">
      <c r="C19" s="5" t="s">
        <v>24</v>
      </c>
      <c r="D19" s="5" t="s">
        <v>18</v>
      </c>
      <c r="E19" s="4">
        <v>154</v>
      </c>
      <c r="F19" s="5" t="s">
        <v>19</v>
      </c>
      <c r="G19" s="5" t="s">
        <v>32</v>
      </c>
      <c r="H19" s="3" t="str">
        <f t="shared" si="1"/>
        <v>C</v>
      </c>
      <c r="I19" s="7">
        <v>41000</v>
      </c>
      <c r="J19" s="7">
        <v>41090</v>
      </c>
      <c r="K19" s="14">
        <v>8.6083409168277001</v>
      </c>
      <c r="L19" s="7">
        <v>40983</v>
      </c>
      <c r="M19" s="4">
        <v>45</v>
      </c>
      <c r="N19" s="4">
        <v>46.250000000000398</v>
      </c>
      <c r="O19" s="9">
        <v>0.73045124269521</v>
      </c>
      <c r="P19" s="14">
        <v>0.60626736051192098</v>
      </c>
      <c r="Q19" s="5" t="s">
        <v>33</v>
      </c>
      <c r="R19" s="5" t="s">
        <v>34</v>
      </c>
      <c r="S19" s="4">
        <v>6.0576773600638401</v>
      </c>
      <c r="T19" s="22">
        <v>1.6803828625654968</v>
      </c>
      <c r="U19" s="4">
        <f t="shared" si="0"/>
        <v>1.6803828625654969E-2</v>
      </c>
      <c r="V19" s="24">
        <v>1.8151625940463201E-2</v>
      </c>
      <c r="W19" s="26">
        <f t="shared" si="9"/>
        <v>8.6083409171743632</v>
      </c>
      <c r="X19" s="3">
        <f t="shared" si="2"/>
        <v>4.0270675683018453E-11</v>
      </c>
      <c r="Y19" s="26">
        <f t="shared" si="3"/>
        <v>0.60626736051476848</v>
      </c>
      <c r="Z19" s="4">
        <f t="shared" si="4"/>
        <v>4.6966874833742622E-12</v>
      </c>
      <c r="AB19" s="8">
        <f t="shared" si="5"/>
        <v>0</v>
      </c>
      <c r="AC19" s="8">
        <f t="shared" si="6"/>
        <v>-1</v>
      </c>
      <c r="AD19" s="54">
        <f t="shared" si="7"/>
        <v>0.73045124269520978</v>
      </c>
      <c r="AE19" s="54">
        <f t="shared" si="8"/>
        <v>0</v>
      </c>
    </row>
    <row r="20" spans="3:31" x14ac:dyDescent="0.25">
      <c r="C20" s="5" t="s">
        <v>24</v>
      </c>
      <c r="D20" s="5" t="s">
        <v>18</v>
      </c>
      <c r="E20" s="4">
        <v>154</v>
      </c>
      <c r="F20" s="5" t="s">
        <v>19</v>
      </c>
      <c r="G20" s="5" t="s">
        <v>32</v>
      </c>
      <c r="H20" s="3" t="str">
        <f t="shared" si="1"/>
        <v>C</v>
      </c>
      <c r="I20" s="7">
        <v>41000</v>
      </c>
      <c r="J20" s="7">
        <v>41090</v>
      </c>
      <c r="K20" s="14">
        <v>8.6083409168277001</v>
      </c>
      <c r="L20" s="7">
        <v>40983</v>
      </c>
      <c r="M20" s="4">
        <v>45</v>
      </c>
      <c r="N20" s="4">
        <v>46.250000000000398</v>
      </c>
      <c r="O20" s="9">
        <v>0.73045124269521</v>
      </c>
      <c r="P20" s="14">
        <v>0.60626736051192098</v>
      </c>
      <c r="Q20" s="5" t="s">
        <v>33</v>
      </c>
      <c r="R20" s="5" t="s">
        <v>34</v>
      </c>
      <c r="S20" s="4">
        <v>6.0576773600638401</v>
      </c>
      <c r="T20" s="22">
        <v>1.6803828625654968</v>
      </c>
      <c r="U20" s="4">
        <f t="shared" si="0"/>
        <v>1.6803828625654969E-2</v>
      </c>
      <c r="V20" s="27">
        <v>1.8151625940463201E-2</v>
      </c>
      <c r="W20" s="26">
        <f t="shared" si="9"/>
        <v>8.6083409171743632</v>
      </c>
      <c r="X20" s="3">
        <f t="shared" si="2"/>
        <v>4.0270675683018453E-11</v>
      </c>
      <c r="Y20" s="26">
        <f t="shared" si="3"/>
        <v>0.60626736051476848</v>
      </c>
      <c r="Z20" s="4">
        <f t="shared" si="4"/>
        <v>4.6966874833742622E-12</v>
      </c>
      <c r="AB20" s="8">
        <f t="shared" si="5"/>
        <v>0</v>
      </c>
      <c r="AC20" s="8">
        <f t="shared" si="6"/>
        <v>-1</v>
      </c>
      <c r="AD20" s="54">
        <f t="shared" si="7"/>
        <v>0.73045124269520978</v>
      </c>
      <c r="AE20" s="54">
        <f t="shared" si="8"/>
        <v>0</v>
      </c>
    </row>
    <row r="21" spans="3:31" x14ac:dyDescent="0.25">
      <c r="C21" s="5" t="s">
        <v>24</v>
      </c>
      <c r="D21" s="5" t="s">
        <v>18</v>
      </c>
      <c r="E21" s="4">
        <v>154</v>
      </c>
      <c r="F21" s="5" t="s">
        <v>19</v>
      </c>
      <c r="G21" s="5" t="s">
        <v>35</v>
      </c>
      <c r="H21" s="3" t="str">
        <f t="shared" si="1"/>
        <v>P</v>
      </c>
      <c r="I21" s="7">
        <v>41000</v>
      </c>
      <c r="J21" s="7">
        <v>41090</v>
      </c>
      <c r="K21" s="14">
        <v>7.3699352157631903</v>
      </c>
      <c r="L21" s="7">
        <v>40983</v>
      </c>
      <c r="M21" s="4">
        <v>45</v>
      </c>
      <c r="N21" s="4">
        <v>46.250000000000398</v>
      </c>
      <c r="O21" s="9">
        <v>0.73045124269521</v>
      </c>
      <c r="P21" s="14">
        <v>-0.38445720033937397</v>
      </c>
      <c r="Q21" s="5" t="s">
        <v>33</v>
      </c>
      <c r="R21" s="5" t="s">
        <v>34</v>
      </c>
      <c r="S21" s="4">
        <v>-3.8450866053958701</v>
      </c>
      <c r="T21" s="22">
        <v>1.6803828625654968</v>
      </c>
      <c r="U21" s="4">
        <f t="shared" si="0"/>
        <v>1.6803828625654969E-2</v>
      </c>
      <c r="V21" s="27">
        <v>1.8151625940463201E-2</v>
      </c>
      <c r="W21" s="26">
        <f t="shared" si="9"/>
        <v>7.3699352161098091</v>
      </c>
      <c r="X21" s="3">
        <f t="shared" si="2"/>
        <v>4.7031489813775806E-11</v>
      </c>
      <c r="Y21" s="26">
        <f t="shared" si="3"/>
        <v>-0.38445720033655933</v>
      </c>
      <c r="Z21" s="4">
        <f t="shared" si="4"/>
        <v>-7.3210326689832073E-12</v>
      </c>
      <c r="AB21" s="8">
        <f t="shared" si="5"/>
        <v>0</v>
      </c>
      <c r="AC21" s="8">
        <f t="shared" si="6"/>
        <v>-1</v>
      </c>
      <c r="AD21" s="54">
        <f t="shared" si="7"/>
        <v>0.73045124269521</v>
      </c>
      <c r="AE21" s="54">
        <f t="shared" si="8"/>
        <v>0</v>
      </c>
    </row>
    <row r="22" spans="3:31" x14ac:dyDescent="0.25">
      <c r="C22" s="5" t="s">
        <v>24</v>
      </c>
      <c r="D22" s="5" t="s">
        <v>18</v>
      </c>
      <c r="E22" s="4">
        <v>154</v>
      </c>
      <c r="F22" s="5" t="s">
        <v>19</v>
      </c>
      <c r="G22" s="5" t="s">
        <v>35</v>
      </c>
      <c r="H22" s="3" t="str">
        <f t="shared" si="1"/>
        <v>P</v>
      </c>
      <c r="I22" s="7">
        <v>41000</v>
      </c>
      <c r="J22" s="7">
        <v>41090</v>
      </c>
      <c r="K22" s="14">
        <v>7.3699352157631903</v>
      </c>
      <c r="L22" s="7">
        <v>40983</v>
      </c>
      <c r="M22" s="4">
        <v>45</v>
      </c>
      <c r="N22" s="4">
        <v>46.250000000000398</v>
      </c>
      <c r="O22" s="9">
        <v>0.73045124269521</v>
      </c>
      <c r="P22" s="14">
        <v>-0.38445720033937397</v>
      </c>
      <c r="Q22" s="5" t="s">
        <v>33</v>
      </c>
      <c r="R22" s="5" t="s">
        <v>34</v>
      </c>
      <c r="S22" s="4">
        <v>-3.8450866053958701</v>
      </c>
      <c r="T22" s="22">
        <v>1.6803828625654968</v>
      </c>
      <c r="U22" s="4">
        <f t="shared" si="0"/>
        <v>1.6803828625654969E-2</v>
      </c>
      <c r="V22" s="27">
        <v>1.8151625940463201E-2</v>
      </c>
      <c r="W22" s="26">
        <f t="shared" si="9"/>
        <v>7.3699352161098091</v>
      </c>
      <c r="X22" s="3">
        <f t="shared" si="2"/>
        <v>4.7031489813775806E-11</v>
      </c>
      <c r="Y22" s="26">
        <f t="shared" si="3"/>
        <v>-0.38445720033655933</v>
      </c>
      <c r="Z22" s="4">
        <f t="shared" si="4"/>
        <v>-7.3210326689832073E-12</v>
      </c>
      <c r="AB22" s="8">
        <f t="shared" si="5"/>
        <v>0</v>
      </c>
      <c r="AC22" s="8">
        <f t="shared" si="6"/>
        <v>-1</v>
      </c>
      <c r="AD22" s="54">
        <f t="shared" si="7"/>
        <v>0.73045124269521</v>
      </c>
      <c r="AE22" s="54">
        <f t="shared" si="8"/>
        <v>0</v>
      </c>
    </row>
    <row r="23" spans="3:31" x14ac:dyDescent="0.25">
      <c r="C23" s="5" t="s">
        <v>24</v>
      </c>
      <c r="D23" s="5" t="s">
        <v>18</v>
      </c>
      <c r="E23" s="4">
        <v>154</v>
      </c>
      <c r="F23" s="5" t="s">
        <v>19</v>
      </c>
      <c r="G23" s="5" t="s">
        <v>36</v>
      </c>
      <c r="H23" s="3" t="str">
        <f t="shared" si="1"/>
        <v>C</v>
      </c>
      <c r="I23" s="7">
        <v>41000</v>
      </c>
      <c r="J23" s="7">
        <v>41090</v>
      </c>
      <c r="K23" s="14">
        <v>2.4236932232069601</v>
      </c>
      <c r="L23" s="7">
        <v>40983</v>
      </c>
      <c r="M23" s="4">
        <v>45</v>
      </c>
      <c r="N23" s="4">
        <v>41.1000000000003</v>
      </c>
      <c r="O23" s="9">
        <v>0.39277563758550699</v>
      </c>
      <c r="P23" s="14">
        <v>0.39442004602535702</v>
      </c>
      <c r="Q23" s="5" t="s">
        <v>33</v>
      </c>
      <c r="R23" s="5" t="s">
        <v>37</v>
      </c>
      <c r="S23" s="4">
        <v>3.93538954797756</v>
      </c>
      <c r="T23" s="22">
        <v>1.6803828625654968</v>
      </c>
      <c r="U23" s="4">
        <f t="shared" si="0"/>
        <v>1.6803828625654969E-2</v>
      </c>
      <c r="V23" s="27">
        <v>1.8151625940463201E-2</v>
      </c>
      <c r="W23" s="26">
        <f t="shared" si="9"/>
        <v>2.4236932235904445</v>
      </c>
      <c r="X23" s="3">
        <f t="shared" si="2"/>
        <v>1.5822321230984926E-10</v>
      </c>
      <c r="Y23" s="26">
        <f t="shared" si="3"/>
        <v>0.3944200460334123</v>
      </c>
      <c r="Z23" s="4">
        <f t="shared" si="4"/>
        <v>2.0422996627189605E-11</v>
      </c>
      <c r="AB23" s="8">
        <f t="shared" si="5"/>
        <v>0</v>
      </c>
      <c r="AC23" s="8">
        <f t="shared" si="6"/>
        <v>-1</v>
      </c>
      <c r="AD23" s="54">
        <f t="shared" si="7"/>
        <v>0.39277563758550721</v>
      </c>
      <c r="AE23" s="54">
        <f t="shared" si="8"/>
        <v>0</v>
      </c>
    </row>
    <row r="24" spans="3:31" x14ac:dyDescent="0.25">
      <c r="C24" s="5" t="s">
        <v>24</v>
      </c>
      <c r="D24" s="5" t="s">
        <v>18</v>
      </c>
      <c r="E24" s="4">
        <v>154</v>
      </c>
      <c r="F24" s="5" t="s">
        <v>19</v>
      </c>
      <c r="G24" s="5" t="s">
        <v>36</v>
      </c>
      <c r="H24" s="3" t="str">
        <f t="shared" si="1"/>
        <v>C</v>
      </c>
      <c r="I24" s="7">
        <v>41000</v>
      </c>
      <c r="J24" s="7">
        <v>41090</v>
      </c>
      <c r="K24" s="14">
        <v>2.4236932232069601</v>
      </c>
      <c r="L24" s="7">
        <v>40983</v>
      </c>
      <c r="M24" s="4">
        <v>45</v>
      </c>
      <c r="N24" s="4">
        <v>41.1000000000003</v>
      </c>
      <c r="O24" s="9">
        <v>0.39277563758550699</v>
      </c>
      <c r="P24" s="14">
        <v>0.39442004602535702</v>
      </c>
      <c r="Q24" s="5" t="s">
        <v>33</v>
      </c>
      <c r="R24" s="5" t="s">
        <v>37</v>
      </c>
      <c r="S24" s="4">
        <v>3.93538954797756</v>
      </c>
      <c r="T24" s="22">
        <v>1.6803828625654968</v>
      </c>
      <c r="U24" s="4">
        <f t="shared" si="0"/>
        <v>1.6803828625654969E-2</v>
      </c>
      <c r="V24" s="27">
        <v>1.8151625940463201E-2</v>
      </c>
      <c r="W24" s="26">
        <f t="shared" si="9"/>
        <v>2.4236932235904445</v>
      </c>
      <c r="X24" s="3">
        <f t="shared" si="2"/>
        <v>1.5822321230984926E-10</v>
      </c>
      <c r="Y24" s="26">
        <f t="shared" si="3"/>
        <v>0.3944200460334123</v>
      </c>
      <c r="Z24" s="4">
        <f t="shared" si="4"/>
        <v>2.0422996627189605E-11</v>
      </c>
      <c r="AB24" s="8">
        <f t="shared" si="5"/>
        <v>0</v>
      </c>
      <c r="AC24" s="8">
        <f t="shared" si="6"/>
        <v>-1</v>
      </c>
      <c r="AD24" s="54">
        <f t="shared" si="7"/>
        <v>0.39277563758550721</v>
      </c>
      <c r="AE24" s="54">
        <f t="shared" si="8"/>
        <v>0</v>
      </c>
    </row>
    <row r="25" spans="3:31" x14ac:dyDescent="0.25">
      <c r="C25" s="5" t="s">
        <v>24</v>
      </c>
      <c r="D25" s="5" t="s">
        <v>18</v>
      </c>
      <c r="E25" s="4">
        <v>154</v>
      </c>
      <c r="F25" s="5" t="s">
        <v>19</v>
      </c>
      <c r="G25" s="5" t="s">
        <v>38</v>
      </c>
      <c r="H25" s="3" t="str">
        <f t="shared" si="1"/>
        <v>P</v>
      </c>
      <c r="I25" s="7">
        <v>41000</v>
      </c>
      <c r="J25" s="7">
        <v>41090</v>
      </c>
      <c r="K25" s="14">
        <v>6.28751901052674</v>
      </c>
      <c r="L25" s="7">
        <v>40983</v>
      </c>
      <c r="M25" s="4">
        <v>45</v>
      </c>
      <c r="N25" s="4">
        <v>41.1000000000003</v>
      </c>
      <c r="O25" s="9">
        <v>0.39277563758550699</v>
      </c>
      <c r="P25" s="14">
        <v>-0.59630451482593805</v>
      </c>
      <c r="Q25" s="5" t="s">
        <v>33</v>
      </c>
      <c r="R25" s="5" t="s">
        <v>37</v>
      </c>
      <c r="S25" s="4">
        <v>-5.9673744174821604</v>
      </c>
      <c r="T25" s="22">
        <v>1.6803828625654968</v>
      </c>
      <c r="U25" s="4">
        <f t="shared" si="0"/>
        <v>1.6803828625654969E-2</v>
      </c>
      <c r="V25" s="27">
        <v>1.8151625940463201E-2</v>
      </c>
      <c r="W25" s="26">
        <f t="shared" si="9"/>
        <v>6.2875190109103247</v>
      </c>
      <c r="X25" s="3">
        <f t="shared" si="2"/>
        <v>6.1007421336967127E-11</v>
      </c>
      <c r="Y25" s="26">
        <f t="shared" si="3"/>
        <v>-0.59630451481791569</v>
      </c>
      <c r="Z25" s="4">
        <f t="shared" si="4"/>
        <v>-1.3453460567802722E-11</v>
      </c>
      <c r="AB25" s="8">
        <f t="shared" si="5"/>
        <v>0</v>
      </c>
      <c r="AC25" s="8">
        <f t="shared" si="6"/>
        <v>-1</v>
      </c>
      <c r="AD25" s="54">
        <f t="shared" si="7"/>
        <v>0.39277563758550726</v>
      </c>
      <c r="AE25" s="54">
        <f t="shared" si="8"/>
        <v>0</v>
      </c>
    </row>
    <row r="26" spans="3:31" x14ac:dyDescent="0.25">
      <c r="C26" s="5" t="s">
        <v>24</v>
      </c>
      <c r="D26" s="5" t="s">
        <v>18</v>
      </c>
      <c r="E26" s="4">
        <v>154</v>
      </c>
      <c r="F26" s="5" t="s">
        <v>19</v>
      </c>
      <c r="G26" s="5" t="s">
        <v>38</v>
      </c>
      <c r="H26" s="3" t="str">
        <f t="shared" si="1"/>
        <v>P</v>
      </c>
      <c r="I26" s="7">
        <v>41000</v>
      </c>
      <c r="J26" s="7">
        <v>41090</v>
      </c>
      <c r="K26" s="14">
        <v>6.28751901052674</v>
      </c>
      <c r="L26" s="7">
        <v>40983</v>
      </c>
      <c r="M26" s="4">
        <v>45</v>
      </c>
      <c r="N26" s="4">
        <v>41.1000000000003</v>
      </c>
      <c r="O26" s="9">
        <v>0.39277563758550699</v>
      </c>
      <c r="P26" s="14">
        <v>-0.59630451482593805</v>
      </c>
      <c r="Q26" s="5" t="s">
        <v>33</v>
      </c>
      <c r="R26" s="5" t="s">
        <v>37</v>
      </c>
      <c r="S26" s="4">
        <v>-5.9673744174821604</v>
      </c>
      <c r="T26" s="22">
        <v>1.6803828625654968</v>
      </c>
      <c r="U26" s="4">
        <f t="shared" si="0"/>
        <v>1.6803828625654969E-2</v>
      </c>
      <c r="V26" s="27">
        <v>1.8151625940463201E-2</v>
      </c>
      <c r="W26" s="26">
        <f t="shared" si="9"/>
        <v>6.2875190109103247</v>
      </c>
      <c r="X26" s="3">
        <f t="shared" si="2"/>
        <v>6.1007421336967127E-11</v>
      </c>
      <c r="Y26" s="26">
        <f t="shared" si="3"/>
        <v>-0.59630451481791569</v>
      </c>
      <c r="Z26" s="4">
        <f t="shared" si="4"/>
        <v>-1.3453460567802722E-11</v>
      </c>
      <c r="AB26" s="8">
        <f t="shared" si="5"/>
        <v>0</v>
      </c>
      <c r="AC26" s="8">
        <f t="shared" si="6"/>
        <v>-1</v>
      </c>
      <c r="AD26" s="54">
        <f t="shared" si="7"/>
        <v>0.39277563758550726</v>
      </c>
      <c r="AE26" s="54">
        <f t="shared" si="8"/>
        <v>0</v>
      </c>
    </row>
    <row r="27" spans="3:31" x14ac:dyDescent="0.25">
      <c r="C27" s="5" t="s">
        <v>24</v>
      </c>
      <c r="D27" s="5" t="s">
        <v>18</v>
      </c>
      <c r="E27" s="4">
        <v>154</v>
      </c>
      <c r="F27" s="5" t="s">
        <v>19</v>
      </c>
      <c r="G27" s="5" t="s">
        <v>36</v>
      </c>
      <c r="H27" s="3" t="str">
        <f t="shared" si="1"/>
        <v>C</v>
      </c>
      <c r="I27" s="7">
        <v>41000</v>
      </c>
      <c r="J27" s="7">
        <v>41090</v>
      </c>
      <c r="K27" s="14">
        <v>0.71835310435541699</v>
      </c>
      <c r="L27" s="7">
        <v>40983</v>
      </c>
      <c r="M27" s="4">
        <v>45</v>
      </c>
      <c r="N27" s="4">
        <v>40.839999999999797</v>
      </c>
      <c r="O27" s="9">
        <v>0.21171481849828999</v>
      </c>
      <c r="P27" s="14">
        <v>0.24408147776407901</v>
      </c>
      <c r="Q27" s="5" t="s">
        <v>33</v>
      </c>
      <c r="R27" s="5" t="s">
        <v>37</v>
      </c>
      <c r="S27" s="4">
        <v>2.4303131947389001</v>
      </c>
      <c r="T27" s="22">
        <v>1.6803828625654968</v>
      </c>
      <c r="U27" s="4">
        <f t="shared" si="0"/>
        <v>1.6803828625654969E-2</v>
      </c>
      <c r="V27" s="27">
        <v>1.8151625940463201E-2</v>
      </c>
      <c r="W27" s="26">
        <f t="shared" si="9"/>
        <v>0.71835310421421239</v>
      </c>
      <c r="X27" s="3">
        <f t="shared" si="2"/>
        <v>-1.9656709593363075E-10</v>
      </c>
      <c r="Y27" s="26">
        <f t="shared" si="3"/>
        <v>0.24408147775961225</v>
      </c>
      <c r="Z27" s="4">
        <f t="shared" si="4"/>
        <v>-1.8300250204106305E-11</v>
      </c>
      <c r="AB27" s="8">
        <f t="shared" si="5"/>
        <v>0</v>
      </c>
      <c r="AC27" s="8">
        <f t="shared" si="6"/>
        <v>-1</v>
      </c>
      <c r="AD27" s="54">
        <f t="shared" si="7"/>
        <v>0.21171481849828938</v>
      </c>
      <c r="AE27" s="54">
        <f t="shared" si="8"/>
        <v>-2.886579864025407E-15</v>
      </c>
    </row>
    <row r="28" spans="3:31" x14ac:dyDescent="0.25">
      <c r="C28" s="5" t="s">
        <v>24</v>
      </c>
      <c r="D28" s="5" t="s">
        <v>18</v>
      </c>
      <c r="E28" s="4">
        <v>154</v>
      </c>
      <c r="F28" s="5" t="s">
        <v>19</v>
      </c>
      <c r="G28" s="5" t="s">
        <v>36</v>
      </c>
      <c r="H28" s="3" t="str">
        <f t="shared" si="1"/>
        <v>C</v>
      </c>
      <c r="I28" s="7">
        <v>41000</v>
      </c>
      <c r="J28" s="7">
        <v>41090</v>
      </c>
      <c r="K28" s="14">
        <v>0.71835310435541699</v>
      </c>
      <c r="L28" s="7">
        <v>40983</v>
      </c>
      <c r="M28" s="4">
        <v>45</v>
      </c>
      <c r="N28" s="4">
        <v>40.839999999999797</v>
      </c>
      <c r="O28" s="9">
        <v>0.21171481849828999</v>
      </c>
      <c r="P28" s="14">
        <v>0.24408147776407901</v>
      </c>
      <c r="Q28" s="5" t="s">
        <v>33</v>
      </c>
      <c r="R28" s="5" t="s">
        <v>37</v>
      </c>
      <c r="S28" s="4">
        <v>2.4303131947389001</v>
      </c>
      <c r="T28" s="22">
        <v>1.6803828625654968</v>
      </c>
      <c r="U28" s="4">
        <f t="shared" si="0"/>
        <v>1.6803828625654969E-2</v>
      </c>
      <c r="V28" s="27">
        <v>1.8151625940463201E-2</v>
      </c>
      <c r="W28" s="26">
        <f t="shared" si="9"/>
        <v>0.71835310421421239</v>
      </c>
      <c r="X28" s="3">
        <f t="shared" si="2"/>
        <v>-1.9656709593363075E-10</v>
      </c>
      <c r="Y28" s="26">
        <f t="shared" si="3"/>
        <v>0.24408147775961225</v>
      </c>
      <c r="Z28" s="4">
        <f t="shared" si="4"/>
        <v>-1.8300250204106305E-11</v>
      </c>
      <c r="AB28" s="8">
        <f t="shared" si="5"/>
        <v>0</v>
      </c>
      <c r="AC28" s="8">
        <f t="shared" si="6"/>
        <v>-1</v>
      </c>
      <c r="AD28" s="54">
        <f t="shared" si="7"/>
        <v>0.21171481849828938</v>
      </c>
      <c r="AE28" s="54">
        <f t="shared" si="8"/>
        <v>-2.886579864025407E-15</v>
      </c>
    </row>
    <row r="29" spans="3:31" x14ac:dyDescent="0.25">
      <c r="C29" s="5" t="s">
        <v>24</v>
      </c>
      <c r="D29" s="5" t="s">
        <v>18</v>
      </c>
      <c r="E29" s="4">
        <v>154</v>
      </c>
      <c r="F29" s="5" t="s">
        <v>19</v>
      </c>
      <c r="G29" s="5" t="s">
        <v>38</v>
      </c>
      <c r="H29" s="3" t="str">
        <f t="shared" si="1"/>
        <v>P</v>
      </c>
      <c r="I29" s="7">
        <v>41000</v>
      </c>
      <c r="J29" s="7">
        <v>41090</v>
      </c>
      <c r="K29" s="14">
        <v>4.8397672774970397</v>
      </c>
      <c r="L29" s="7">
        <v>40983</v>
      </c>
      <c r="M29" s="4">
        <v>45</v>
      </c>
      <c r="N29" s="4">
        <v>40.839999999999797</v>
      </c>
      <c r="O29" s="9">
        <v>0.21171481849828999</v>
      </c>
      <c r="P29" s="14">
        <v>-0.74664308308721505</v>
      </c>
      <c r="Q29" s="5" t="s">
        <v>33</v>
      </c>
      <c r="R29" s="5" t="s">
        <v>37</v>
      </c>
      <c r="S29" s="4">
        <v>-7.4724507707208199</v>
      </c>
      <c r="T29" s="22">
        <v>1.6803828625654968</v>
      </c>
      <c r="U29" s="4">
        <f t="shared" si="0"/>
        <v>1.6803828625654969E-2</v>
      </c>
      <c r="V29" s="27">
        <v>1.8151625940463201E-2</v>
      </c>
      <c r="W29" s="26">
        <f t="shared" si="9"/>
        <v>4.8397672773559322</v>
      </c>
      <c r="X29" s="3">
        <f t="shared" si="2"/>
        <v>-2.9155899916588623E-11</v>
      </c>
      <c r="Y29" s="26">
        <f t="shared" si="3"/>
        <v>-0.74664308309171568</v>
      </c>
      <c r="Z29" s="4">
        <f t="shared" si="4"/>
        <v>6.0278448898998249E-12</v>
      </c>
      <c r="AB29" s="8">
        <f t="shared" si="5"/>
        <v>0</v>
      </c>
      <c r="AC29" s="8">
        <f t="shared" si="6"/>
        <v>-1</v>
      </c>
      <c r="AD29" s="54">
        <f t="shared" si="7"/>
        <v>0.21171481849828891</v>
      </c>
      <c r="AE29" s="54">
        <f t="shared" si="8"/>
        <v>-5.1070259132757201E-15</v>
      </c>
    </row>
    <row r="30" spans="3:31" x14ac:dyDescent="0.25">
      <c r="C30" s="5" t="s">
        <v>24</v>
      </c>
      <c r="D30" s="5" t="s">
        <v>18</v>
      </c>
      <c r="E30" s="4">
        <v>154</v>
      </c>
      <c r="F30" s="5" t="s">
        <v>19</v>
      </c>
      <c r="G30" s="5" t="s">
        <v>38</v>
      </c>
      <c r="H30" s="3" t="str">
        <f t="shared" si="1"/>
        <v>P</v>
      </c>
      <c r="I30" s="7">
        <v>41000</v>
      </c>
      <c r="J30" s="7">
        <v>41090</v>
      </c>
      <c r="K30" s="14">
        <v>4.8397672774970397</v>
      </c>
      <c r="L30" s="7">
        <v>40983</v>
      </c>
      <c r="M30" s="4">
        <v>45</v>
      </c>
      <c r="N30" s="4">
        <v>40.839999999999797</v>
      </c>
      <c r="O30" s="9">
        <v>0.21171481849828999</v>
      </c>
      <c r="P30" s="14">
        <v>-0.74664308308721505</v>
      </c>
      <c r="Q30" s="5" t="s">
        <v>33</v>
      </c>
      <c r="R30" s="5" t="s">
        <v>37</v>
      </c>
      <c r="S30" s="4">
        <v>-7.4724507707208199</v>
      </c>
      <c r="T30" s="22">
        <v>1.6803828625654968</v>
      </c>
      <c r="U30" s="4">
        <f t="shared" si="0"/>
        <v>1.6803828625654969E-2</v>
      </c>
      <c r="V30" s="27">
        <v>1.8151625940463201E-2</v>
      </c>
      <c r="W30" s="26">
        <f t="shared" si="9"/>
        <v>4.8397672773559322</v>
      </c>
      <c r="X30" s="3">
        <f t="shared" si="2"/>
        <v>-2.9155899916588623E-11</v>
      </c>
      <c r="Y30" s="26">
        <f t="shared" si="3"/>
        <v>-0.74664308309171568</v>
      </c>
      <c r="Z30" s="4">
        <f t="shared" si="4"/>
        <v>6.0278448898998249E-12</v>
      </c>
      <c r="AB30" s="8">
        <f t="shared" si="5"/>
        <v>0</v>
      </c>
      <c r="AC30" s="8">
        <f t="shared" si="6"/>
        <v>-1</v>
      </c>
      <c r="AD30" s="54">
        <f t="shared" si="7"/>
        <v>0.21171481849828891</v>
      </c>
      <c r="AE30" s="54">
        <f t="shared" si="8"/>
        <v>-5.1070259132757201E-15</v>
      </c>
    </row>
    <row r="31" spans="3:31" x14ac:dyDescent="0.25">
      <c r="C31" s="5" t="s">
        <v>24</v>
      </c>
      <c r="D31" s="5" t="s">
        <v>18</v>
      </c>
      <c r="E31" s="4">
        <v>153</v>
      </c>
      <c r="F31" s="5" t="s">
        <v>19</v>
      </c>
      <c r="G31" s="5" t="s">
        <v>39</v>
      </c>
      <c r="H31" s="3" t="str">
        <f t="shared" si="1"/>
        <v>C</v>
      </c>
      <c r="I31" s="7">
        <v>41061</v>
      </c>
      <c r="J31" s="7">
        <v>41090</v>
      </c>
      <c r="K31" s="14">
        <v>9.7167559892645805</v>
      </c>
      <c r="L31" s="7">
        <v>41046</v>
      </c>
      <c r="M31" s="4">
        <v>45</v>
      </c>
      <c r="N31" s="4">
        <v>44.949793254007801</v>
      </c>
      <c r="O31" s="9">
        <v>0.75334912097484996</v>
      </c>
      <c r="P31" s="14">
        <v>0.601862628069191</v>
      </c>
      <c r="Q31" s="5" t="s">
        <v>40</v>
      </c>
      <c r="R31" s="5" t="s">
        <v>41</v>
      </c>
      <c r="S31" s="4">
        <v>6.0139813521301004</v>
      </c>
      <c r="T31" s="21">
        <v>1.8187453991377642</v>
      </c>
      <c r="U31" s="4">
        <f t="shared" si="0"/>
        <v>1.8187453991377642E-2</v>
      </c>
      <c r="V31" s="27">
        <v>1.8882750826653898E-2</v>
      </c>
      <c r="W31" s="26">
        <f t="shared" si="9"/>
        <v>9.7167559895553115</v>
      </c>
      <c r="X31" s="3">
        <f t="shared" si="2"/>
        <v>2.9920510513647969E-11</v>
      </c>
      <c r="Y31" s="26">
        <f t="shared" si="3"/>
        <v>0.60186262807242885</v>
      </c>
      <c r="Z31" s="4">
        <f t="shared" si="4"/>
        <v>5.3796966881236585E-12</v>
      </c>
      <c r="AB31" s="8">
        <f t="shared" si="5"/>
        <v>0</v>
      </c>
      <c r="AC31" s="8">
        <f t="shared" si="6"/>
        <v>-1</v>
      </c>
      <c r="AD31" s="54">
        <f t="shared" si="7"/>
        <v>0.75334912097484985</v>
      </c>
      <c r="AE31" s="54">
        <f t="shared" si="8"/>
        <v>0</v>
      </c>
    </row>
    <row r="32" spans="3:31" x14ac:dyDescent="0.25">
      <c r="C32" s="5" t="s">
        <v>24</v>
      </c>
      <c r="D32" s="5" t="s">
        <v>18</v>
      </c>
      <c r="E32" s="4">
        <v>153</v>
      </c>
      <c r="F32" s="5" t="s">
        <v>19</v>
      </c>
      <c r="G32" s="5" t="s">
        <v>39</v>
      </c>
      <c r="H32" s="3" t="str">
        <f t="shared" si="1"/>
        <v>C</v>
      </c>
      <c r="I32" s="7">
        <v>41061</v>
      </c>
      <c r="J32" s="7">
        <v>41090</v>
      </c>
      <c r="K32" s="14">
        <v>9.7167559892645805</v>
      </c>
      <c r="L32" s="7">
        <v>41046</v>
      </c>
      <c r="M32" s="4">
        <v>45</v>
      </c>
      <c r="N32" s="4">
        <v>44.949793254007801</v>
      </c>
      <c r="O32" s="9">
        <v>0.75334912097484996</v>
      </c>
      <c r="P32" s="14">
        <v>0.601862628069191</v>
      </c>
      <c r="Q32" s="5" t="s">
        <v>40</v>
      </c>
      <c r="R32" s="5" t="s">
        <v>41</v>
      </c>
      <c r="S32" s="4">
        <v>6.0139813521301004</v>
      </c>
      <c r="T32" s="21">
        <v>1.8187453991377642</v>
      </c>
      <c r="U32" s="4">
        <f t="shared" si="0"/>
        <v>1.8187453991377642E-2</v>
      </c>
      <c r="V32" s="27">
        <v>1.8882750826653898E-2</v>
      </c>
      <c r="W32" s="26">
        <f t="shared" si="9"/>
        <v>9.7167559895553115</v>
      </c>
      <c r="X32" s="3">
        <f t="shared" si="2"/>
        <v>2.9920510513647969E-11</v>
      </c>
      <c r="Y32" s="26">
        <f t="shared" si="3"/>
        <v>0.60186262807242885</v>
      </c>
      <c r="Z32" s="4">
        <f t="shared" si="4"/>
        <v>5.3796966881236585E-12</v>
      </c>
      <c r="AB32" s="8">
        <f t="shared" si="5"/>
        <v>0</v>
      </c>
      <c r="AC32" s="8">
        <f t="shared" si="6"/>
        <v>-1</v>
      </c>
      <c r="AD32" s="54">
        <f t="shared" si="7"/>
        <v>0.75334912097484985</v>
      </c>
      <c r="AE32" s="54">
        <f t="shared" si="8"/>
        <v>0</v>
      </c>
    </row>
    <row r="33" spans="3:31" x14ac:dyDescent="0.25">
      <c r="C33" s="5" t="s">
        <v>24</v>
      </c>
      <c r="D33" s="5" t="s">
        <v>18</v>
      </c>
      <c r="E33" s="4">
        <v>153</v>
      </c>
      <c r="F33" s="5" t="s">
        <v>19</v>
      </c>
      <c r="G33" s="5" t="s">
        <v>42</v>
      </c>
      <c r="H33" s="3" t="str">
        <f t="shared" si="1"/>
        <v>P</v>
      </c>
      <c r="I33" s="7">
        <v>41061</v>
      </c>
      <c r="J33" s="7">
        <v>41090</v>
      </c>
      <c r="K33" s="14">
        <v>9.7663928306271597</v>
      </c>
      <c r="L33" s="7">
        <v>41046</v>
      </c>
      <c r="M33" s="4">
        <v>45</v>
      </c>
      <c r="N33" s="4">
        <v>44.949793254007801</v>
      </c>
      <c r="O33" s="9">
        <v>0.75334912097484996</v>
      </c>
      <c r="P33" s="14">
        <v>-0.38678621546019198</v>
      </c>
      <c r="Q33" s="5" t="s">
        <v>40</v>
      </c>
      <c r="R33" s="5" t="s">
        <v>41</v>
      </c>
      <c r="S33" s="4">
        <v>-3.8692713095619902</v>
      </c>
      <c r="T33" s="21">
        <v>1.8187453991377642</v>
      </c>
      <c r="U33" s="4">
        <f t="shared" si="0"/>
        <v>1.8187453991377642E-2</v>
      </c>
      <c r="V33" s="27">
        <v>1.8882750826653898E-2</v>
      </c>
      <c r="W33" s="26">
        <f t="shared" si="9"/>
        <v>9.7663928309178694</v>
      </c>
      <c r="X33" s="3">
        <f t="shared" si="2"/>
        <v>2.9766411557829997E-11</v>
      </c>
      <c r="Y33" s="26">
        <f t="shared" si="3"/>
        <v>-0.38678621545694924</v>
      </c>
      <c r="Z33" s="4">
        <f t="shared" si="4"/>
        <v>-8.3838491704568696E-12</v>
      </c>
      <c r="AB33" s="8">
        <f t="shared" si="5"/>
        <v>0</v>
      </c>
      <c r="AC33" s="8">
        <f t="shared" si="6"/>
        <v>-1</v>
      </c>
      <c r="AD33" s="54">
        <f t="shared" si="7"/>
        <v>0.75334912097484996</v>
      </c>
      <c r="AE33" s="54">
        <f t="shared" si="8"/>
        <v>0</v>
      </c>
    </row>
    <row r="34" spans="3:31" x14ac:dyDescent="0.25">
      <c r="C34" s="5" t="s">
        <v>24</v>
      </c>
      <c r="D34" s="5" t="s">
        <v>18</v>
      </c>
      <c r="E34" s="4">
        <v>153</v>
      </c>
      <c r="F34" s="5" t="s">
        <v>19</v>
      </c>
      <c r="G34" s="5" t="s">
        <v>42</v>
      </c>
      <c r="H34" s="3" t="str">
        <f t="shared" si="1"/>
        <v>P</v>
      </c>
      <c r="I34" s="7">
        <v>41061</v>
      </c>
      <c r="J34" s="7">
        <v>41090</v>
      </c>
      <c r="K34" s="14">
        <v>9.7663928306271597</v>
      </c>
      <c r="L34" s="7">
        <v>41046</v>
      </c>
      <c r="M34" s="4">
        <v>45</v>
      </c>
      <c r="N34" s="4">
        <v>44.949793254007801</v>
      </c>
      <c r="O34" s="9">
        <v>0.75334912097484996</v>
      </c>
      <c r="P34" s="14">
        <v>-0.38678621546019198</v>
      </c>
      <c r="Q34" s="5" t="s">
        <v>40</v>
      </c>
      <c r="R34" s="5" t="s">
        <v>41</v>
      </c>
      <c r="S34" s="4">
        <v>-3.8692713095619902</v>
      </c>
      <c r="T34" s="21">
        <v>1.8187453991377642</v>
      </c>
      <c r="U34" s="4">
        <f t="shared" si="0"/>
        <v>1.8187453991377642E-2</v>
      </c>
      <c r="V34" s="27">
        <v>1.8882750826653898E-2</v>
      </c>
      <c r="W34" s="26">
        <f t="shared" si="9"/>
        <v>9.7663928309178694</v>
      </c>
      <c r="X34" s="3">
        <f t="shared" si="2"/>
        <v>2.9766411557829997E-11</v>
      </c>
      <c r="Y34" s="26">
        <f t="shared" si="3"/>
        <v>-0.38678621545694924</v>
      </c>
      <c r="Z34" s="4">
        <f t="shared" si="4"/>
        <v>-8.3838491704568696E-12</v>
      </c>
      <c r="AB34" s="8">
        <f t="shared" si="5"/>
        <v>0</v>
      </c>
      <c r="AC34" s="8">
        <f t="shared" si="6"/>
        <v>-1</v>
      </c>
      <c r="AD34" s="54">
        <f t="shared" si="7"/>
        <v>0.75334912097484996</v>
      </c>
      <c r="AE34" s="54">
        <f t="shared" si="8"/>
        <v>0</v>
      </c>
    </row>
    <row r="35" spans="3:31" x14ac:dyDescent="0.25">
      <c r="C35" s="5" t="s">
        <v>24</v>
      </c>
      <c r="D35" s="5" t="s">
        <v>18</v>
      </c>
      <c r="E35" s="4">
        <v>153</v>
      </c>
      <c r="F35" s="5" t="s">
        <v>19</v>
      </c>
      <c r="G35" s="5" t="s">
        <v>43</v>
      </c>
      <c r="H35" s="3" t="str">
        <f t="shared" si="1"/>
        <v>C</v>
      </c>
      <c r="I35" s="7">
        <v>41061</v>
      </c>
      <c r="J35" s="7">
        <v>41090</v>
      </c>
      <c r="K35" s="14">
        <v>3.2059362488415801</v>
      </c>
      <c r="L35" s="7">
        <v>41046</v>
      </c>
      <c r="M35" s="4">
        <v>45</v>
      </c>
      <c r="N35" s="4">
        <v>40.3366666666669</v>
      </c>
      <c r="O35" s="9">
        <v>0.41963456642098501</v>
      </c>
      <c r="P35" s="14">
        <v>0.41667806150389602</v>
      </c>
      <c r="Q35" s="5" t="s">
        <v>40</v>
      </c>
      <c r="R35" s="5" t="s">
        <v>44</v>
      </c>
      <c r="S35" s="4">
        <v>4.1604678304192202</v>
      </c>
      <c r="T35" s="21">
        <v>1.8187453991377642</v>
      </c>
      <c r="U35" s="4">
        <f t="shared" si="0"/>
        <v>1.8187453991377642E-2</v>
      </c>
      <c r="V35" s="27">
        <v>1.8882750826653898E-2</v>
      </c>
      <c r="W35" s="26">
        <f t="shared" si="9"/>
        <v>3.2059362492566503</v>
      </c>
      <c r="X35" s="3">
        <f t="shared" si="2"/>
        <v>1.2946932415047741E-10</v>
      </c>
      <c r="Y35" s="26">
        <f t="shared" si="3"/>
        <v>0.41667806150892156</v>
      </c>
      <c r="Z35" s="4">
        <f t="shared" si="4"/>
        <v>1.2061018850317851E-11</v>
      </c>
      <c r="AB35" s="8">
        <f t="shared" si="5"/>
        <v>0</v>
      </c>
      <c r="AC35" s="8">
        <f t="shared" si="6"/>
        <v>-1</v>
      </c>
      <c r="AD35" s="54">
        <f t="shared" si="7"/>
        <v>0.41963456642098534</v>
      </c>
      <c r="AE35" s="54">
        <f t="shared" si="8"/>
        <v>0</v>
      </c>
    </row>
    <row r="36" spans="3:31" x14ac:dyDescent="0.25">
      <c r="C36" s="5" t="s">
        <v>24</v>
      </c>
      <c r="D36" s="5" t="s">
        <v>18</v>
      </c>
      <c r="E36" s="4">
        <v>153</v>
      </c>
      <c r="F36" s="5" t="s">
        <v>19</v>
      </c>
      <c r="G36" s="5" t="s">
        <v>43</v>
      </c>
      <c r="H36" s="3" t="str">
        <f t="shared" si="1"/>
        <v>C</v>
      </c>
      <c r="I36" s="7">
        <v>41061</v>
      </c>
      <c r="J36" s="7">
        <v>41090</v>
      </c>
      <c r="K36" s="14">
        <v>3.2059362488415801</v>
      </c>
      <c r="L36" s="7">
        <v>41046</v>
      </c>
      <c r="M36" s="4">
        <v>45</v>
      </c>
      <c r="N36" s="4">
        <v>40.3366666666669</v>
      </c>
      <c r="O36" s="9">
        <v>0.41963456642098501</v>
      </c>
      <c r="P36" s="14">
        <v>0.41667806150389602</v>
      </c>
      <c r="Q36" s="5" t="s">
        <v>40</v>
      </c>
      <c r="R36" s="5" t="s">
        <v>44</v>
      </c>
      <c r="S36" s="4">
        <v>4.1604678304192202</v>
      </c>
      <c r="T36" s="21">
        <v>1.8187453991377642</v>
      </c>
      <c r="U36" s="4">
        <f t="shared" si="0"/>
        <v>1.8187453991377642E-2</v>
      </c>
      <c r="V36" s="27">
        <v>1.8882750826653898E-2</v>
      </c>
      <c r="W36" s="26">
        <f t="shared" si="9"/>
        <v>3.2059362492566503</v>
      </c>
      <c r="X36" s="3">
        <f t="shared" si="2"/>
        <v>1.2946932415047741E-10</v>
      </c>
      <c r="Y36" s="26">
        <f t="shared" si="3"/>
        <v>0.41667806150892156</v>
      </c>
      <c r="Z36" s="4">
        <f t="shared" si="4"/>
        <v>1.2061018850317851E-11</v>
      </c>
      <c r="AB36" s="8">
        <f t="shared" si="5"/>
        <v>0</v>
      </c>
      <c r="AC36" s="8">
        <f t="shared" si="6"/>
        <v>-1</v>
      </c>
      <c r="AD36" s="54">
        <f t="shared" si="7"/>
        <v>0.41963456642098534</v>
      </c>
      <c r="AE36" s="54">
        <f t="shared" si="8"/>
        <v>0</v>
      </c>
    </row>
    <row r="37" spans="3:31" x14ac:dyDescent="0.25">
      <c r="C37" s="5" t="s">
        <v>24</v>
      </c>
      <c r="D37" s="5" t="s">
        <v>18</v>
      </c>
      <c r="E37" s="4">
        <v>153</v>
      </c>
      <c r="F37" s="5" t="s">
        <v>19</v>
      </c>
      <c r="G37" s="5" t="s">
        <v>45</v>
      </c>
      <c r="H37" s="3" t="str">
        <f t="shared" si="1"/>
        <v>P</v>
      </c>
      <c r="I37" s="7">
        <v>41061</v>
      </c>
      <c r="J37" s="7">
        <v>41090</v>
      </c>
      <c r="K37" s="14">
        <v>7.8163353558333704</v>
      </c>
      <c r="L37" s="7">
        <v>41046</v>
      </c>
      <c r="M37" s="4">
        <v>45</v>
      </c>
      <c r="N37" s="4">
        <v>40.3366666666669</v>
      </c>
      <c r="O37" s="9">
        <v>0.41963456642098501</v>
      </c>
      <c r="P37" s="14">
        <v>-0.57197078202548601</v>
      </c>
      <c r="Q37" s="5" t="s">
        <v>40</v>
      </c>
      <c r="R37" s="5" t="s">
        <v>44</v>
      </c>
      <c r="S37" s="4">
        <v>-5.7227848312728797</v>
      </c>
      <c r="T37" s="21">
        <v>1.8187453991377642</v>
      </c>
      <c r="U37" s="4">
        <f t="shared" si="0"/>
        <v>1.8187453991377642E-2</v>
      </c>
      <c r="V37" s="27">
        <v>1.8882750826653898E-2</v>
      </c>
      <c r="W37" s="26">
        <f t="shared" si="9"/>
        <v>7.8163353562484241</v>
      </c>
      <c r="X37" s="3">
        <f t="shared" si="2"/>
        <v>5.3100857044796612E-11</v>
      </c>
      <c r="Y37" s="26">
        <f t="shared" si="3"/>
        <v>-0.57197078202045659</v>
      </c>
      <c r="Z37" s="4">
        <f t="shared" si="4"/>
        <v>-8.7931883996361648E-12</v>
      </c>
      <c r="AB37" s="8">
        <f t="shared" si="5"/>
        <v>0</v>
      </c>
      <c r="AC37" s="8">
        <f t="shared" si="6"/>
        <v>-1</v>
      </c>
      <c r="AD37" s="54">
        <f t="shared" si="7"/>
        <v>0.41963456642098551</v>
      </c>
      <c r="AE37" s="54">
        <f t="shared" si="8"/>
        <v>0</v>
      </c>
    </row>
    <row r="38" spans="3:31" x14ac:dyDescent="0.25">
      <c r="C38" s="5" t="s">
        <v>24</v>
      </c>
      <c r="D38" s="5" t="s">
        <v>18</v>
      </c>
      <c r="E38" s="4">
        <v>153</v>
      </c>
      <c r="F38" s="5" t="s">
        <v>19</v>
      </c>
      <c r="G38" s="5" t="s">
        <v>45</v>
      </c>
      <c r="H38" s="3" t="str">
        <f t="shared" si="1"/>
        <v>P</v>
      </c>
      <c r="I38" s="7">
        <v>41061</v>
      </c>
      <c r="J38" s="7">
        <v>41090</v>
      </c>
      <c r="K38" s="14">
        <v>7.8163353558333704</v>
      </c>
      <c r="L38" s="7">
        <v>41046</v>
      </c>
      <c r="M38" s="4">
        <v>45</v>
      </c>
      <c r="N38" s="4">
        <v>40.3366666666669</v>
      </c>
      <c r="O38" s="9">
        <v>0.41963456642098501</v>
      </c>
      <c r="P38" s="14">
        <v>-0.57197078202548601</v>
      </c>
      <c r="Q38" s="5" t="s">
        <v>40</v>
      </c>
      <c r="R38" s="5" t="s">
        <v>44</v>
      </c>
      <c r="S38" s="4">
        <v>-5.7227848312728797</v>
      </c>
      <c r="T38" s="21">
        <v>1.8187453991377642</v>
      </c>
      <c r="U38" s="4">
        <f t="shared" si="0"/>
        <v>1.8187453991377642E-2</v>
      </c>
      <c r="V38" s="27">
        <v>1.8882750826653898E-2</v>
      </c>
      <c r="W38" s="26">
        <f t="shared" si="9"/>
        <v>7.8163353562484241</v>
      </c>
      <c r="X38" s="3">
        <f t="shared" si="2"/>
        <v>5.3100857044796612E-11</v>
      </c>
      <c r="Y38" s="26">
        <f t="shared" si="3"/>
        <v>-0.57197078202045659</v>
      </c>
      <c r="Z38" s="4">
        <f t="shared" si="4"/>
        <v>-8.7931883996361648E-12</v>
      </c>
      <c r="AB38" s="8">
        <f t="shared" si="5"/>
        <v>0</v>
      </c>
      <c r="AC38" s="8">
        <f t="shared" si="6"/>
        <v>-1</v>
      </c>
      <c r="AD38" s="54">
        <f t="shared" si="7"/>
        <v>0.41963456642098551</v>
      </c>
      <c r="AE38" s="54">
        <f t="shared" si="8"/>
        <v>0</v>
      </c>
    </row>
    <row r="39" spans="3:31" x14ac:dyDescent="0.25">
      <c r="C39" s="5" t="s">
        <v>24</v>
      </c>
      <c r="D39" s="5" t="s">
        <v>18</v>
      </c>
      <c r="E39" s="4">
        <v>153</v>
      </c>
      <c r="F39" s="5" t="s">
        <v>19</v>
      </c>
      <c r="G39" s="5" t="s">
        <v>43</v>
      </c>
      <c r="H39" s="3" t="str">
        <f t="shared" si="1"/>
        <v>C</v>
      </c>
      <c r="I39" s="7">
        <v>41061</v>
      </c>
      <c r="J39" s="7">
        <v>41090</v>
      </c>
      <c r="K39" s="14">
        <v>1.18894901108347</v>
      </c>
      <c r="L39" s="7">
        <v>41046</v>
      </c>
      <c r="M39" s="4">
        <v>45</v>
      </c>
      <c r="N39" s="4">
        <v>40.692644260961799</v>
      </c>
      <c r="O39" s="9">
        <v>0.22658429383426901</v>
      </c>
      <c r="P39" s="14">
        <v>0.29889040764130398</v>
      </c>
      <c r="Q39" s="5" t="s">
        <v>40</v>
      </c>
      <c r="R39" s="5" t="s">
        <v>44</v>
      </c>
      <c r="S39" s="4">
        <v>2.9819726511353499</v>
      </c>
      <c r="T39" s="21">
        <v>1.8187453991377642</v>
      </c>
      <c r="U39" s="4">
        <f t="shared" si="0"/>
        <v>1.8187453991377642E-2</v>
      </c>
      <c r="V39" s="27">
        <v>1.8882750826653898E-2</v>
      </c>
      <c r="W39" s="26">
        <f t="shared" si="9"/>
        <v>1.1889490114623291</v>
      </c>
      <c r="X39" s="3">
        <f t="shared" si="2"/>
        <v>3.1865043936818438E-10</v>
      </c>
      <c r="Y39" s="26">
        <f t="shared" si="3"/>
        <v>0.29889040763928254</v>
      </c>
      <c r="Z39" s="4">
        <f t="shared" si="4"/>
        <v>-6.7631455991090661E-12</v>
      </c>
      <c r="AB39" s="8">
        <f t="shared" si="5"/>
        <v>0</v>
      </c>
      <c r="AC39" s="8">
        <f t="shared" si="6"/>
        <v>-1</v>
      </c>
      <c r="AD39" s="54">
        <f t="shared" si="7"/>
        <v>0.22658429383426906</v>
      </c>
      <c r="AE39" s="54">
        <f t="shared" si="8"/>
        <v>0</v>
      </c>
    </row>
    <row r="40" spans="3:31" x14ac:dyDescent="0.25">
      <c r="C40" s="5" t="s">
        <v>24</v>
      </c>
      <c r="D40" s="5" t="s">
        <v>18</v>
      </c>
      <c r="E40" s="4">
        <v>153</v>
      </c>
      <c r="F40" s="5" t="s">
        <v>19</v>
      </c>
      <c r="G40" s="5" t="s">
        <v>43</v>
      </c>
      <c r="H40" s="3" t="str">
        <f t="shared" si="1"/>
        <v>C</v>
      </c>
      <c r="I40" s="7">
        <v>41061</v>
      </c>
      <c r="J40" s="7">
        <v>41090</v>
      </c>
      <c r="K40" s="14">
        <v>1.18894901108347</v>
      </c>
      <c r="L40" s="7">
        <v>41046</v>
      </c>
      <c r="M40" s="4">
        <v>45</v>
      </c>
      <c r="N40" s="4">
        <v>40.692644260961799</v>
      </c>
      <c r="O40" s="9">
        <v>0.22658429383426901</v>
      </c>
      <c r="P40" s="14">
        <v>0.29889040764130398</v>
      </c>
      <c r="Q40" s="5" t="s">
        <v>40</v>
      </c>
      <c r="R40" s="5" t="s">
        <v>44</v>
      </c>
      <c r="S40" s="4">
        <v>2.9819726511353499</v>
      </c>
      <c r="T40" s="21">
        <v>1.8187453991377642</v>
      </c>
      <c r="U40" s="4">
        <f t="shared" si="0"/>
        <v>1.8187453991377642E-2</v>
      </c>
      <c r="V40" s="27">
        <v>1.8882750826653898E-2</v>
      </c>
      <c r="W40" s="26">
        <f t="shared" si="9"/>
        <v>1.1889490114623291</v>
      </c>
      <c r="X40" s="3">
        <f t="shared" si="2"/>
        <v>3.1865043936818438E-10</v>
      </c>
      <c r="Y40" s="26">
        <f t="shared" si="3"/>
        <v>0.29889040763928254</v>
      </c>
      <c r="Z40" s="4">
        <f t="shared" si="4"/>
        <v>-6.7631455991090661E-12</v>
      </c>
      <c r="AB40" s="8">
        <f t="shared" si="5"/>
        <v>0</v>
      </c>
      <c r="AC40" s="8">
        <f t="shared" si="6"/>
        <v>-1</v>
      </c>
      <c r="AD40" s="54">
        <f t="shared" si="7"/>
        <v>0.22658429383426906</v>
      </c>
      <c r="AE40" s="54">
        <f t="shared" si="8"/>
        <v>0</v>
      </c>
    </row>
    <row r="41" spans="3:31" x14ac:dyDescent="0.25">
      <c r="C41" s="5" t="s">
        <v>24</v>
      </c>
      <c r="D41" s="5" t="s">
        <v>18</v>
      </c>
      <c r="E41" s="4">
        <v>153</v>
      </c>
      <c r="F41" s="5" t="s">
        <v>19</v>
      </c>
      <c r="G41" s="5" t="s">
        <v>45</v>
      </c>
      <c r="H41" s="3" t="str">
        <f t="shared" si="1"/>
        <v>P</v>
      </c>
      <c r="I41" s="7">
        <v>41061</v>
      </c>
      <c r="J41" s="7">
        <v>41090</v>
      </c>
      <c r="K41" s="14">
        <v>5.4474112811532001</v>
      </c>
      <c r="L41" s="7">
        <v>41046</v>
      </c>
      <c r="M41" s="4">
        <v>45</v>
      </c>
      <c r="N41" s="4">
        <v>40.692644260961799</v>
      </c>
      <c r="O41" s="9">
        <v>0.22658429383426901</v>
      </c>
      <c r="P41" s="14">
        <v>-0.68975843588807795</v>
      </c>
      <c r="Q41" s="5" t="s">
        <v>40</v>
      </c>
      <c r="R41" s="5" t="s">
        <v>44</v>
      </c>
      <c r="S41" s="4">
        <v>-6.9012800105567402</v>
      </c>
      <c r="T41" s="21">
        <v>1.8187453991377642</v>
      </c>
      <c r="U41" s="4">
        <f t="shared" si="0"/>
        <v>1.8187453991377642E-2</v>
      </c>
      <c r="V41" s="27">
        <v>1.8882750826653898E-2</v>
      </c>
      <c r="W41" s="26">
        <f t="shared" si="9"/>
        <v>5.4474112815320748</v>
      </c>
      <c r="X41" s="3">
        <f t="shared" si="2"/>
        <v>6.9551253645272482E-11</v>
      </c>
      <c r="Y41" s="26">
        <f t="shared" si="3"/>
        <v>-0.68975843589009567</v>
      </c>
      <c r="Z41" s="4">
        <f t="shared" si="4"/>
        <v>2.9252156252823625E-12</v>
      </c>
      <c r="AB41" s="8">
        <f t="shared" si="5"/>
        <v>0</v>
      </c>
      <c r="AC41" s="8">
        <f t="shared" si="6"/>
        <v>-1</v>
      </c>
      <c r="AD41" s="54">
        <f t="shared" si="7"/>
        <v>0.22658429383426817</v>
      </c>
      <c r="AE41" s="54">
        <f t="shared" si="8"/>
        <v>-3.6637359812630166E-15</v>
      </c>
    </row>
    <row r="42" spans="3:31" x14ac:dyDescent="0.25">
      <c r="C42" s="5" t="s">
        <v>24</v>
      </c>
      <c r="D42" s="5" t="s">
        <v>18</v>
      </c>
      <c r="E42" s="4">
        <v>153</v>
      </c>
      <c r="F42" s="5" t="s">
        <v>19</v>
      </c>
      <c r="G42" s="5" t="s">
        <v>45</v>
      </c>
      <c r="H42" s="3" t="str">
        <f t="shared" si="1"/>
        <v>P</v>
      </c>
      <c r="I42" s="7">
        <v>41061</v>
      </c>
      <c r="J42" s="7">
        <v>41090</v>
      </c>
      <c r="K42" s="14">
        <v>5.4474112811532001</v>
      </c>
      <c r="L42" s="7">
        <v>41046</v>
      </c>
      <c r="M42" s="4">
        <v>45</v>
      </c>
      <c r="N42" s="4">
        <v>40.692644260961799</v>
      </c>
      <c r="O42" s="9">
        <v>0.22658429383426901</v>
      </c>
      <c r="P42" s="14">
        <v>-0.68975843588807795</v>
      </c>
      <c r="Q42" s="5" t="s">
        <v>40</v>
      </c>
      <c r="R42" s="5" t="s">
        <v>44</v>
      </c>
      <c r="S42" s="4">
        <v>-6.9012800105567402</v>
      </c>
      <c r="T42" s="21">
        <v>1.8187453991377642</v>
      </c>
      <c r="U42" s="4">
        <f t="shared" si="0"/>
        <v>1.8187453991377642E-2</v>
      </c>
      <c r="V42" s="27">
        <v>1.8882750826653898E-2</v>
      </c>
      <c r="W42" s="26">
        <f t="shared" si="9"/>
        <v>5.4474112815320748</v>
      </c>
      <c r="X42" s="3">
        <f t="shared" si="2"/>
        <v>6.9551253645272482E-11</v>
      </c>
      <c r="Y42" s="26">
        <f t="shared" si="3"/>
        <v>-0.68975843589009567</v>
      </c>
      <c r="Z42" s="4">
        <f t="shared" si="4"/>
        <v>2.9252156252823625E-12</v>
      </c>
      <c r="AB42" s="8">
        <f t="shared" si="5"/>
        <v>0</v>
      </c>
      <c r="AC42" s="8">
        <f t="shared" si="6"/>
        <v>-1</v>
      </c>
      <c r="AD42" s="54">
        <f t="shared" si="7"/>
        <v>0.22658429383426817</v>
      </c>
      <c r="AE42" s="54">
        <f t="shared" si="8"/>
        <v>-3.6637359812630166E-15</v>
      </c>
    </row>
    <row r="45" spans="3:31" x14ac:dyDescent="0.25">
      <c r="C45" s="6" t="s">
        <v>0</v>
      </c>
      <c r="D45" s="6" t="s">
        <v>2</v>
      </c>
      <c r="E45" s="6" t="s">
        <v>3</v>
      </c>
      <c r="F45" s="6" t="s">
        <v>4</v>
      </c>
      <c r="G45" s="6" t="s">
        <v>5</v>
      </c>
      <c r="H45" s="6"/>
      <c r="I45" s="6" t="s">
        <v>6</v>
      </c>
      <c r="J45" s="6" t="s">
        <v>7</v>
      </c>
      <c r="K45" s="6" t="s">
        <v>9</v>
      </c>
      <c r="L45" s="6" t="s">
        <v>10</v>
      </c>
      <c r="M45" s="6" t="s">
        <v>11</v>
      </c>
      <c r="N45" s="6" t="s">
        <v>12</v>
      </c>
      <c r="O45" s="6" t="s">
        <v>48</v>
      </c>
      <c r="P45" s="6" t="s">
        <v>47</v>
      </c>
      <c r="Q45" s="6" t="s">
        <v>21</v>
      </c>
      <c r="R45" s="6" t="s">
        <v>22</v>
      </c>
      <c r="U45" s="6" t="s">
        <v>23</v>
      </c>
      <c r="V45" s="20"/>
      <c r="W45" s="6"/>
      <c r="X45" s="6"/>
      <c r="Y45" s="6"/>
      <c r="Z45" s="6"/>
      <c r="AA45" s="6"/>
      <c r="AB45" s="6"/>
    </row>
    <row r="46" spans="3:31" x14ac:dyDescent="0.25">
      <c r="C46" s="5" t="s">
        <v>24</v>
      </c>
      <c r="D46" s="5" t="s">
        <v>18</v>
      </c>
      <c r="E46" s="4">
        <v>153</v>
      </c>
      <c r="F46" s="5" t="s">
        <v>19</v>
      </c>
      <c r="G46" s="5" t="s">
        <v>43</v>
      </c>
      <c r="H46" s="3" t="str">
        <f t="shared" ref="H46" si="10">MID(G46,4,1)</f>
        <v>C</v>
      </c>
      <c r="I46" s="7">
        <v>41061</v>
      </c>
      <c r="J46" s="7">
        <v>41090</v>
      </c>
      <c r="K46" s="4">
        <v>3.1927322941430898</v>
      </c>
      <c r="L46" s="7">
        <v>41046</v>
      </c>
      <c r="M46" s="4">
        <v>45</v>
      </c>
      <c r="N46" s="4">
        <v>40.3366666666669</v>
      </c>
      <c r="O46" s="4">
        <f>O36</f>
        <v>0.41963456642098501</v>
      </c>
      <c r="P46" s="4">
        <f>TimeToExpiry($F$3,L46)</f>
        <v>0.54520547945205478</v>
      </c>
      <c r="Q46" s="4">
        <f>TimeToT1($F$3,I46)</f>
        <v>0.58356164383561648</v>
      </c>
      <c r="R46" s="4">
        <f>TimeToT2($F$3,J46)</f>
        <v>0.66575342465753429</v>
      </c>
      <c r="U46" s="4">
        <f>1.88827508266539/100</f>
        <v>1.8882750826653902E-2</v>
      </c>
      <c r="W46" s="4" t="e">
        <f t="shared" ref="W46" si="11">B76Forward(H46,$F$3,N46,M46,L46,O46,U46,I46,J46)</f>
        <v>#VALUE!</v>
      </c>
      <c r="X46" s="3" t="e">
        <f t="shared" ref="X46" si="12">W46/K46-1</f>
        <v>#VALUE!</v>
      </c>
      <c r="Y46" s="5"/>
      <c r="Z46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AC84"/>
  <sheetViews>
    <sheetView topLeftCell="E1" workbookViewId="0">
      <selection activeCell="R8" sqref="R8"/>
    </sheetView>
  </sheetViews>
  <sheetFormatPr defaultRowHeight="15" x14ac:dyDescent="0.25"/>
  <cols>
    <col min="1" max="1" width="9.140625" style="94"/>
    <col min="2" max="2" width="9.140625" style="81"/>
    <col min="3" max="3" width="25" style="81" bestFit="1" customWidth="1"/>
    <col min="4" max="4" width="10.7109375" style="81" bestFit="1" customWidth="1"/>
    <col min="5" max="5" width="25.28515625" style="81" bestFit="1" customWidth="1"/>
    <col min="6" max="6" width="12" style="81" bestFit="1" customWidth="1"/>
    <col min="7" max="7" width="10.7109375" style="81" bestFit="1" customWidth="1"/>
    <col min="8" max="8" width="15.7109375" style="81" bestFit="1" customWidth="1"/>
    <col min="9" max="9" width="9.140625" style="81"/>
    <col min="10" max="10" width="9.140625" style="125"/>
    <col min="11" max="11" width="18.28515625" style="81" customWidth="1"/>
    <col min="12" max="18" width="9.140625" style="81"/>
    <col min="19" max="19" width="17.85546875" style="81" customWidth="1"/>
    <col min="20" max="20" width="12" style="81" bestFit="1" customWidth="1"/>
    <col min="21" max="21" width="9.140625" style="81"/>
    <col min="22" max="22" width="17.85546875" style="81" bestFit="1" customWidth="1"/>
    <col min="23" max="23" width="18.85546875" style="81" bestFit="1" customWidth="1"/>
    <col min="24" max="25" width="9.140625" style="81"/>
    <col min="26" max="26" width="19.28515625" style="81" bestFit="1" customWidth="1"/>
    <col min="27" max="27" width="9.140625" style="81"/>
    <col min="28" max="28" width="12.7109375" style="81" bestFit="1" customWidth="1"/>
    <col min="29" max="29" width="16.28515625" style="81" customWidth="1"/>
    <col min="30" max="16384" width="9.140625" style="81"/>
  </cols>
  <sheetData>
    <row r="2" spans="1:26" x14ac:dyDescent="0.25">
      <c r="E2" s="81" t="s">
        <v>148</v>
      </c>
      <c r="F2" s="81">
        <v>1.2E-8</v>
      </c>
    </row>
    <row r="3" spans="1:26" x14ac:dyDescent="0.25">
      <c r="V3" s="81">
        <v>6.8875766197976134</v>
      </c>
    </row>
    <row r="4" spans="1:26" x14ac:dyDescent="0.25">
      <c r="V4" s="81">
        <f>(V8-V3)/F2</f>
        <v>0.12307695603415898</v>
      </c>
    </row>
    <row r="5" spans="1:26" x14ac:dyDescent="0.25">
      <c r="E5" s="81" t="s">
        <v>79</v>
      </c>
      <c r="F5" s="80">
        <v>40864</v>
      </c>
      <c r="U5" s="129">
        <f>V5/P8</f>
        <v>55.961560047855613</v>
      </c>
      <c r="V5" s="65">
        <f>V8*Q8</f>
        <v>21489.239058376555</v>
      </c>
      <c r="Z5" s="129">
        <f>SUM(Z8:Z45)</f>
        <v>3545543.0356056904</v>
      </c>
    </row>
    <row r="7" spans="1:26" x14ac:dyDescent="0.25">
      <c r="B7" s="81">
        <f>B8-A8</f>
        <v>2736</v>
      </c>
      <c r="D7" s="82" t="s">
        <v>53</v>
      </c>
      <c r="E7" s="82" t="s">
        <v>5</v>
      </c>
      <c r="F7" s="82" t="s">
        <v>6</v>
      </c>
      <c r="G7" s="82" t="s">
        <v>7</v>
      </c>
      <c r="H7" s="82" t="s">
        <v>9</v>
      </c>
      <c r="I7" s="82" t="s">
        <v>11</v>
      </c>
      <c r="J7" s="109" t="s">
        <v>12</v>
      </c>
      <c r="K7" s="82" t="s">
        <v>150</v>
      </c>
      <c r="L7" s="82" t="s">
        <v>13</v>
      </c>
      <c r="M7" s="82" t="s">
        <v>14</v>
      </c>
      <c r="N7" s="82" t="s">
        <v>80</v>
      </c>
      <c r="O7" s="82" t="s">
        <v>81</v>
      </c>
      <c r="P7" s="82" t="s">
        <v>22</v>
      </c>
      <c r="Q7" s="82" t="s">
        <v>82</v>
      </c>
      <c r="R7" s="82" t="s">
        <v>84</v>
      </c>
      <c r="S7" s="82" t="s">
        <v>83</v>
      </c>
      <c r="U7" s="82" t="s">
        <v>78</v>
      </c>
      <c r="V7" s="82" t="s">
        <v>49</v>
      </c>
      <c r="X7" s="81" t="s">
        <v>14</v>
      </c>
    </row>
    <row r="8" spans="1:26" x14ac:dyDescent="0.25">
      <c r="A8" s="102">
        <v>384</v>
      </c>
      <c r="B8" s="94">
        <v>3120</v>
      </c>
      <c r="C8" s="59" t="s">
        <v>20</v>
      </c>
      <c r="D8" s="57" t="s">
        <v>54</v>
      </c>
      <c r="E8" s="59" t="s">
        <v>55</v>
      </c>
      <c r="F8" s="80">
        <v>40544</v>
      </c>
      <c r="G8" s="80">
        <v>40908</v>
      </c>
      <c r="H8" s="14">
        <v>6.8875766197976098</v>
      </c>
      <c r="I8" s="81">
        <v>45</v>
      </c>
      <c r="J8" s="92">
        <v>50.365544410855598</v>
      </c>
      <c r="K8" s="14">
        <f>J8+$F$2</f>
        <v>50.365544422855599</v>
      </c>
      <c r="L8" s="14">
        <v>0.47603901142326699</v>
      </c>
      <c r="M8" s="92">
        <v>1</v>
      </c>
      <c r="N8" s="15">
        <v>52.101195175438598</v>
      </c>
      <c r="O8" s="81">
        <f>Q8-P8</f>
        <v>2736</v>
      </c>
      <c r="P8" s="106">
        <v>384</v>
      </c>
      <c r="Q8" s="81">
        <v>3120</v>
      </c>
      <c r="R8" s="106">
        <f>IF($F$5&gt;F8,P8/(O8+P8),1)</f>
        <v>0.12307692307692308</v>
      </c>
      <c r="S8" s="106">
        <f>IF($E$5&gt;C8,(Q8/P8)*I8-(O8/P8)*N8,I8)</f>
        <v>-5.5960156250000068</v>
      </c>
      <c r="T8" s="84">
        <v>1.3044505640719457</v>
      </c>
      <c r="U8" s="81">
        <f>T8/100</f>
        <v>1.3044505640719456E-2</v>
      </c>
      <c r="V8" s="16">
        <f>(K8-S8)*R8</f>
        <v>6.8875766212745368</v>
      </c>
      <c r="W8" s="111">
        <f>H8/V8-1</f>
        <v>-2.1443347097971355E-10</v>
      </c>
      <c r="X8" s="81">
        <v>1</v>
      </c>
      <c r="Y8" s="81">
        <f>M8/X8-1</f>
        <v>0</v>
      </c>
      <c r="Z8" s="65">
        <f>V8*10*Q8</f>
        <v>214892.39058376552</v>
      </c>
    </row>
    <row r="9" spans="1:26" x14ac:dyDescent="0.25">
      <c r="A9" s="106">
        <v>384</v>
      </c>
      <c r="B9" s="94">
        <v>3120</v>
      </c>
      <c r="C9" s="59" t="s">
        <v>20</v>
      </c>
      <c r="D9" s="57" t="s">
        <v>56</v>
      </c>
      <c r="E9" s="59" t="s">
        <v>57</v>
      </c>
      <c r="F9" s="80">
        <v>40544</v>
      </c>
      <c r="G9" s="80">
        <v>40908</v>
      </c>
      <c r="H9" s="14">
        <v>0</v>
      </c>
      <c r="I9" s="81">
        <v>45</v>
      </c>
      <c r="J9" s="92">
        <v>50.365544410855598</v>
      </c>
      <c r="K9" s="92">
        <f t="shared" ref="K9:K43" si="0">J9+$F$2</f>
        <v>50.365544422855599</v>
      </c>
      <c r="L9" s="14">
        <v>0.47603901142326699</v>
      </c>
      <c r="M9" s="92">
        <v>0</v>
      </c>
      <c r="N9" s="15">
        <v>52.101195175438598</v>
      </c>
      <c r="O9" s="106">
        <f t="shared" ref="O9:O43" si="1">Q9-P9</f>
        <v>2736</v>
      </c>
      <c r="P9" s="106">
        <v>384</v>
      </c>
      <c r="Q9" s="81">
        <v>3120</v>
      </c>
      <c r="R9" s="106">
        <f t="shared" ref="R9:R43" si="2">IF($F$5&gt;F9,P9/(O9+P9),1)</f>
        <v>0.12307692307692308</v>
      </c>
      <c r="S9" s="106">
        <f t="shared" ref="S9:S43" si="3">IF($E$5&gt;C9,(Q9/P9)*I9-(O9/P9)*N9,I9)</f>
        <v>-5.5960156250000068</v>
      </c>
      <c r="T9" s="84">
        <v>1.3044505640719457</v>
      </c>
      <c r="U9" s="81">
        <f t="shared" ref="U9:U43" si="4">T9/100</f>
        <v>1.3044505640719456E-2</v>
      </c>
      <c r="V9" s="16">
        <v>0</v>
      </c>
      <c r="W9" s="93">
        <v>0</v>
      </c>
      <c r="X9" s="81">
        <v>0</v>
      </c>
      <c r="Y9" s="81">
        <v>0</v>
      </c>
      <c r="Z9" s="65">
        <f t="shared" ref="Z9:Z45" si="5">V9*10*Q9</f>
        <v>0</v>
      </c>
    </row>
    <row r="10" spans="1:26" x14ac:dyDescent="0.25">
      <c r="A10" s="106">
        <v>1080</v>
      </c>
      <c r="B10" s="94">
        <v>8760</v>
      </c>
      <c r="C10" s="59" t="s">
        <v>20</v>
      </c>
      <c r="D10" s="57" t="s">
        <v>54</v>
      </c>
      <c r="E10" s="59" t="s">
        <v>58</v>
      </c>
      <c r="F10" s="80">
        <v>40544</v>
      </c>
      <c r="G10" s="80">
        <v>40908</v>
      </c>
      <c r="H10" s="14">
        <v>3.2144937585698501</v>
      </c>
      <c r="I10" s="81">
        <v>45</v>
      </c>
      <c r="J10" s="92">
        <v>45.122374124692797</v>
      </c>
      <c r="K10" s="92">
        <f t="shared" si="0"/>
        <v>45.122374136692798</v>
      </c>
      <c r="L10" s="14">
        <v>0.50572288475544502</v>
      </c>
      <c r="M10" s="92">
        <v>0.123079581489406</v>
      </c>
      <c r="N10" s="15">
        <v>48.655194010416601</v>
      </c>
      <c r="O10" s="106">
        <f t="shared" si="1"/>
        <v>7680</v>
      </c>
      <c r="P10" s="106">
        <v>1080</v>
      </c>
      <c r="Q10" s="81">
        <v>8760</v>
      </c>
      <c r="R10" s="106">
        <f t="shared" si="2"/>
        <v>0.12328767123287671</v>
      </c>
      <c r="S10" s="106">
        <f t="shared" si="3"/>
        <v>19.007509259259734</v>
      </c>
      <c r="T10" s="84">
        <v>1.3044505640719457</v>
      </c>
      <c r="U10" s="81">
        <f t="shared" si="4"/>
        <v>1.3044505640719456E-2</v>
      </c>
      <c r="V10" s="16">
        <f t="shared" ref="V10:V43" si="6">B76Future($F$5,D10,K10,S10,G10,L10,U10)*R10</f>
        <v>3.2144671925766981</v>
      </c>
      <c r="W10" s="93">
        <f t="shared" ref="W10:W43" si="7">H10/V10-1</f>
        <v>8.2645090337951643E-6</v>
      </c>
      <c r="X10" s="81">
        <f>B76Delta($F$5,D10,K10,S10,G10,L10,U10)*R10</f>
        <v>0.12308951210953648</v>
      </c>
      <c r="Y10" s="81">
        <f t="shared" ref="Y10:Y43" si="8">M10/X10-1</f>
        <v>-8.0678036335379844E-5</v>
      </c>
      <c r="Z10" s="65">
        <f t="shared" si="5"/>
        <v>281587.32606971875</v>
      </c>
    </row>
    <row r="11" spans="1:26" x14ac:dyDescent="0.25">
      <c r="A11" s="103">
        <v>1080</v>
      </c>
      <c r="B11" s="94">
        <v>8760</v>
      </c>
      <c r="C11" s="59" t="s">
        <v>20</v>
      </c>
      <c r="D11" s="57" t="s">
        <v>56</v>
      </c>
      <c r="E11" s="59" t="s">
        <v>59</v>
      </c>
      <c r="F11" s="80">
        <v>40544</v>
      </c>
      <c r="G11" s="80">
        <v>40908</v>
      </c>
      <c r="H11" s="14">
        <v>2.66358429723391E-5</v>
      </c>
      <c r="I11" s="81">
        <v>45</v>
      </c>
      <c r="J11" s="92">
        <v>45.122374124692797</v>
      </c>
      <c r="K11" s="92">
        <f t="shared" si="0"/>
        <v>45.122374136692798</v>
      </c>
      <c r="L11" s="14">
        <v>0.50572288475544502</v>
      </c>
      <c r="M11" s="92">
        <v>-9.9745657607985205E-6</v>
      </c>
      <c r="N11" s="15">
        <v>48.655194010416601</v>
      </c>
      <c r="O11" s="106">
        <f t="shared" si="1"/>
        <v>7680</v>
      </c>
      <c r="P11" s="106">
        <v>1080</v>
      </c>
      <c r="Q11" s="81">
        <v>8760</v>
      </c>
      <c r="R11" s="106">
        <f t="shared" si="2"/>
        <v>0.12328767123287671</v>
      </c>
      <c r="S11" s="106">
        <f t="shared" si="3"/>
        <v>19.007509259259734</v>
      </c>
      <c r="T11" s="84">
        <v>1.3044505640719499</v>
      </c>
      <c r="U11" s="81">
        <f t="shared" si="4"/>
        <v>1.30445056407195E-2</v>
      </c>
      <c r="V11" s="16">
        <f t="shared" si="6"/>
        <v>6.8372802060750589E-8</v>
      </c>
      <c r="W11" s="112">
        <v>0</v>
      </c>
      <c r="X11" s="81">
        <f t="shared" ref="X11:X43" si="9">B76Delta($F$5,D11,K11,S11,G11,L11,U11)*R11</f>
        <v>-4.3945630032893416E-8</v>
      </c>
      <c r="Y11" s="107">
        <f t="shared" si="8"/>
        <v>225.97514527229518</v>
      </c>
      <c r="Z11" s="65">
        <f t="shared" si="5"/>
        <v>5.9894574605217519E-3</v>
      </c>
    </row>
    <row r="12" spans="1:26" x14ac:dyDescent="0.25">
      <c r="A12" s="104">
        <v>1080</v>
      </c>
      <c r="B12" s="94">
        <v>8760</v>
      </c>
      <c r="C12" s="59" t="s">
        <v>50</v>
      </c>
      <c r="D12" s="57" t="s">
        <v>54</v>
      </c>
      <c r="E12" s="59" t="s">
        <v>58</v>
      </c>
      <c r="F12" s="80">
        <v>40544</v>
      </c>
      <c r="G12" s="80">
        <v>40908</v>
      </c>
      <c r="H12" s="14">
        <v>2.3403717709441501</v>
      </c>
      <c r="I12" s="81">
        <v>45</v>
      </c>
      <c r="J12" s="92">
        <v>43.291883708125802</v>
      </c>
      <c r="K12" s="92">
        <f t="shared" si="0"/>
        <v>43.291883720125803</v>
      </c>
      <c r="L12" s="14">
        <v>0.325023248895151</v>
      </c>
      <c r="M12" s="92">
        <v>0.123089537753369</v>
      </c>
      <c r="N12" s="15">
        <v>47.913986979166602</v>
      </c>
      <c r="O12" s="106">
        <f t="shared" si="1"/>
        <v>7680</v>
      </c>
      <c r="P12" s="106">
        <v>1080</v>
      </c>
      <c r="Q12" s="81">
        <v>8760</v>
      </c>
      <c r="R12" s="106">
        <f t="shared" si="2"/>
        <v>0.12328767123287671</v>
      </c>
      <c r="S12" s="106">
        <f t="shared" si="3"/>
        <v>24.278314814815303</v>
      </c>
      <c r="T12" s="84">
        <v>1.3044505640719499</v>
      </c>
      <c r="U12" s="81">
        <f t="shared" si="4"/>
        <v>1.30445056407195E-2</v>
      </c>
      <c r="V12" s="16">
        <f t="shared" si="6"/>
        <v>2.3403717724211628</v>
      </c>
      <c r="W12" s="93">
        <f t="shared" si="7"/>
        <v>-6.3110172643376927E-10</v>
      </c>
      <c r="X12" s="81">
        <f t="shared" si="9"/>
        <v>0.12308953775336937</v>
      </c>
      <c r="Y12" s="107">
        <f t="shared" si="8"/>
        <v>-2.886579864025407E-15</v>
      </c>
      <c r="Z12" s="65">
        <f t="shared" si="5"/>
        <v>205016.56726409387</v>
      </c>
    </row>
    <row r="13" spans="1:26" x14ac:dyDescent="0.25">
      <c r="A13" s="105">
        <v>1080</v>
      </c>
      <c r="B13" s="94">
        <v>8760</v>
      </c>
      <c r="C13" s="59" t="s">
        <v>50</v>
      </c>
      <c r="D13" s="57" t="s">
        <v>56</v>
      </c>
      <c r="E13" s="59" t="s">
        <v>59</v>
      </c>
      <c r="F13" s="80">
        <v>40544</v>
      </c>
      <c r="G13" s="80">
        <v>40908</v>
      </c>
      <c r="H13" s="14">
        <v>1.6842175568424699E-8</v>
      </c>
      <c r="I13" s="81">
        <v>45</v>
      </c>
      <c r="J13" s="92">
        <v>43.291883708125802</v>
      </c>
      <c r="K13" s="92">
        <f t="shared" si="0"/>
        <v>43.291883720125803</v>
      </c>
      <c r="L13" s="14">
        <v>0.325023248895151</v>
      </c>
      <c r="M13" s="92">
        <v>-1.8301797387991001E-8</v>
      </c>
      <c r="N13" s="15">
        <v>47.913986979166602</v>
      </c>
      <c r="O13" s="106">
        <f t="shared" si="1"/>
        <v>7680</v>
      </c>
      <c r="P13" s="106">
        <v>1080</v>
      </c>
      <c r="Q13" s="81">
        <v>8760</v>
      </c>
      <c r="R13" s="106">
        <f t="shared" si="2"/>
        <v>0.12328767123287671</v>
      </c>
      <c r="S13" s="106">
        <f t="shared" si="3"/>
        <v>24.278314814815303</v>
      </c>
      <c r="T13" s="84">
        <v>1.3044505640719499</v>
      </c>
      <c r="U13" s="81">
        <f t="shared" si="4"/>
        <v>1.30445056407195E-2</v>
      </c>
      <c r="V13" s="16">
        <f t="shared" si="6"/>
        <v>1.6842175374442696E-8</v>
      </c>
      <c r="W13" s="93">
        <f t="shared" si="7"/>
        <v>1.1517633513591363E-8</v>
      </c>
      <c r="X13" s="81">
        <f t="shared" si="9"/>
        <v>-1.8301797153225758E-8</v>
      </c>
      <c r="Y13" s="107">
        <f t="shared" si="8"/>
        <v>1.2827441997487199E-8</v>
      </c>
      <c r="Z13" s="65">
        <f t="shared" si="5"/>
        <v>1.47537456280118E-3</v>
      </c>
    </row>
    <row r="14" spans="1:26" x14ac:dyDescent="0.25">
      <c r="A14" s="100">
        <v>384</v>
      </c>
      <c r="B14" s="94">
        <v>780</v>
      </c>
      <c r="C14" s="59" t="s">
        <v>20</v>
      </c>
      <c r="D14" s="57" t="s">
        <v>54</v>
      </c>
      <c r="E14" s="59" t="s">
        <v>60</v>
      </c>
      <c r="F14" s="80">
        <v>40817</v>
      </c>
      <c r="G14" s="80">
        <v>40908</v>
      </c>
      <c r="H14" s="14">
        <v>1.0754289409794799</v>
      </c>
      <c r="I14" s="81">
        <v>45</v>
      </c>
      <c r="J14" s="92">
        <v>50.365544410855598</v>
      </c>
      <c r="K14" s="92">
        <f t="shared" si="0"/>
        <v>50.365544422855599</v>
      </c>
      <c r="L14" s="14">
        <v>0.47603901142326699</v>
      </c>
      <c r="M14" s="92">
        <v>0.196869510425877</v>
      </c>
      <c r="N14" s="15">
        <v>36.984419191919201</v>
      </c>
      <c r="O14" s="106">
        <f t="shared" si="1"/>
        <v>396</v>
      </c>
      <c r="P14" s="106">
        <v>384</v>
      </c>
      <c r="Q14" s="81">
        <v>780</v>
      </c>
      <c r="R14" s="106">
        <f t="shared" si="2"/>
        <v>0.49230769230769234</v>
      </c>
      <c r="S14" s="106">
        <f t="shared" si="3"/>
        <v>53.266067708333324</v>
      </c>
      <c r="T14" s="85">
        <v>1.3044505640719457</v>
      </c>
      <c r="U14" s="81">
        <f t="shared" si="4"/>
        <v>1.3044505640719456E-2</v>
      </c>
      <c r="V14" s="16">
        <f t="shared" si="6"/>
        <v>1.0775373580456327</v>
      </c>
      <c r="W14" s="93">
        <f t="shared" si="7"/>
        <v>-1.9566997379810713E-3</v>
      </c>
      <c r="X14" s="81">
        <f t="shared" si="9"/>
        <v>0.19697444934893094</v>
      </c>
      <c r="Y14" s="107">
        <f t="shared" si="8"/>
        <v>-5.327539861175179E-4</v>
      </c>
      <c r="Z14" s="65">
        <f t="shared" si="5"/>
        <v>8404.7913927559348</v>
      </c>
    </row>
    <row r="15" spans="1:26" x14ac:dyDescent="0.25">
      <c r="A15" s="101">
        <v>384</v>
      </c>
      <c r="B15" s="94">
        <v>780</v>
      </c>
      <c r="C15" s="59" t="s">
        <v>20</v>
      </c>
      <c r="D15" s="57" t="s">
        <v>56</v>
      </c>
      <c r="E15" s="59" t="s">
        <v>61</v>
      </c>
      <c r="F15" s="80">
        <v>40817</v>
      </c>
      <c r="G15" s="80">
        <v>40908</v>
      </c>
      <c r="H15" s="14">
        <v>2.5010842504379198</v>
      </c>
      <c r="I15" s="81">
        <v>45</v>
      </c>
      <c r="J15" s="92">
        <v>50.365544410855598</v>
      </c>
      <c r="K15" s="92">
        <f t="shared" si="0"/>
        <v>50.365544422855599</v>
      </c>
      <c r="L15" s="14">
        <v>0.47603901142326699</v>
      </c>
      <c r="M15" s="92">
        <v>-0.29464707580466898</v>
      </c>
      <c r="N15" s="15">
        <v>36.984419191919201</v>
      </c>
      <c r="O15" s="106">
        <f t="shared" si="1"/>
        <v>396</v>
      </c>
      <c r="P15" s="106">
        <v>384</v>
      </c>
      <c r="Q15" s="81">
        <v>780</v>
      </c>
      <c r="R15" s="106">
        <f t="shared" si="2"/>
        <v>0.49230769230769234</v>
      </c>
      <c r="S15" s="106">
        <f t="shared" si="3"/>
        <v>53.266067708333324</v>
      </c>
      <c r="T15" s="85">
        <v>1.3044505640719457</v>
      </c>
      <c r="U15" s="81">
        <f t="shared" si="4"/>
        <v>1.3044505640719456E-2</v>
      </c>
      <c r="V15" s="16">
        <f t="shared" si="6"/>
        <v>2.5031926616058491</v>
      </c>
      <c r="W15" s="93">
        <f t="shared" si="7"/>
        <v>-8.4228880991388255E-4</v>
      </c>
      <c r="X15" s="81">
        <f t="shared" si="9"/>
        <v>-0.2945421368816144</v>
      </c>
      <c r="Y15" s="107">
        <f t="shared" si="8"/>
        <v>3.562781344821353E-4</v>
      </c>
      <c r="Z15" s="65">
        <f t="shared" si="5"/>
        <v>19524.902760525623</v>
      </c>
    </row>
    <row r="16" spans="1:26" x14ac:dyDescent="0.25">
      <c r="A16" s="99">
        <v>1080</v>
      </c>
      <c r="B16" s="94">
        <v>2209</v>
      </c>
      <c r="C16" s="59" t="s">
        <v>20</v>
      </c>
      <c r="D16" s="57" t="s">
        <v>54</v>
      </c>
      <c r="E16" s="59" t="s">
        <v>62</v>
      </c>
      <c r="F16" s="80">
        <v>40817</v>
      </c>
      <c r="G16" s="80">
        <v>40908</v>
      </c>
      <c r="H16" s="14">
        <v>0.16850352612442701</v>
      </c>
      <c r="I16" s="81">
        <v>45</v>
      </c>
      <c r="J16" s="92">
        <v>45.122374124692797</v>
      </c>
      <c r="K16" s="92">
        <f t="shared" si="0"/>
        <v>45.122374136692798</v>
      </c>
      <c r="L16" s="14">
        <v>0.50572288475544502</v>
      </c>
      <c r="M16" s="92">
        <v>4.78938269605639E-2</v>
      </c>
      <c r="N16" s="15">
        <v>32.886235606731603</v>
      </c>
      <c r="O16" s="106">
        <f t="shared" si="1"/>
        <v>1129</v>
      </c>
      <c r="P16" s="106">
        <v>1080</v>
      </c>
      <c r="Q16" s="81">
        <v>2209</v>
      </c>
      <c r="R16" s="106">
        <f t="shared" si="2"/>
        <v>0.48890900860117703</v>
      </c>
      <c r="S16" s="106">
        <f t="shared" si="3"/>
        <v>57.663370370370394</v>
      </c>
      <c r="T16" s="85">
        <v>1.3044505640719457</v>
      </c>
      <c r="U16" s="81">
        <f t="shared" si="4"/>
        <v>1.3044505640719456E-2</v>
      </c>
      <c r="V16" s="16">
        <f t="shared" si="6"/>
        <v>0.16851809543047261</v>
      </c>
      <c r="W16" s="93">
        <f t="shared" si="7"/>
        <v>-8.645543974594716E-5</v>
      </c>
      <c r="X16" s="81">
        <f t="shared" si="9"/>
        <v>4.7896499721914912E-2</v>
      </c>
      <c r="Y16" s="107">
        <f t="shared" si="8"/>
        <v>-5.5802853371922367E-5</v>
      </c>
      <c r="Z16" s="65">
        <f t="shared" si="5"/>
        <v>3722.5647280591397</v>
      </c>
    </row>
    <row r="17" spans="1:29" x14ac:dyDescent="0.25">
      <c r="A17" s="99">
        <v>1080</v>
      </c>
      <c r="B17" s="94">
        <v>2209</v>
      </c>
      <c r="C17" s="59" t="s">
        <v>20</v>
      </c>
      <c r="D17" s="57" t="s">
        <v>56</v>
      </c>
      <c r="E17" s="59" t="s">
        <v>63</v>
      </c>
      <c r="F17" s="80">
        <v>40817</v>
      </c>
      <c r="G17" s="80">
        <v>40908</v>
      </c>
      <c r="H17" s="14">
        <v>6.29005680129006</v>
      </c>
      <c r="I17" s="81">
        <v>45</v>
      </c>
      <c r="J17" s="92">
        <v>45.122374124692797</v>
      </c>
      <c r="K17" s="92">
        <f t="shared" si="0"/>
        <v>45.122374136692798</v>
      </c>
      <c r="L17" s="14">
        <v>0.50572288475544502</v>
      </c>
      <c r="M17" s="92">
        <v>-0.44022953702461398</v>
      </c>
      <c r="N17" s="15">
        <v>32.886235606731603</v>
      </c>
      <c r="O17" s="106">
        <f t="shared" si="1"/>
        <v>1129</v>
      </c>
      <c r="P17" s="106">
        <v>1080</v>
      </c>
      <c r="Q17" s="81">
        <v>2209</v>
      </c>
      <c r="R17" s="106">
        <f t="shared" si="2"/>
        <v>0.48890900860117703</v>
      </c>
      <c r="S17" s="106">
        <f t="shared" si="3"/>
        <v>57.663370370370394</v>
      </c>
      <c r="T17" s="86">
        <v>1.3044505640719457</v>
      </c>
      <c r="U17" s="81">
        <f t="shared" si="4"/>
        <v>1.3044505640719456E-2</v>
      </c>
      <c r="V17" s="16">
        <f t="shared" si="6"/>
        <v>6.2900713647386324</v>
      </c>
      <c r="W17" s="93">
        <f t="shared" si="7"/>
        <v>-2.3153073673842783E-6</v>
      </c>
      <c r="X17" s="81">
        <f t="shared" si="9"/>
        <v>-0.44022686426326335</v>
      </c>
      <c r="Y17" s="107">
        <f t="shared" si="8"/>
        <v>6.0713272351797798E-6</v>
      </c>
      <c r="Z17" s="65">
        <f t="shared" si="5"/>
        <v>138947.6764470764</v>
      </c>
    </row>
    <row r="18" spans="1:29" x14ac:dyDescent="0.25">
      <c r="A18" s="99">
        <v>1080</v>
      </c>
      <c r="B18" s="94">
        <v>2209</v>
      </c>
      <c r="C18" s="59" t="s">
        <v>50</v>
      </c>
      <c r="D18" s="57" t="s">
        <v>54</v>
      </c>
      <c r="E18" s="59" t="s">
        <v>62</v>
      </c>
      <c r="F18" s="80">
        <v>40817</v>
      </c>
      <c r="G18" s="80">
        <v>40908</v>
      </c>
      <c r="H18" s="14">
        <v>2.4960209606995501E-3</v>
      </c>
      <c r="I18" s="81">
        <v>45</v>
      </c>
      <c r="J18" s="92">
        <v>43.291883708125802</v>
      </c>
      <c r="K18" s="92">
        <f t="shared" si="0"/>
        <v>43.291883720125803</v>
      </c>
      <c r="L18" s="14">
        <v>0.325023248895151</v>
      </c>
      <c r="M18" s="92">
        <v>1.70500825790658E-3</v>
      </c>
      <c r="N18" s="15">
        <v>31.3366961913197</v>
      </c>
      <c r="O18" s="106">
        <f t="shared" si="1"/>
        <v>1129</v>
      </c>
      <c r="P18" s="106">
        <v>1080</v>
      </c>
      <c r="Q18" s="81">
        <v>2209</v>
      </c>
      <c r="R18" s="106">
        <f t="shared" si="2"/>
        <v>0.48890900860117703</v>
      </c>
      <c r="S18" s="106">
        <f t="shared" si="3"/>
        <v>59.283212962963027</v>
      </c>
      <c r="T18" s="86">
        <v>1.3044505640719457</v>
      </c>
      <c r="U18" s="81">
        <f t="shared" si="4"/>
        <v>1.3044505640719456E-2</v>
      </c>
      <c r="V18" s="16">
        <f t="shared" si="6"/>
        <v>2.4960210453139455E-3</v>
      </c>
      <c r="W18" s="93">
        <f t="shared" si="7"/>
        <v>-3.3899712259533032E-8</v>
      </c>
      <c r="X18" s="81">
        <f t="shared" si="9"/>
        <v>1.7050082730072631E-3</v>
      </c>
      <c r="Y18" s="107">
        <f t="shared" si="8"/>
        <v>-8.8566626255115466E-9</v>
      </c>
      <c r="Z18" s="65">
        <f t="shared" si="5"/>
        <v>55.13710489098505</v>
      </c>
    </row>
    <row r="19" spans="1:29" x14ac:dyDescent="0.25">
      <c r="A19" s="99">
        <v>1080</v>
      </c>
      <c r="B19" s="94">
        <v>2209</v>
      </c>
      <c r="C19" s="59" t="s">
        <v>50</v>
      </c>
      <c r="D19" s="57" t="s">
        <v>56</v>
      </c>
      <c r="E19" s="59" t="s">
        <v>63</v>
      </c>
      <c r="F19" s="80">
        <v>40817</v>
      </c>
      <c r="G19" s="80">
        <v>40908</v>
      </c>
      <c r="H19" s="14">
        <v>7.8082374514264101</v>
      </c>
      <c r="I19" s="81">
        <v>45</v>
      </c>
      <c r="J19" s="92">
        <v>43.291883708125802</v>
      </c>
      <c r="K19" s="92">
        <f t="shared" si="0"/>
        <v>43.291883720125803</v>
      </c>
      <c r="L19" s="14">
        <v>0.325023248895151</v>
      </c>
      <c r="M19" s="92">
        <v>-0.48641835572727199</v>
      </c>
      <c r="N19" s="15">
        <v>31.3366961913197</v>
      </c>
      <c r="O19" s="106">
        <f t="shared" si="1"/>
        <v>1129</v>
      </c>
      <c r="P19" s="106">
        <v>1080</v>
      </c>
      <c r="Q19" s="81">
        <v>2209</v>
      </c>
      <c r="R19" s="106">
        <f t="shared" si="2"/>
        <v>0.48890900860117703</v>
      </c>
      <c r="S19" s="106">
        <f t="shared" si="3"/>
        <v>59.283212962963027</v>
      </c>
      <c r="T19" s="86">
        <v>1.3044505640719457</v>
      </c>
      <c r="U19" s="81">
        <f t="shared" si="4"/>
        <v>1.3044505640719456E-2</v>
      </c>
      <c r="V19" s="16">
        <f t="shared" si="6"/>
        <v>7.8082374456535755</v>
      </c>
      <c r="W19" s="93">
        <f t="shared" si="7"/>
        <v>7.3932615585192707E-10</v>
      </c>
      <c r="X19" s="81">
        <f t="shared" si="9"/>
        <v>-0.48641835571217101</v>
      </c>
      <c r="Y19" s="107">
        <f t="shared" si="8"/>
        <v>3.1045166437593252E-11</v>
      </c>
      <c r="Z19" s="65">
        <f t="shared" si="5"/>
        <v>172483.9651744875</v>
      </c>
    </row>
    <row r="20" spans="1:29" x14ac:dyDescent="0.25">
      <c r="A20" s="95">
        <v>120</v>
      </c>
      <c r="B20" s="94">
        <v>264</v>
      </c>
      <c r="C20" s="59" t="s">
        <v>20</v>
      </c>
      <c r="D20" s="57" t="s">
        <v>54</v>
      </c>
      <c r="E20" s="59" t="s">
        <v>64</v>
      </c>
      <c r="F20" s="80">
        <v>40848</v>
      </c>
      <c r="G20" s="80">
        <v>40877</v>
      </c>
      <c r="H20" s="14">
        <v>2.0530850778669101</v>
      </c>
      <c r="I20" s="81">
        <v>45</v>
      </c>
      <c r="J20" s="92">
        <v>48.4197421147379</v>
      </c>
      <c r="K20" s="92">
        <f t="shared" si="0"/>
        <v>48.419742126737901</v>
      </c>
      <c r="L20" s="14">
        <v>0.56845581143697899</v>
      </c>
      <c r="M20" s="92">
        <v>0.35747303093765298</v>
      </c>
      <c r="N20" s="15">
        <v>45.340208333333301</v>
      </c>
      <c r="O20" s="106">
        <f t="shared" si="1"/>
        <v>144</v>
      </c>
      <c r="P20" s="106">
        <v>120</v>
      </c>
      <c r="Q20" s="81">
        <v>264</v>
      </c>
      <c r="R20" s="106">
        <f t="shared" si="2"/>
        <v>0.45454545454545453</v>
      </c>
      <c r="S20" s="106">
        <f t="shared" si="3"/>
        <v>44.591750000000054</v>
      </c>
      <c r="T20" s="87">
        <v>1.0201603810794035</v>
      </c>
      <c r="U20" s="81">
        <f t="shared" si="4"/>
        <v>1.0201603810794036E-2</v>
      </c>
      <c r="V20" s="16">
        <f t="shared" si="6"/>
        <v>2.0528316097105965</v>
      </c>
      <c r="W20" s="93">
        <f t="shared" si="7"/>
        <v>1.2347245390920136E-4</v>
      </c>
      <c r="X20" s="81">
        <f t="shared" si="9"/>
        <v>0.35750518618675997</v>
      </c>
      <c r="Y20" s="107">
        <f t="shared" si="8"/>
        <v>-8.9943447953766409E-5</v>
      </c>
      <c r="Z20" s="65">
        <f t="shared" si="5"/>
        <v>5419.4754496359747</v>
      </c>
    </row>
    <row r="21" spans="1:29" x14ac:dyDescent="0.25">
      <c r="A21" s="96">
        <v>120</v>
      </c>
      <c r="B21" s="94">
        <v>264</v>
      </c>
      <c r="C21" s="59" t="s">
        <v>20</v>
      </c>
      <c r="D21" s="57" t="s">
        <v>56</v>
      </c>
      <c r="E21" s="59" t="s">
        <v>65</v>
      </c>
      <c r="F21" s="80">
        <v>40848</v>
      </c>
      <c r="G21" s="80">
        <v>40877</v>
      </c>
      <c r="H21" s="14">
        <v>0.31376937972867402</v>
      </c>
      <c r="I21" s="81">
        <v>45</v>
      </c>
      <c r="J21" s="92">
        <v>48.4197421147379</v>
      </c>
      <c r="K21" s="92">
        <f t="shared" si="0"/>
        <v>48.419742126737901</v>
      </c>
      <c r="L21" s="14">
        <v>0.56845581143697899</v>
      </c>
      <c r="M21" s="92">
        <v>-9.6894597313675904E-2</v>
      </c>
      <c r="N21" s="15">
        <v>45.340208333333301</v>
      </c>
      <c r="O21" s="106">
        <f t="shared" si="1"/>
        <v>144</v>
      </c>
      <c r="P21" s="106">
        <v>120</v>
      </c>
      <c r="Q21" s="81">
        <v>264</v>
      </c>
      <c r="R21" s="106">
        <f t="shared" si="2"/>
        <v>0.45454545454545453</v>
      </c>
      <c r="S21" s="106">
        <f t="shared" si="3"/>
        <v>44.591750000000054</v>
      </c>
      <c r="T21" s="87">
        <v>1.0201603810794035</v>
      </c>
      <c r="U21" s="81">
        <f t="shared" si="4"/>
        <v>1.0201603810794036E-2</v>
      </c>
      <c r="V21" s="16">
        <f t="shared" si="6"/>
        <v>0.31351590611995683</v>
      </c>
      <c r="W21" s="93">
        <f t="shared" si="7"/>
        <v>8.0848723707238612E-4</v>
      </c>
      <c r="X21" s="81">
        <f t="shared" si="9"/>
        <v>-9.6862442064569065E-2</v>
      </c>
      <c r="Y21" s="107">
        <f t="shared" si="8"/>
        <v>3.319681852065326E-4</v>
      </c>
      <c r="Z21" s="65">
        <f t="shared" si="5"/>
        <v>827.68199215668608</v>
      </c>
    </row>
    <row r="22" spans="1:29" x14ac:dyDescent="0.25">
      <c r="A22" s="97">
        <v>336</v>
      </c>
      <c r="B22" s="94">
        <v>720</v>
      </c>
      <c r="C22" s="11" t="s">
        <v>20</v>
      </c>
      <c r="D22" s="12" t="s">
        <v>54</v>
      </c>
      <c r="E22" s="11" t="s">
        <v>66</v>
      </c>
      <c r="F22" s="13">
        <v>40848</v>
      </c>
      <c r="G22" s="13">
        <v>40877</v>
      </c>
      <c r="H22" s="14">
        <v>0.38293269726914703</v>
      </c>
      <c r="I22" s="15">
        <v>45</v>
      </c>
      <c r="J22" s="92">
        <v>43.954059686512601</v>
      </c>
      <c r="K22" s="92">
        <f t="shared" si="0"/>
        <v>43.954059698512602</v>
      </c>
      <c r="L22" s="14">
        <v>0.63429316413595305</v>
      </c>
      <c r="M22" s="92">
        <v>0.122909462001142</v>
      </c>
      <c r="N22" s="15">
        <v>42.448463541666698</v>
      </c>
      <c r="O22" s="106">
        <f t="shared" si="1"/>
        <v>384</v>
      </c>
      <c r="P22" s="106">
        <v>336</v>
      </c>
      <c r="Q22" s="15">
        <v>720</v>
      </c>
      <c r="R22" s="106">
        <f t="shared" si="2"/>
        <v>0.46666666666666667</v>
      </c>
      <c r="S22" s="106">
        <f t="shared" si="3"/>
        <v>47.916041666666636</v>
      </c>
      <c r="T22" s="87">
        <v>1.0201603810794035</v>
      </c>
      <c r="U22" s="15">
        <f t="shared" si="4"/>
        <v>1.0201603810794036E-2</v>
      </c>
      <c r="V22" s="16">
        <f t="shared" si="6"/>
        <v>0.3829455150662972</v>
      </c>
      <c r="W22" s="93">
        <f>H22/V22-1</f>
        <v>-3.3471594902856339E-5</v>
      </c>
      <c r="X22" s="15">
        <f t="shared" si="9"/>
        <v>0.12291123890394047</v>
      </c>
      <c r="Y22" s="107">
        <f t="shared" si="8"/>
        <v>-1.4456796744721778E-5</v>
      </c>
      <c r="Z22" s="65">
        <f t="shared" si="5"/>
        <v>2757.20770847734</v>
      </c>
      <c r="AA22" s="15"/>
      <c r="AB22" s="81">
        <f>SQRT(P22)</f>
        <v>18.330302779823359</v>
      </c>
      <c r="AC22" s="81">
        <f>B76d1(K22,S22,P22,L22,U22)</f>
        <v>5.8059698984482333</v>
      </c>
    </row>
    <row r="23" spans="1:29" x14ac:dyDescent="0.25">
      <c r="A23" s="98">
        <v>336</v>
      </c>
      <c r="B23" s="94">
        <v>720</v>
      </c>
      <c r="C23" s="59" t="s">
        <v>20</v>
      </c>
      <c r="D23" s="57" t="s">
        <v>56</v>
      </c>
      <c r="E23" s="59" t="s">
        <v>67</v>
      </c>
      <c r="F23" s="80">
        <v>40848</v>
      </c>
      <c r="G23" s="80">
        <v>40877</v>
      </c>
      <c r="H23" s="14">
        <v>2.2311342889128598</v>
      </c>
      <c r="I23" s="81">
        <v>45</v>
      </c>
      <c r="J23" s="92">
        <v>43.954059686512601</v>
      </c>
      <c r="K23" s="92">
        <f t="shared" si="0"/>
        <v>43.954059698512602</v>
      </c>
      <c r="L23" s="14">
        <v>0.63429316413595305</v>
      </c>
      <c r="M23" s="92">
        <v>-0.34357463633689</v>
      </c>
      <c r="N23" s="15">
        <v>42.448463541666698</v>
      </c>
      <c r="O23" s="106">
        <f t="shared" si="1"/>
        <v>384</v>
      </c>
      <c r="P23" s="106">
        <v>336</v>
      </c>
      <c r="Q23" s="81">
        <v>720</v>
      </c>
      <c r="R23" s="106">
        <f t="shared" si="2"/>
        <v>0.46666666666666667</v>
      </c>
      <c r="S23" s="106">
        <f t="shared" si="3"/>
        <v>47.916041666666636</v>
      </c>
      <c r="T23" s="87">
        <v>1.0201603810794035</v>
      </c>
      <c r="U23" s="81">
        <f t="shared" si="4"/>
        <v>1.0201603810794036E-2</v>
      </c>
      <c r="V23" s="16">
        <f t="shared" si="6"/>
        <v>2.2311471011121715</v>
      </c>
      <c r="W23" s="93">
        <f t="shared" si="7"/>
        <v>-5.7424269808148409E-6</v>
      </c>
      <c r="X23" s="81">
        <f t="shared" si="9"/>
        <v>-0.34357285943409066</v>
      </c>
      <c r="Y23" s="107">
        <f t="shared" si="8"/>
        <v>5.1718369207254256E-6</v>
      </c>
      <c r="Z23" s="65">
        <f t="shared" si="5"/>
        <v>16064.259128007634</v>
      </c>
      <c r="AC23" s="81">
        <f>B76d2(K22,S22,P22,L22,U22)</f>
        <v>-5.8208158513359818</v>
      </c>
    </row>
    <row r="24" spans="1:29" x14ac:dyDescent="0.25">
      <c r="A24" s="98">
        <v>336</v>
      </c>
      <c r="B24" s="94">
        <v>720</v>
      </c>
      <c r="C24" s="59" t="s">
        <v>50</v>
      </c>
      <c r="D24" s="57" t="s">
        <v>54</v>
      </c>
      <c r="E24" s="59" t="s">
        <v>66</v>
      </c>
      <c r="F24" s="80">
        <v>40848</v>
      </c>
      <c r="G24" s="80">
        <v>40877</v>
      </c>
      <c r="H24" s="14">
        <v>3.0139918160293301E-2</v>
      </c>
      <c r="I24" s="81">
        <v>45</v>
      </c>
      <c r="J24" s="92">
        <v>41.945340490398102</v>
      </c>
      <c r="K24" s="92">
        <f t="shared" si="0"/>
        <v>41.945340502398103</v>
      </c>
      <c r="L24" s="14">
        <v>0.44291039032619001</v>
      </c>
      <c r="M24" s="92">
        <v>2.0827574144014802E-2</v>
      </c>
      <c r="N24" s="15">
        <v>41.684140624999998</v>
      </c>
      <c r="O24" s="106">
        <f t="shared" si="1"/>
        <v>384</v>
      </c>
      <c r="P24" s="106">
        <v>336</v>
      </c>
      <c r="Q24" s="81">
        <v>720</v>
      </c>
      <c r="R24" s="106">
        <f t="shared" si="2"/>
        <v>0.46666666666666667</v>
      </c>
      <c r="S24" s="106">
        <f t="shared" si="3"/>
        <v>48.789553571428577</v>
      </c>
      <c r="T24" s="87">
        <v>1.0201603810794035</v>
      </c>
      <c r="U24" s="81">
        <f t="shared" si="4"/>
        <v>1.0201603810794036E-2</v>
      </c>
      <c r="V24" s="16">
        <f t="shared" si="6"/>
        <v>3.0139911854746501E-2</v>
      </c>
      <c r="W24" s="93">
        <f t="shared" si="7"/>
        <v>2.0920919840961005E-7</v>
      </c>
      <c r="X24" s="81">
        <f t="shared" si="9"/>
        <v>2.0827574251797348E-2</v>
      </c>
      <c r="Y24" s="107">
        <f t="shared" si="8"/>
        <v>-5.17499276764255E-9</v>
      </c>
      <c r="Z24" s="65">
        <f t="shared" si="5"/>
        <v>217.00736535417482</v>
      </c>
    </row>
    <row r="25" spans="1:29" x14ac:dyDescent="0.25">
      <c r="A25" s="98">
        <v>336</v>
      </c>
      <c r="B25" s="94">
        <v>720</v>
      </c>
      <c r="C25" s="59" t="s">
        <v>50</v>
      </c>
      <c r="D25" s="57" t="s">
        <v>56</v>
      </c>
      <c r="E25" s="59" t="s">
        <v>67</v>
      </c>
      <c r="F25" s="80">
        <v>40848</v>
      </c>
      <c r="G25" s="80">
        <v>40877</v>
      </c>
      <c r="H25" s="14">
        <v>3.2228564860981401</v>
      </c>
      <c r="I25" s="81">
        <v>45</v>
      </c>
      <c r="J25" s="92">
        <v>41.945340490398102</v>
      </c>
      <c r="K25" s="92">
        <f t="shared" si="0"/>
        <v>41.945340502398103</v>
      </c>
      <c r="L25" s="14">
        <v>0.44291039032619001</v>
      </c>
      <c r="M25" s="92">
        <v>-0.44565652419401602</v>
      </c>
      <c r="N25" s="15">
        <v>41.684140624999998</v>
      </c>
      <c r="O25" s="106">
        <f t="shared" si="1"/>
        <v>384</v>
      </c>
      <c r="P25" s="106">
        <v>336</v>
      </c>
      <c r="Q25" s="81">
        <v>720</v>
      </c>
      <c r="R25" s="106">
        <f t="shared" si="2"/>
        <v>0.46666666666666667</v>
      </c>
      <c r="S25" s="106">
        <f t="shared" si="3"/>
        <v>48.789553571428577</v>
      </c>
      <c r="T25" s="87">
        <v>1.0201603810794035</v>
      </c>
      <c r="U25" s="81">
        <f t="shared" si="4"/>
        <v>1.0201603810794036E-2</v>
      </c>
      <c r="V25" s="16">
        <f t="shared" si="6"/>
        <v>3.2228564741947978</v>
      </c>
      <c r="W25" s="93">
        <f t="shared" si="7"/>
        <v>3.6934137970234815E-9</v>
      </c>
      <c r="X25" s="81">
        <f t="shared" si="9"/>
        <v>-0.44565652408623374</v>
      </c>
      <c r="Y25" s="107">
        <f t="shared" si="8"/>
        <v>2.4185053959513425E-10</v>
      </c>
      <c r="Z25" s="65">
        <f t="shared" si="5"/>
        <v>23204.566614202544</v>
      </c>
      <c r="AC25" s="81">
        <f>NORMDIST(AC22,0,1,TRUE)</f>
        <v>0.99999999680027707</v>
      </c>
    </row>
    <row r="26" spans="1:29" x14ac:dyDescent="0.25">
      <c r="A26" s="98">
        <v>3132</v>
      </c>
      <c r="B26" s="94">
        <v>3132</v>
      </c>
      <c r="C26" s="59" t="s">
        <v>20</v>
      </c>
      <c r="D26" s="57" t="s">
        <v>54</v>
      </c>
      <c r="E26" s="59" t="s">
        <v>68</v>
      </c>
      <c r="F26" s="80">
        <v>40909</v>
      </c>
      <c r="G26" s="80">
        <v>41274</v>
      </c>
      <c r="H26" s="14">
        <v>8.0580341352504004</v>
      </c>
      <c r="I26" s="81">
        <v>45</v>
      </c>
      <c r="J26" s="92">
        <v>49.350000000000101</v>
      </c>
      <c r="K26" s="92">
        <f t="shared" si="0"/>
        <v>49.350000012000102</v>
      </c>
      <c r="L26" s="14">
        <v>0.29214554175115198</v>
      </c>
      <c r="M26" s="92">
        <v>0.65975383819936495</v>
      </c>
      <c r="O26" s="106">
        <f t="shared" si="1"/>
        <v>0</v>
      </c>
      <c r="P26" s="106">
        <v>3132</v>
      </c>
      <c r="Q26" s="81">
        <v>3132</v>
      </c>
      <c r="R26" s="106">
        <f t="shared" si="2"/>
        <v>1</v>
      </c>
      <c r="S26" s="106">
        <f t="shared" si="3"/>
        <v>45</v>
      </c>
      <c r="T26" s="88">
        <v>1.9765890819249041</v>
      </c>
      <c r="U26" s="81">
        <f t="shared" si="4"/>
        <v>1.9765890819249041E-2</v>
      </c>
      <c r="V26" s="16">
        <f t="shared" si="6"/>
        <v>8.0580341432258926</v>
      </c>
      <c r="W26" s="93">
        <f t="shared" si="7"/>
        <v>-9.8975661000366699E-10</v>
      </c>
      <c r="X26" s="81">
        <f t="shared" si="9"/>
        <v>0.65975383847679425</v>
      </c>
      <c r="Y26" s="107">
        <f t="shared" si="8"/>
        <v>-4.2050429804874057E-10</v>
      </c>
      <c r="Z26" s="65">
        <f t="shared" si="5"/>
        <v>252377.62936583499</v>
      </c>
    </row>
    <row r="27" spans="1:29" x14ac:dyDescent="0.25">
      <c r="A27" s="98">
        <v>3132</v>
      </c>
      <c r="B27" s="94">
        <v>3132</v>
      </c>
      <c r="C27" s="59" t="s">
        <v>20</v>
      </c>
      <c r="D27" s="57" t="s">
        <v>56</v>
      </c>
      <c r="E27" s="59" t="s">
        <v>69</v>
      </c>
      <c r="F27" s="80">
        <v>40909</v>
      </c>
      <c r="G27" s="80">
        <v>41274</v>
      </c>
      <c r="H27" s="14">
        <v>3.8037823176749899</v>
      </c>
      <c r="I27" s="81">
        <v>45</v>
      </c>
      <c r="J27" s="92">
        <v>49.350000000000101</v>
      </c>
      <c r="K27" s="92">
        <f t="shared" si="0"/>
        <v>49.350000012000102</v>
      </c>
      <c r="L27" s="14">
        <v>0.29214554175115198</v>
      </c>
      <c r="M27" s="92">
        <v>-0.31823508538117001</v>
      </c>
      <c r="O27" s="106">
        <f t="shared" si="1"/>
        <v>0</v>
      </c>
      <c r="P27" s="106">
        <v>3132</v>
      </c>
      <c r="Q27" s="81">
        <v>3132</v>
      </c>
      <c r="R27" s="106">
        <f t="shared" si="2"/>
        <v>1</v>
      </c>
      <c r="S27" s="106">
        <f t="shared" si="3"/>
        <v>45</v>
      </c>
      <c r="T27" s="88">
        <v>1.9765890819249041</v>
      </c>
      <c r="U27" s="81">
        <f t="shared" si="4"/>
        <v>1.9765890819249041E-2</v>
      </c>
      <c r="V27" s="16">
        <f t="shared" si="6"/>
        <v>3.8037823139146028</v>
      </c>
      <c r="W27" s="93">
        <f t="shared" si="7"/>
        <v>9.8859165298392782E-10</v>
      </c>
      <c r="X27" s="81">
        <f t="shared" si="9"/>
        <v>-0.31823508510374066</v>
      </c>
      <c r="Y27" s="107">
        <f t="shared" si="8"/>
        <v>8.7177487451128854E-10</v>
      </c>
      <c r="Z27" s="65">
        <f t="shared" si="5"/>
        <v>119134.46207180536</v>
      </c>
    </row>
    <row r="28" spans="1:29" x14ac:dyDescent="0.25">
      <c r="A28" s="98">
        <v>8784</v>
      </c>
      <c r="B28" s="94">
        <v>8784</v>
      </c>
      <c r="C28" s="59" t="s">
        <v>20</v>
      </c>
      <c r="D28" s="57" t="s">
        <v>54</v>
      </c>
      <c r="E28" s="59" t="s">
        <v>70</v>
      </c>
      <c r="F28" s="80">
        <v>40909</v>
      </c>
      <c r="G28" s="80">
        <v>41274</v>
      </c>
      <c r="H28" s="14">
        <v>4.85929656787438</v>
      </c>
      <c r="I28" s="81">
        <v>45</v>
      </c>
      <c r="J28" s="92">
        <v>44.581152094717602</v>
      </c>
      <c r="K28" s="92">
        <f t="shared" si="0"/>
        <v>44.581152106717603</v>
      </c>
      <c r="L28" s="14">
        <v>0.273905982163897</v>
      </c>
      <c r="M28" s="92">
        <v>0.53304853148569398</v>
      </c>
      <c r="O28" s="106">
        <f t="shared" si="1"/>
        <v>0</v>
      </c>
      <c r="P28" s="106">
        <v>8784</v>
      </c>
      <c r="Q28" s="81">
        <v>8784</v>
      </c>
      <c r="R28" s="106">
        <f t="shared" si="2"/>
        <v>1</v>
      </c>
      <c r="S28" s="106">
        <f t="shared" si="3"/>
        <v>45</v>
      </c>
      <c r="T28" s="88">
        <v>1.9765890819249041</v>
      </c>
      <c r="U28" s="81">
        <f t="shared" si="4"/>
        <v>1.9765890819249041E-2</v>
      </c>
      <c r="V28" s="16">
        <f t="shared" si="6"/>
        <v>4.8592965742799645</v>
      </c>
      <c r="W28" s="93">
        <f t="shared" si="7"/>
        <v>-1.3182123170807358E-9</v>
      </c>
      <c r="X28" s="81">
        <f t="shared" si="9"/>
        <v>0.53304853184471257</v>
      </c>
      <c r="Y28" s="107">
        <f t="shared" si="8"/>
        <v>-6.7351957344641278E-10</v>
      </c>
      <c r="Z28" s="65">
        <f t="shared" si="5"/>
        <v>426840.61108475213</v>
      </c>
    </row>
    <row r="29" spans="1:29" x14ac:dyDescent="0.25">
      <c r="A29" s="98">
        <v>8784</v>
      </c>
      <c r="B29" s="94">
        <v>8784</v>
      </c>
      <c r="C29" s="59" t="s">
        <v>20</v>
      </c>
      <c r="D29" s="57" t="s">
        <v>56</v>
      </c>
      <c r="E29" s="59" t="s">
        <v>71</v>
      </c>
      <c r="F29" s="80">
        <v>40909</v>
      </c>
      <c r="G29" s="80">
        <v>41274</v>
      </c>
      <c r="H29" s="14">
        <v>5.2689251799054899</v>
      </c>
      <c r="I29" s="81">
        <v>45</v>
      </c>
      <c r="J29" s="92">
        <v>44.581152094717602</v>
      </c>
      <c r="K29" s="92">
        <f t="shared" si="0"/>
        <v>44.581152106717603</v>
      </c>
      <c r="L29" s="14">
        <v>0.273905982163897</v>
      </c>
      <c r="M29" s="92">
        <v>-0.44494039209484099</v>
      </c>
      <c r="O29" s="106">
        <f t="shared" si="1"/>
        <v>0</v>
      </c>
      <c r="P29" s="106">
        <v>8784</v>
      </c>
      <c r="Q29" s="81">
        <v>8784</v>
      </c>
      <c r="R29" s="106">
        <f t="shared" si="2"/>
        <v>1</v>
      </c>
      <c r="S29" s="106">
        <f t="shared" si="3"/>
        <v>45</v>
      </c>
      <c r="T29" s="89">
        <v>1.9765890819249041</v>
      </c>
      <c r="U29" s="81">
        <f t="shared" si="4"/>
        <v>1.9765890819249041E-2</v>
      </c>
      <c r="V29" s="16">
        <f t="shared" si="6"/>
        <v>5.2689251745751902</v>
      </c>
      <c r="W29" s="93">
        <f t="shared" si="7"/>
        <v>1.0116483206701332E-9</v>
      </c>
      <c r="X29" s="81">
        <f t="shared" si="9"/>
        <v>-0.44494039173582234</v>
      </c>
      <c r="Y29" s="107">
        <f t="shared" si="8"/>
        <v>8.06891664595355E-10</v>
      </c>
      <c r="Z29" s="65">
        <f t="shared" si="5"/>
        <v>462822.38733468472</v>
      </c>
    </row>
    <row r="30" spans="1:29" x14ac:dyDescent="0.25">
      <c r="A30" s="98">
        <v>8784</v>
      </c>
      <c r="B30" s="94">
        <v>8784</v>
      </c>
      <c r="C30" s="59" t="s">
        <v>50</v>
      </c>
      <c r="D30" s="57" t="s">
        <v>54</v>
      </c>
      <c r="E30" s="59" t="s">
        <v>70</v>
      </c>
      <c r="F30" s="80">
        <v>40909</v>
      </c>
      <c r="G30" s="80">
        <v>41274</v>
      </c>
      <c r="H30" s="14">
        <v>2.1687904330692298</v>
      </c>
      <c r="I30" s="81">
        <v>45</v>
      </c>
      <c r="J30" s="92">
        <v>43.631152094717599</v>
      </c>
      <c r="K30" s="92">
        <f t="shared" si="0"/>
        <v>43.6311521067176</v>
      </c>
      <c r="L30" s="14">
        <v>0.15208588984199201</v>
      </c>
      <c r="M30" s="92">
        <v>0.44588400032756798</v>
      </c>
      <c r="O30" s="106">
        <f t="shared" si="1"/>
        <v>0</v>
      </c>
      <c r="P30" s="106">
        <v>8784</v>
      </c>
      <c r="Q30" s="81">
        <v>8784</v>
      </c>
      <c r="R30" s="106">
        <f t="shared" si="2"/>
        <v>1</v>
      </c>
      <c r="S30" s="106">
        <f t="shared" si="3"/>
        <v>45</v>
      </c>
      <c r="T30" s="89">
        <v>1.9765890819249041</v>
      </c>
      <c r="U30" s="81">
        <f t="shared" si="4"/>
        <v>1.9765890819249041E-2</v>
      </c>
      <c r="V30" s="16">
        <f t="shared" si="6"/>
        <v>2.1687904384252934</v>
      </c>
      <c r="W30" s="93">
        <f t="shared" si="7"/>
        <v>-2.4696086287079311E-9</v>
      </c>
      <c r="X30" s="81">
        <f t="shared" si="9"/>
        <v>0.44588400098842024</v>
      </c>
      <c r="Y30" s="107">
        <f t="shared" si="8"/>
        <v>-1.4821169846968019E-9</v>
      </c>
      <c r="Z30" s="65">
        <f t="shared" si="5"/>
        <v>190506.55211127779</v>
      </c>
    </row>
    <row r="31" spans="1:29" x14ac:dyDescent="0.25">
      <c r="A31" s="98">
        <v>8784</v>
      </c>
      <c r="B31" s="94">
        <v>8784</v>
      </c>
      <c r="C31" s="59" t="s">
        <v>50</v>
      </c>
      <c r="D31" s="57" t="s">
        <v>56</v>
      </c>
      <c r="E31" s="59" t="s">
        <v>71</v>
      </c>
      <c r="F31" s="80">
        <v>40909</v>
      </c>
      <c r="G31" s="80">
        <v>41274</v>
      </c>
      <c r="H31" s="14">
        <v>3.5075085225018401</v>
      </c>
      <c r="I31" s="81">
        <v>45</v>
      </c>
      <c r="J31" s="92">
        <v>43.631152094717599</v>
      </c>
      <c r="K31" s="92">
        <f t="shared" si="0"/>
        <v>43.6311521067176</v>
      </c>
      <c r="L31" s="14">
        <v>0.15208588984199201</v>
      </c>
      <c r="M31" s="92">
        <v>-0.53210492325296699</v>
      </c>
      <c r="O31" s="106">
        <f t="shared" si="1"/>
        <v>0</v>
      </c>
      <c r="P31" s="106">
        <v>8784</v>
      </c>
      <c r="Q31" s="81">
        <v>8784</v>
      </c>
      <c r="R31" s="106">
        <f t="shared" si="2"/>
        <v>1</v>
      </c>
      <c r="S31" s="106">
        <f t="shared" si="3"/>
        <v>45</v>
      </c>
      <c r="T31" s="89">
        <v>1.9765890819249041</v>
      </c>
      <c r="U31" s="81">
        <f t="shared" si="4"/>
        <v>1.9765890819249041E-2</v>
      </c>
      <c r="V31" s="16">
        <f t="shared" si="6"/>
        <v>3.5075085161220305</v>
      </c>
      <c r="W31" s="93">
        <f t="shared" si="7"/>
        <v>1.8189005857038865E-9</v>
      </c>
      <c r="X31" s="81">
        <f t="shared" si="9"/>
        <v>-0.53210492259211462</v>
      </c>
      <c r="Y31" s="107">
        <f t="shared" si="8"/>
        <v>1.2419587580581037E-9</v>
      </c>
      <c r="Z31" s="65">
        <f t="shared" si="5"/>
        <v>308099.54805615917</v>
      </c>
    </row>
    <row r="32" spans="1:29" x14ac:dyDescent="0.25">
      <c r="A32" s="98">
        <v>780</v>
      </c>
      <c r="B32" s="94">
        <v>780</v>
      </c>
      <c r="C32" s="59" t="s">
        <v>20</v>
      </c>
      <c r="D32" s="57" t="s">
        <v>54</v>
      </c>
      <c r="E32" s="59" t="s">
        <v>72</v>
      </c>
      <c r="F32" s="80">
        <v>41000</v>
      </c>
      <c r="G32" s="80">
        <v>41090</v>
      </c>
      <c r="H32" s="14">
        <v>7.5620649121289496</v>
      </c>
      <c r="I32" s="81">
        <v>45</v>
      </c>
      <c r="J32" s="92">
        <v>47.3500000000002</v>
      </c>
      <c r="K32" s="92">
        <f t="shared" si="0"/>
        <v>47.350000012000201</v>
      </c>
      <c r="L32" s="14">
        <v>0.443139705345097</v>
      </c>
      <c r="M32" s="92">
        <v>0.61870736404840798</v>
      </c>
      <c r="O32" s="106">
        <f t="shared" si="1"/>
        <v>0</v>
      </c>
      <c r="P32" s="106">
        <v>780</v>
      </c>
      <c r="Q32" s="81">
        <v>780</v>
      </c>
      <c r="R32" s="106">
        <f t="shared" si="2"/>
        <v>1</v>
      </c>
      <c r="S32" s="106">
        <f t="shared" si="3"/>
        <v>45</v>
      </c>
      <c r="T32" s="90">
        <v>1.7983651194400534</v>
      </c>
      <c r="U32" s="81">
        <f t="shared" si="4"/>
        <v>1.7983651194400534E-2</v>
      </c>
      <c r="V32" s="16">
        <f t="shared" si="6"/>
        <v>7.5620649196026664</v>
      </c>
      <c r="W32" s="93">
        <f t="shared" si="7"/>
        <v>-9.8831687278533309E-10</v>
      </c>
      <c r="X32" s="81">
        <f t="shared" si="9"/>
        <v>0.61870736432122608</v>
      </c>
      <c r="Y32" s="107">
        <f t="shared" si="8"/>
        <v>-4.4094849993570051E-10</v>
      </c>
      <c r="Z32" s="65">
        <f t="shared" si="5"/>
        <v>58984.106372900795</v>
      </c>
    </row>
    <row r="33" spans="1:27" x14ac:dyDescent="0.25">
      <c r="A33" s="98">
        <v>780</v>
      </c>
      <c r="B33" s="94">
        <v>780</v>
      </c>
      <c r="C33" s="59" t="s">
        <v>20</v>
      </c>
      <c r="D33" s="57" t="s">
        <v>56</v>
      </c>
      <c r="E33" s="59" t="s">
        <v>73</v>
      </c>
      <c r="F33" s="80">
        <v>41000</v>
      </c>
      <c r="G33" s="80">
        <v>41090</v>
      </c>
      <c r="H33" s="14">
        <v>5.2382017074998197</v>
      </c>
      <c r="I33" s="81">
        <v>45</v>
      </c>
      <c r="J33" s="92">
        <v>47.3500000000002</v>
      </c>
      <c r="K33" s="92">
        <f t="shared" si="0"/>
        <v>47.350000012000201</v>
      </c>
      <c r="L33" s="14">
        <v>0.443139705345097</v>
      </c>
      <c r="M33" s="92">
        <v>-0.37017059536814401</v>
      </c>
      <c r="O33" s="106">
        <f t="shared" si="1"/>
        <v>0</v>
      </c>
      <c r="P33" s="106">
        <v>780</v>
      </c>
      <c r="Q33" s="81">
        <v>780</v>
      </c>
      <c r="R33" s="106">
        <f t="shared" si="2"/>
        <v>1</v>
      </c>
      <c r="S33" s="106">
        <f t="shared" si="3"/>
        <v>45</v>
      </c>
      <c r="T33" s="90">
        <v>1.7983651194400534</v>
      </c>
      <c r="U33" s="81">
        <f t="shared" si="4"/>
        <v>1.7983651194400534E-2</v>
      </c>
      <c r="V33" s="16">
        <f t="shared" si="6"/>
        <v>5.2382017031070323</v>
      </c>
      <c r="W33" s="93">
        <f t="shared" si="7"/>
        <v>8.3860607347219229E-10</v>
      </c>
      <c r="X33" s="81">
        <f t="shared" si="9"/>
        <v>-0.37017059509532507</v>
      </c>
      <c r="Y33" s="107">
        <f t="shared" si="8"/>
        <v>7.3700867631032452E-10</v>
      </c>
      <c r="Z33" s="65">
        <f t="shared" si="5"/>
        <v>40857.973284234846</v>
      </c>
    </row>
    <row r="34" spans="1:27" x14ac:dyDescent="0.25">
      <c r="A34" s="98">
        <v>2184</v>
      </c>
      <c r="B34" s="94">
        <v>2184</v>
      </c>
      <c r="C34" s="59" t="s">
        <v>20</v>
      </c>
      <c r="D34" s="57" t="s">
        <v>54</v>
      </c>
      <c r="E34" s="59" t="s">
        <v>51</v>
      </c>
      <c r="F34" s="80">
        <v>41000</v>
      </c>
      <c r="G34" s="80">
        <v>41090</v>
      </c>
      <c r="H34" s="14">
        <v>4.6273511105178002</v>
      </c>
      <c r="I34" s="81">
        <v>45</v>
      </c>
      <c r="J34" s="92">
        <v>42.499999999999702</v>
      </c>
      <c r="K34" s="92">
        <f t="shared" si="0"/>
        <v>42.500000011999703</v>
      </c>
      <c r="L34" s="14">
        <v>0.42673337895104302</v>
      </c>
      <c r="M34" s="92">
        <v>0.49381489653230598</v>
      </c>
      <c r="O34" s="106">
        <f t="shared" si="1"/>
        <v>0</v>
      </c>
      <c r="P34" s="106">
        <v>2184</v>
      </c>
      <c r="Q34" s="81">
        <v>2184</v>
      </c>
      <c r="R34" s="106">
        <f t="shared" si="2"/>
        <v>1</v>
      </c>
      <c r="S34" s="106">
        <f t="shared" si="3"/>
        <v>45</v>
      </c>
      <c r="T34" s="90">
        <v>1.7983651194400534</v>
      </c>
      <c r="U34" s="81">
        <f t="shared" si="4"/>
        <v>1.7983651194400534E-2</v>
      </c>
      <c r="V34" s="16">
        <f t="shared" si="6"/>
        <v>4.6273511165376222</v>
      </c>
      <c r="W34" s="93">
        <f t="shared" si="7"/>
        <v>-1.3009218147175261E-9</v>
      </c>
      <c r="X34" s="81">
        <f t="shared" si="9"/>
        <v>0.49381489686330043</v>
      </c>
      <c r="Y34" s="107">
        <f t="shared" si="8"/>
        <v>-6.7028038674976642E-10</v>
      </c>
      <c r="Z34" s="65">
        <f t="shared" si="5"/>
        <v>101061.34838518167</v>
      </c>
    </row>
    <row r="35" spans="1:27" x14ac:dyDescent="0.25">
      <c r="A35" s="98">
        <v>2184</v>
      </c>
      <c r="B35" s="94">
        <v>2184</v>
      </c>
      <c r="C35" s="59" t="s">
        <v>20</v>
      </c>
      <c r="D35" s="57" t="s">
        <v>56</v>
      </c>
      <c r="E35" s="59" t="s">
        <v>74</v>
      </c>
      <c r="F35" s="80">
        <v>41000</v>
      </c>
      <c r="G35" s="80">
        <v>41090</v>
      </c>
      <c r="H35" s="14">
        <v>7.0995460090594502</v>
      </c>
      <c r="I35" s="81">
        <v>45</v>
      </c>
      <c r="J35" s="92">
        <v>42.499999999999702</v>
      </c>
      <c r="K35" s="92">
        <f t="shared" si="0"/>
        <v>42.500000011999703</v>
      </c>
      <c r="L35" s="14">
        <v>0.42673337895104302</v>
      </c>
      <c r="M35" s="92">
        <v>-0.49506306288424501</v>
      </c>
      <c r="O35" s="106">
        <f t="shared" si="1"/>
        <v>0</v>
      </c>
      <c r="P35" s="106">
        <v>2184</v>
      </c>
      <c r="Q35" s="81">
        <v>2184</v>
      </c>
      <c r="R35" s="106">
        <f t="shared" si="2"/>
        <v>1</v>
      </c>
      <c r="S35" s="106">
        <f t="shared" si="3"/>
        <v>45</v>
      </c>
      <c r="T35" s="91">
        <v>1.7983651194400534</v>
      </c>
      <c r="U35" s="81">
        <f t="shared" si="4"/>
        <v>1.7983651194400534E-2</v>
      </c>
      <c r="V35" s="16">
        <f t="shared" si="6"/>
        <v>7.0995460032127582</v>
      </c>
      <c r="W35" s="93">
        <f t="shared" si="7"/>
        <v>8.2353035502080729E-10</v>
      </c>
      <c r="X35" s="81">
        <f t="shared" si="9"/>
        <v>-0.49506306255325067</v>
      </c>
      <c r="Y35" s="107">
        <f t="shared" si="8"/>
        <v>6.6859029423937955E-10</v>
      </c>
      <c r="Z35" s="65">
        <f t="shared" si="5"/>
        <v>155054.08471016664</v>
      </c>
    </row>
    <row r="36" spans="1:27" x14ac:dyDescent="0.25">
      <c r="A36" s="98">
        <v>2184</v>
      </c>
      <c r="B36" s="94">
        <v>2184</v>
      </c>
      <c r="C36" s="59" t="s">
        <v>50</v>
      </c>
      <c r="D36" s="57" t="s">
        <v>54</v>
      </c>
      <c r="E36" s="59" t="s">
        <v>51</v>
      </c>
      <c r="F36" s="80">
        <v>41000</v>
      </c>
      <c r="G36" s="80">
        <v>41090</v>
      </c>
      <c r="H36" s="14">
        <v>2.1394484362127399</v>
      </c>
      <c r="I36" s="81">
        <v>45</v>
      </c>
      <c r="J36" s="92">
        <v>42.369999999999699</v>
      </c>
      <c r="K36" s="92">
        <f t="shared" si="0"/>
        <v>42.3700000119997</v>
      </c>
      <c r="L36" s="14">
        <v>0.24154744019645</v>
      </c>
      <c r="M36" s="92">
        <v>0.40799625928199801</v>
      </c>
      <c r="O36" s="106">
        <f t="shared" si="1"/>
        <v>0</v>
      </c>
      <c r="P36" s="106">
        <v>2184</v>
      </c>
      <c r="Q36" s="81">
        <v>2184</v>
      </c>
      <c r="R36" s="106">
        <f t="shared" si="2"/>
        <v>1</v>
      </c>
      <c r="S36" s="106">
        <f t="shared" si="3"/>
        <v>45</v>
      </c>
      <c r="T36" s="91">
        <v>1.7983651194400534</v>
      </c>
      <c r="U36" s="81">
        <f t="shared" si="4"/>
        <v>1.7983651194400534E-2</v>
      </c>
      <c r="V36" s="16">
        <f t="shared" si="6"/>
        <v>2.1394484411214436</v>
      </c>
      <c r="W36" s="93">
        <f t="shared" si="7"/>
        <v>-2.294378131928454E-9</v>
      </c>
      <c r="X36" s="81">
        <f t="shared" si="9"/>
        <v>0.40799625985440591</v>
      </c>
      <c r="Y36" s="107">
        <f t="shared" si="8"/>
        <v>-1.402973404118768E-9</v>
      </c>
      <c r="Z36" s="65">
        <f t="shared" si="5"/>
        <v>46725.553954092327</v>
      </c>
    </row>
    <row r="37" spans="1:27" x14ac:dyDescent="0.25">
      <c r="A37" s="98">
        <v>2184</v>
      </c>
      <c r="B37" s="94">
        <v>2184</v>
      </c>
      <c r="C37" s="59" t="s">
        <v>50</v>
      </c>
      <c r="D37" s="57" t="s">
        <v>56</v>
      </c>
      <c r="E37" s="59" t="s">
        <v>74</v>
      </c>
      <c r="F37" s="80">
        <v>41000</v>
      </c>
      <c r="G37" s="80">
        <v>41090</v>
      </c>
      <c r="H37" s="14">
        <v>4.7401974694785203</v>
      </c>
      <c r="I37" s="81">
        <v>45</v>
      </c>
      <c r="J37" s="92">
        <v>42.369999999999699</v>
      </c>
      <c r="K37" s="92">
        <f t="shared" si="0"/>
        <v>42.3700000119997</v>
      </c>
      <c r="L37" s="14">
        <v>0.24154744019645</v>
      </c>
      <c r="M37" s="92">
        <v>-0.58088170013455298</v>
      </c>
      <c r="O37" s="106">
        <f t="shared" si="1"/>
        <v>0</v>
      </c>
      <c r="P37" s="106">
        <v>2184</v>
      </c>
      <c r="Q37" s="81">
        <v>2184</v>
      </c>
      <c r="R37" s="106">
        <f t="shared" si="2"/>
        <v>1</v>
      </c>
      <c r="S37" s="106">
        <f t="shared" si="3"/>
        <v>45</v>
      </c>
      <c r="T37" s="91">
        <v>1.7983651194400534</v>
      </c>
      <c r="U37" s="81">
        <f t="shared" si="4"/>
        <v>1.7983651194400534E-2</v>
      </c>
      <c r="V37" s="16">
        <f t="shared" si="6"/>
        <v>4.7401974625207339</v>
      </c>
      <c r="W37" s="93">
        <f t="shared" si="7"/>
        <v>1.4678263049461293E-9</v>
      </c>
      <c r="X37" s="81">
        <f t="shared" si="9"/>
        <v>-0.58088169956214519</v>
      </c>
      <c r="Y37" s="107">
        <f t="shared" si="8"/>
        <v>9.8541197424140137E-10</v>
      </c>
      <c r="Z37" s="65">
        <f t="shared" si="5"/>
        <v>103525.91258145282</v>
      </c>
    </row>
    <row r="38" spans="1:27" x14ac:dyDescent="0.25">
      <c r="A38" s="98">
        <v>252</v>
      </c>
      <c r="B38" s="94">
        <v>252</v>
      </c>
      <c r="C38" s="59" t="s">
        <v>20</v>
      </c>
      <c r="D38" s="57" t="s">
        <v>54</v>
      </c>
      <c r="E38" s="59" t="s">
        <v>75</v>
      </c>
      <c r="F38" s="80">
        <v>41061</v>
      </c>
      <c r="G38" s="80">
        <v>41090</v>
      </c>
      <c r="H38" s="14">
        <v>7.6806247898544404</v>
      </c>
      <c r="I38" s="81">
        <v>45</v>
      </c>
      <c r="J38" s="92">
        <v>46.217855787663197</v>
      </c>
      <c r="K38" s="92">
        <f t="shared" si="0"/>
        <v>46.217855799663198</v>
      </c>
      <c r="L38" s="14">
        <v>0.50096755319926201</v>
      </c>
      <c r="M38" s="92">
        <v>0.59782079927306497</v>
      </c>
      <c r="O38" s="106">
        <f t="shared" si="1"/>
        <v>0</v>
      </c>
      <c r="P38" s="106">
        <v>252</v>
      </c>
      <c r="Q38" s="81">
        <v>252</v>
      </c>
      <c r="R38" s="106">
        <f t="shared" si="2"/>
        <v>1</v>
      </c>
      <c r="S38" s="106">
        <f t="shared" si="3"/>
        <v>45</v>
      </c>
      <c r="T38" s="92">
        <v>1.7983651194400534</v>
      </c>
      <c r="U38" s="81">
        <f t="shared" si="4"/>
        <v>1.7983651194400534E-2</v>
      </c>
      <c r="V38" s="16">
        <f t="shared" si="6"/>
        <v>7.680624797032408</v>
      </c>
      <c r="W38" s="93">
        <f t="shared" si="7"/>
        <v>-9.3455521099627958E-10</v>
      </c>
      <c r="X38" s="81">
        <f t="shared" si="9"/>
        <v>0.59782079952346256</v>
      </c>
      <c r="Y38" s="107">
        <f t="shared" si="8"/>
        <v>-4.188506208535614E-10</v>
      </c>
      <c r="Z38" s="65">
        <f t="shared" si="5"/>
        <v>19355.174488521669</v>
      </c>
    </row>
    <row r="39" spans="1:27" x14ac:dyDescent="0.25">
      <c r="A39" s="98">
        <v>252</v>
      </c>
      <c r="B39" s="94">
        <v>252</v>
      </c>
      <c r="C39" s="59" t="s">
        <v>20</v>
      </c>
      <c r="D39" s="57" t="s">
        <v>56</v>
      </c>
      <c r="E39" s="59" t="s">
        <v>76</v>
      </c>
      <c r="F39" s="80">
        <v>41061</v>
      </c>
      <c r="G39" s="80">
        <v>41090</v>
      </c>
      <c r="H39" s="14">
        <v>6.4763140436863802</v>
      </c>
      <c r="I39" s="81">
        <v>45</v>
      </c>
      <c r="J39" s="92">
        <v>46.217855787663197</v>
      </c>
      <c r="K39" s="92">
        <f t="shared" si="0"/>
        <v>46.217855799663198</v>
      </c>
      <c r="L39" s="14">
        <v>0.50096755319926201</v>
      </c>
      <c r="M39" s="92">
        <v>-0.39105716014348602</v>
      </c>
      <c r="O39" s="106">
        <f t="shared" si="1"/>
        <v>0</v>
      </c>
      <c r="P39" s="106">
        <v>252</v>
      </c>
      <c r="Q39" s="81">
        <v>252</v>
      </c>
      <c r="R39" s="106">
        <f t="shared" si="2"/>
        <v>1</v>
      </c>
      <c r="S39" s="106">
        <f t="shared" si="3"/>
        <v>45</v>
      </c>
      <c r="T39" s="92">
        <v>1.7983651194400534</v>
      </c>
      <c r="U39" s="81">
        <f t="shared" si="4"/>
        <v>1.7983651194400534E-2</v>
      </c>
      <c r="V39" s="16">
        <f t="shared" si="6"/>
        <v>6.4763140389978489</v>
      </c>
      <c r="W39" s="93">
        <f t="shared" si="7"/>
        <v>7.2395067718389328E-10</v>
      </c>
      <c r="X39" s="81">
        <f t="shared" si="9"/>
        <v>-0.39105715989308854</v>
      </c>
      <c r="Y39" s="107">
        <f t="shared" si="8"/>
        <v>6.4030913904389308E-10</v>
      </c>
      <c r="Z39" s="65">
        <f t="shared" si="5"/>
        <v>16320.311378274579</v>
      </c>
    </row>
    <row r="40" spans="1:27" x14ac:dyDescent="0.25">
      <c r="A40" s="98">
        <v>720</v>
      </c>
      <c r="B40" s="94">
        <v>720</v>
      </c>
      <c r="C40" s="59" t="s">
        <v>20</v>
      </c>
      <c r="D40" s="57" t="s">
        <v>54</v>
      </c>
      <c r="E40" s="59" t="s">
        <v>52</v>
      </c>
      <c r="F40" s="80">
        <v>41061</v>
      </c>
      <c r="G40" s="80">
        <v>41090</v>
      </c>
      <c r="H40" s="14">
        <v>5.07381295695878</v>
      </c>
      <c r="I40" s="81">
        <v>45</v>
      </c>
      <c r="J40" s="92">
        <v>41.9366666666659</v>
      </c>
      <c r="K40" s="92">
        <f t="shared" si="0"/>
        <v>41.936666678665901</v>
      </c>
      <c r="L40" s="14">
        <v>0.48195084597534599</v>
      </c>
      <c r="M40" s="92">
        <v>0.49623106133481099</v>
      </c>
      <c r="O40" s="106">
        <f t="shared" si="1"/>
        <v>0</v>
      </c>
      <c r="P40" s="106">
        <v>720</v>
      </c>
      <c r="Q40" s="81">
        <v>720</v>
      </c>
      <c r="R40" s="106">
        <f t="shared" si="2"/>
        <v>1</v>
      </c>
      <c r="S40" s="106">
        <f t="shared" si="3"/>
        <v>45</v>
      </c>
      <c r="T40" s="92">
        <v>1.7983651194400534</v>
      </c>
      <c r="U40" s="81">
        <f t="shared" si="4"/>
        <v>1.7983651194400534E-2</v>
      </c>
      <c r="V40" s="16">
        <f t="shared" si="6"/>
        <v>5.0738129629166817</v>
      </c>
      <c r="W40" s="93">
        <f t="shared" si="7"/>
        <v>-1.1742454786300982E-9</v>
      </c>
      <c r="X40" s="81">
        <f t="shared" si="9"/>
        <v>0.49623106163181852</v>
      </c>
      <c r="Y40" s="107">
        <f t="shared" si="8"/>
        <v>-5.9852667266824255E-10</v>
      </c>
      <c r="Z40" s="65">
        <f t="shared" si="5"/>
        <v>36531.453333000114</v>
      </c>
    </row>
    <row r="41" spans="1:27" x14ac:dyDescent="0.25">
      <c r="A41" s="98">
        <v>720</v>
      </c>
      <c r="B41" s="94">
        <v>720</v>
      </c>
      <c r="C41" s="59" t="s">
        <v>20</v>
      </c>
      <c r="D41" s="57" t="s">
        <v>56</v>
      </c>
      <c r="E41" s="59" t="s">
        <v>77</v>
      </c>
      <c r="F41" s="80">
        <v>41061</v>
      </c>
      <c r="G41" s="80">
        <v>41090</v>
      </c>
      <c r="H41" s="14">
        <v>8.1030757726389595</v>
      </c>
      <c r="I41" s="81">
        <v>45</v>
      </c>
      <c r="J41" s="92">
        <v>41.9366666666659</v>
      </c>
      <c r="K41" s="92">
        <f t="shared" si="0"/>
        <v>41.936666678665901</v>
      </c>
      <c r="L41" s="14">
        <v>0.48195084597534599</v>
      </c>
      <c r="M41" s="92">
        <v>-0.49264689808174</v>
      </c>
      <c r="O41" s="106">
        <f t="shared" si="1"/>
        <v>0</v>
      </c>
      <c r="P41" s="106">
        <v>720</v>
      </c>
      <c r="Q41" s="81">
        <v>720</v>
      </c>
      <c r="R41" s="106">
        <f t="shared" si="2"/>
        <v>1</v>
      </c>
      <c r="S41" s="106">
        <f t="shared" si="3"/>
        <v>45</v>
      </c>
      <c r="T41" s="92">
        <v>1.7983651194400534</v>
      </c>
      <c r="U41" s="81">
        <f t="shared" si="4"/>
        <v>1.7983651194400534E-2</v>
      </c>
      <c r="V41" s="16">
        <f t="shared" si="6"/>
        <v>8.1030757667302726</v>
      </c>
      <c r="W41" s="93">
        <f t="shared" si="7"/>
        <v>7.2919070781551909E-10</v>
      </c>
      <c r="X41" s="81">
        <f t="shared" si="9"/>
        <v>-0.49264689778473253</v>
      </c>
      <c r="Y41" s="107">
        <f t="shared" si="8"/>
        <v>6.0288107839312488E-10</v>
      </c>
      <c r="Z41" s="65">
        <f t="shared" si="5"/>
        <v>58342.145520457962</v>
      </c>
    </row>
    <row r="42" spans="1:27" x14ac:dyDescent="0.25">
      <c r="A42" s="98">
        <v>720</v>
      </c>
      <c r="B42" s="94">
        <v>720</v>
      </c>
      <c r="C42" s="59" t="s">
        <v>50</v>
      </c>
      <c r="D42" s="57" t="s">
        <v>54</v>
      </c>
      <c r="E42" s="59" t="s">
        <v>52</v>
      </c>
      <c r="F42" s="80">
        <v>41061</v>
      </c>
      <c r="G42" s="80">
        <v>41090</v>
      </c>
      <c r="H42" s="14">
        <v>2.3262727844406701</v>
      </c>
      <c r="I42" s="81">
        <v>45</v>
      </c>
      <c r="J42" s="92">
        <v>41.856717191619701</v>
      </c>
      <c r="K42" s="92">
        <f t="shared" si="0"/>
        <v>41.856717203619702</v>
      </c>
      <c r="L42" s="14">
        <v>0.272497372089889</v>
      </c>
      <c r="M42" s="92">
        <v>0.40468622201724902</v>
      </c>
      <c r="O42" s="106">
        <f t="shared" si="1"/>
        <v>0</v>
      </c>
      <c r="P42" s="106">
        <v>720</v>
      </c>
      <c r="Q42" s="81">
        <v>720</v>
      </c>
      <c r="R42" s="106">
        <f t="shared" si="2"/>
        <v>1</v>
      </c>
      <c r="S42" s="106">
        <f t="shared" si="3"/>
        <v>45</v>
      </c>
      <c r="T42" s="92">
        <v>1.7983651194400534</v>
      </c>
      <c r="U42" s="81">
        <f t="shared" si="4"/>
        <v>1.7983651194400534E-2</v>
      </c>
      <c r="V42" s="16">
        <f t="shared" si="6"/>
        <v>2.3262727893379198</v>
      </c>
      <c r="W42" s="93">
        <f t="shared" si="7"/>
        <v>-2.1051914655956239E-9</v>
      </c>
      <c r="X42" s="81">
        <f t="shared" si="9"/>
        <v>0.40468622252986686</v>
      </c>
      <c r="Y42" s="107">
        <f t="shared" si="8"/>
        <v>-1.2667044080316714E-9</v>
      </c>
      <c r="Z42" s="65">
        <f t="shared" si="5"/>
        <v>16749.164083233023</v>
      </c>
    </row>
    <row r="43" spans="1:27" x14ac:dyDescent="0.25">
      <c r="A43" s="98">
        <v>720</v>
      </c>
      <c r="B43" s="94">
        <v>720</v>
      </c>
      <c r="C43" s="59" t="s">
        <v>50</v>
      </c>
      <c r="D43" s="57" t="s">
        <v>56</v>
      </c>
      <c r="E43" s="59" t="s">
        <v>77</v>
      </c>
      <c r="F43" s="80">
        <v>41061</v>
      </c>
      <c r="G43" s="80">
        <v>41090</v>
      </c>
      <c r="H43" s="14">
        <v>5.4345958738608999</v>
      </c>
      <c r="I43" s="81">
        <v>45</v>
      </c>
      <c r="J43" s="92">
        <v>41.856717191619701</v>
      </c>
      <c r="K43" s="92">
        <f t="shared" si="0"/>
        <v>41.856717203619702</v>
      </c>
      <c r="L43" s="14">
        <v>0.272497372089889</v>
      </c>
      <c r="M43" s="92">
        <v>-0.58419173739930297</v>
      </c>
      <c r="O43" s="106">
        <f t="shared" si="1"/>
        <v>0</v>
      </c>
      <c r="P43" s="106">
        <v>720</v>
      </c>
      <c r="Q43" s="81">
        <v>720</v>
      </c>
      <c r="R43" s="106">
        <f t="shared" si="2"/>
        <v>1</v>
      </c>
      <c r="S43" s="106">
        <f t="shared" si="3"/>
        <v>45</v>
      </c>
      <c r="T43" s="92">
        <v>1.7983651194400534</v>
      </c>
      <c r="U43" s="81">
        <f t="shared" si="4"/>
        <v>1.7983651194400534E-2</v>
      </c>
      <c r="V43" s="16">
        <f t="shared" si="6"/>
        <v>5.4345958668916206</v>
      </c>
      <c r="W43" s="93">
        <f t="shared" si="7"/>
        <v>1.2823915263027175E-9</v>
      </c>
      <c r="X43" s="81">
        <f t="shared" si="9"/>
        <v>-0.58419173688668424</v>
      </c>
      <c r="Y43" s="107">
        <f t="shared" si="8"/>
        <v>8.774836413039111E-10</v>
      </c>
      <c r="Z43" s="65">
        <f t="shared" si="5"/>
        <v>39129.09024161967</v>
      </c>
    </row>
    <row r="44" spans="1:27" x14ac:dyDescent="0.25">
      <c r="C44" s="59" t="s">
        <v>1</v>
      </c>
      <c r="D44" s="57" t="s">
        <v>54</v>
      </c>
      <c r="F44" s="80"/>
      <c r="G44" s="80"/>
      <c r="V44" s="19"/>
      <c r="Z44" s="65">
        <f t="shared" si="5"/>
        <v>0</v>
      </c>
    </row>
    <row r="45" spans="1:27" x14ac:dyDescent="0.25">
      <c r="D45" s="57" t="s">
        <v>54</v>
      </c>
      <c r="F45" s="80"/>
      <c r="G45" s="80"/>
      <c r="V45" s="19"/>
      <c r="Z45" s="65">
        <f t="shared" si="5"/>
        <v>0</v>
      </c>
    </row>
    <row r="47" spans="1:27" x14ac:dyDescent="0.25">
      <c r="K47" s="10">
        <v>0</v>
      </c>
      <c r="M47" s="10">
        <v>0</v>
      </c>
      <c r="V47" s="10">
        <v>0</v>
      </c>
      <c r="AA47" s="81">
        <v>0</v>
      </c>
    </row>
    <row r="48" spans="1:27" x14ac:dyDescent="0.25">
      <c r="D48" s="82" t="s">
        <v>53</v>
      </c>
      <c r="E48" s="82" t="s">
        <v>5</v>
      </c>
      <c r="F48" s="82" t="s">
        <v>6</v>
      </c>
      <c r="G48" s="82" t="s">
        <v>7</v>
      </c>
      <c r="H48" s="82" t="s">
        <v>9</v>
      </c>
      <c r="I48" s="82" t="s">
        <v>11</v>
      </c>
      <c r="J48" s="109" t="s">
        <v>12</v>
      </c>
      <c r="K48" s="82" t="s">
        <v>12</v>
      </c>
      <c r="L48" s="82" t="s">
        <v>128</v>
      </c>
      <c r="M48" s="82" t="s">
        <v>147</v>
      </c>
      <c r="N48" s="82" t="s">
        <v>14</v>
      </c>
      <c r="O48" s="82" t="s">
        <v>80</v>
      </c>
      <c r="P48" s="82" t="s">
        <v>81</v>
      </c>
      <c r="Q48" s="82" t="s">
        <v>22</v>
      </c>
      <c r="R48" s="82" t="s">
        <v>82</v>
      </c>
      <c r="S48" s="82" t="s">
        <v>84</v>
      </c>
      <c r="T48" s="82" t="s">
        <v>83</v>
      </c>
      <c r="V48" s="82" t="s">
        <v>78</v>
      </c>
      <c r="W48" s="82" t="s">
        <v>49</v>
      </c>
      <c r="Y48" s="81" t="s">
        <v>14</v>
      </c>
      <c r="Z48" s="81" t="s">
        <v>155</v>
      </c>
      <c r="AA48" s="81" t="s">
        <v>165</v>
      </c>
    </row>
    <row r="49" spans="3:28" x14ac:dyDescent="0.25">
      <c r="C49" s="11" t="s">
        <v>20</v>
      </c>
      <c r="D49" s="12" t="s">
        <v>54</v>
      </c>
      <c r="E49" s="125" t="s">
        <v>145</v>
      </c>
      <c r="F49" s="13">
        <v>40848</v>
      </c>
      <c r="G49" s="13">
        <v>40877</v>
      </c>
      <c r="H49" s="81">
        <v>2.4411183486298995</v>
      </c>
      <c r="I49" s="15">
        <v>45</v>
      </c>
      <c r="J49" s="92">
        <v>43.954059686512601</v>
      </c>
      <c r="K49" s="92">
        <f>(1+$K$47)*J49</f>
        <v>43.954059686512601</v>
      </c>
      <c r="L49" s="130">
        <v>0.63429316413595316</v>
      </c>
      <c r="M49" s="10">
        <f>L49*(1+$M$47)</f>
        <v>0.63429316413595316</v>
      </c>
      <c r="N49" s="14">
        <v>0.47786602518747601</v>
      </c>
      <c r="O49" s="15">
        <v>42.448463541666698</v>
      </c>
      <c r="P49" s="125">
        <f t="shared" ref="P49" si="10">R49-Q49</f>
        <v>384</v>
      </c>
      <c r="Q49" s="125">
        <v>336</v>
      </c>
      <c r="R49" s="15">
        <v>720</v>
      </c>
      <c r="S49" s="15">
        <f>IF($F$5&gt;F49,Q49/(P49+Q49),1)</f>
        <v>0.46666666666666667</v>
      </c>
      <c r="T49" s="15">
        <f>IF($F$5&gt;F49,(R49/Q49)*I49-(P49/Q49)*O49,I49)</f>
        <v>47.916041666666636</v>
      </c>
      <c r="U49" s="131">
        <f>1.0201603810794/100</f>
        <v>1.0201603810794E-2</v>
      </c>
      <c r="V49" s="15">
        <f>U49+$V$47</f>
        <v>1.0201603810794E-2</v>
      </c>
      <c r="W49" s="16">
        <f>B76Future($F$5,D49,K49,T49,G49,M49,V49)*S49</f>
        <v>0.38294551359136375</v>
      </c>
      <c r="X49" s="15">
        <f>W49*10*720</f>
        <v>2757.2076978578189</v>
      </c>
      <c r="Y49" s="15">
        <f>B76Delta($F$5,D49,K49,T49,G49,M49,V49)*S49</f>
        <v>0.12291123856911999</v>
      </c>
      <c r="Z49" s="15">
        <f>TimeToExpiry($F$5,G49)</f>
        <v>3.8356164383561646E-2</v>
      </c>
      <c r="AA49" s="81">
        <f>Z49*(1+$AA$47)</f>
        <v>3.8356164383561646E-2</v>
      </c>
      <c r="AB49" s="81">
        <f>B76FutureTau(D49,J49,T49,AA49,L49,V49)*S49*720*10</f>
        <v>2757.2076978578189</v>
      </c>
    </row>
    <row r="50" spans="3:28" x14ac:dyDescent="0.25">
      <c r="C50" s="11" t="s">
        <v>20</v>
      </c>
      <c r="D50" s="12" t="s">
        <v>54</v>
      </c>
      <c r="E50" s="125" t="s">
        <v>146</v>
      </c>
      <c r="F50" s="13">
        <v>40878</v>
      </c>
      <c r="G50" s="13">
        <v>40908</v>
      </c>
      <c r="H50" s="81">
        <v>5.5790876481866425</v>
      </c>
      <c r="I50" s="15">
        <v>45</v>
      </c>
      <c r="J50" s="15">
        <v>45.65</v>
      </c>
      <c r="K50" s="92">
        <f>(1+$K$47)*J50</f>
        <v>45.65</v>
      </c>
      <c r="L50" s="130">
        <v>0.62542724288788742</v>
      </c>
      <c r="M50" s="10">
        <f>L50*(1+$M$47)</f>
        <v>0.62542724288788742</v>
      </c>
      <c r="N50" s="14">
        <v>0.47786602518747601</v>
      </c>
      <c r="O50" s="15">
        <v>40.159999999999997</v>
      </c>
      <c r="P50" s="15">
        <f>-TimeToT1($F$5,F50)</f>
        <v>-3.8356164383561646E-2</v>
      </c>
      <c r="Q50" s="15">
        <f>TimeToT2($F$5,G50)</f>
        <v>0.12328767123287671</v>
      </c>
      <c r="R50" s="15">
        <f>(G50-F50+1)/365</f>
        <v>8.4931506849315067E-2</v>
      </c>
      <c r="S50" s="15">
        <f>IF($F$5&gt;F50,Q50/(P50+Q50),1)</f>
        <v>1</v>
      </c>
      <c r="T50" s="15">
        <f>IF($F$5&gt;F50,(R50/Q50)*I50-(P50/Q50)*O50,I50)</f>
        <v>45</v>
      </c>
      <c r="U50" s="131">
        <f>1.30445056407195/100</f>
        <v>1.30445056407195E-2</v>
      </c>
      <c r="V50" s="15">
        <f>U50+$V$47</f>
        <v>1.30445056407195E-2</v>
      </c>
      <c r="W50" s="16">
        <f>B76Future($F$5,D50,K50,T50,G50,M50,V50)*S50</f>
        <v>4.2894041373262182</v>
      </c>
      <c r="X50" s="15">
        <f>W50*10*744</f>
        <v>31913.166781707063</v>
      </c>
      <c r="Y50" s="15">
        <f>B76Delta($F$5,D50,K50,T50,G50,M50,V50)*S50</f>
        <v>0.56858670478803275</v>
      </c>
      <c r="Z50" s="15">
        <f>TimeToExpiry($F$5,G50)</f>
        <v>0.12328767123287671</v>
      </c>
      <c r="AA50" s="141">
        <f>Z50*(1+$AA$47)</f>
        <v>0.12328767123287671</v>
      </c>
      <c r="AB50" s="140">
        <f>B76FutureTau(D50,J50,T50,AA50,L50,V50)*S50*F55*10</f>
        <v>31913.166781707063</v>
      </c>
    </row>
    <row r="52" spans="3:28" x14ac:dyDescent="0.25">
      <c r="W52" s="64">
        <f>X50+X49</f>
        <v>34670.374479564882</v>
      </c>
      <c r="AB52" s="81">
        <f>AB49+AB50</f>
        <v>34670.374479564882</v>
      </c>
    </row>
    <row r="53" spans="3:28" x14ac:dyDescent="0.25">
      <c r="C53" s="81" t="s">
        <v>5</v>
      </c>
      <c r="D53" s="81" t="s">
        <v>135</v>
      </c>
      <c r="E53" s="81" t="s">
        <v>136</v>
      </c>
      <c r="F53" s="81" t="s">
        <v>8</v>
      </c>
      <c r="G53" s="81" t="s">
        <v>11</v>
      </c>
      <c r="H53" s="81" t="s">
        <v>137</v>
      </c>
      <c r="I53" s="81" t="s">
        <v>138</v>
      </c>
      <c r="K53" s="81" t="s">
        <v>139</v>
      </c>
      <c r="L53" s="81" t="s">
        <v>140</v>
      </c>
      <c r="M53" s="81" t="s">
        <v>141</v>
      </c>
      <c r="N53" s="81" t="s">
        <v>142</v>
      </c>
      <c r="O53" s="81" t="s">
        <v>143</v>
      </c>
      <c r="P53" s="81" t="s">
        <v>144</v>
      </c>
      <c r="Q53" s="82" t="s">
        <v>84</v>
      </c>
      <c r="R53" s="82" t="s">
        <v>83</v>
      </c>
    </row>
    <row r="54" spans="3:28" x14ac:dyDescent="0.25">
      <c r="C54" s="81" t="s">
        <v>145</v>
      </c>
      <c r="D54" s="80">
        <v>40544</v>
      </c>
      <c r="E54" s="80">
        <v>40908</v>
      </c>
      <c r="F54" s="81">
        <v>696</v>
      </c>
      <c r="G54" s="81">
        <v>45</v>
      </c>
      <c r="H54" s="81">
        <v>4.21</v>
      </c>
      <c r="I54" s="81">
        <v>10</v>
      </c>
      <c r="K54" s="81">
        <v>2.4411183486298995</v>
      </c>
      <c r="L54" s="81">
        <v>17576.052110135275</v>
      </c>
      <c r="M54" s="81">
        <v>17576.052110135275</v>
      </c>
      <c r="N54" s="81">
        <v>0</v>
      </c>
      <c r="O54" s="81">
        <v>0.56509827738996765</v>
      </c>
      <c r="P54" s="81">
        <v>1.3612382216139673</v>
      </c>
      <c r="Q54" s="15">
        <f>252/264</f>
        <v>0.95454545454545459</v>
      </c>
      <c r="R54" s="15">
        <f>IF($F$5&gt;E54,(P54/O54)*H54-(N54/O54)*M54,H54)</f>
        <v>4.21</v>
      </c>
    </row>
    <row r="55" spans="3:28" x14ac:dyDescent="0.25">
      <c r="C55" s="81" t="s">
        <v>146</v>
      </c>
      <c r="D55" s="80">
        <v>40544</v>
      </c>
      <c r="E55" s="80">
        <v>40908</v>
      </c>
      <c r="F55" s="81">
        <v>744</v>
      </c>
      <c r="G55" s="81">
        <v>45</v>
      </c>
      <c r="H55" s="81">
        <v>4.21</v>
      </c>
      <c r="I55" s="81">
        <v>10</v>
      </c>
      <c r="K55" s="81">
        <v>5.5790876481866425</v>
      </c>
      <c r="L55" s="81">
        <v>41508.412102508621</v>
      </c>
      <c r="M55" s="81">
        <v>41508.412102508621</v>
      </c>
      <c r="N55" s="81">
        <v>0</v>
      </c>
      <c r="O55" s="81">
        <v>0.64640163203471557</v>
      </c>
      <c r="P55" s="81">
        <v>1.5032043678849452</v>
      </c>
      <c r="Q55" s="15">
        <f t="shared" ref="Q55" si="11">IF($F$5&gt;E55,O55/(N55+O55),1)</f>
        <v>1</v>
      </c>
      <c r="R55" s="15">
        <f t="shared" ref="R55" si="12">IF($F$5&gt;E55,(P55/O55)*H55-(N55/O55)*M55,H55)</f>
        <v>4.21</v>
      </c>
      <c r="Y55" s="81">
        <f>AB52</f>
        <v>34670.374479564882</v>
      </c>
    </row>
    <row r="56" spans="3:28" x14ac:dyDescent="0.25">
      <c r="L56" s="81">
        <f>L55+L54</f>
        <v>59084.464212643899</v>
      </c>
      <c r="X56" s="10">
        <v>-0.05</v>
      </c>
      <c r="Y56" s="81">
        <f t="dataTable" ref="Y56:Y66" dt2D="0" dtr="0" r1="AA47"/>
        <v>33781.388681997778</v>
      </c>
      <c r="Z56" s="142">
        <v>33769.484607917446</v>
      </c>
      <c r="AA56" s="81">
        <f>Z56/Y56-1</f>
        <v>-3.5238557515770985E-4</v>
      </c>
    </row>
    <row r="57" spans="3:28" x14ac:dyDescent="0.25">
      <c r="X57" s="10">
        <v>-0.04</v>
      </c>
      <c r="Y57" s="81">
        <v>33960.896244178293</v>
      </c>
      <c r="Z57" s="142">
        <v>33948.929521062535</v>
      </c>
      <c r="AA57" s="141">
        <f t="shared" ref="AA57:AA66" si="13">Z57/Y57-1</f>
        <v>-3.5236770636781767E-4</v>
      </c>
    </row>
    <row r="58" spans="3:28" x14ac:dyDescent="0.25">
      <c r="X58" s="10">
        <v>-0.03</v>
      </c>
      <c r="Y58" s="81">
        <v>34139.536521198097</v>
      </c>
      <c r="Z58" s="142">
        <v>34127.507491914868</v>
      </c>
      <c r="AA58" s="141">
        <f t="shared" si="13"/>
        <v>-3.5234893349411767E-4</v>
      </c>
    </row>
    <row r="59" spans="3:28" x14ac:dyDescent="0.25">
      <c r="X59" s="10">
        <v>-0.02</v>
      </c>
      <c r="Y59" s="81">
        <v>34317.321740140789</v>
      </c>
      <c r="Z59" s="142">
        <v>34305.230742312233</v>
      </c>
      <c r="AA59" s="141">
        <f t="shared" si="13"/>
        <v>-3.5232929656081602E-4</v>
      </c>
    </row>
    <row r="60" spans="3:28" x14ac:dyDescent="0.25">
      <c r="X60" s="10">
        <v>-0.01</v>
      </c>
      <c r="Y60" s="81">
        <v>34494.263839671548</v>
      </c>
      <c r="Z60" s="142">
        <v>34482.111205807465</v>
      </c>
      <c r="AA60" s="141">
        <f t="shared" si="13"/>
        <v>-3.5230883374026689E-4</v>
      </c>
    </row>
    <row r="61" spans="3:28" x14ac:dyDescent="0.25">
      <c r="X61" s="10">
        <v>0</v>
      </c>
      <c r="Y61" s="81">
        <v>34670.374479564882</v>
      </c>
      <c r="Z61" s="142">
        <v>34658.160537191303</v>
      </c>
      <c r="AA61" s="141">
        <f t="shared" si="13"/>
        <v>-3.5228758145600114E-4</v>
      </c>
    </row>
    <row r="62" spans="3:28" x14ac:dyDescent="0.25">
      <c r="X62" s="10">
        <v>0.01</v>
      </c>
      <c r="Y62" s="81">
        <v>34845.665049827803</v>
      </c>
      <c r="Z62" s="142">
        <v>34833.390121611206</v>
      </c>
      <c r="AA62" s="141">
        <f t="shared" si="13"/>
        <v>-3.5226557447087803E-4</v>
      </c>
    </row>
    <row r="63" spans="3:28" x14ac:dyDescent="0.25">
      <c r="X63" s="10">
        <v>0.02</v>
      </c>
      <c r="Y63" s="81">
        <v>35020.146679439109</v>
      </c>
      <c r="Z63" s="142">
        <v>35007.811083306238</v>
      </c>
      <c r="AA63" s="141">
        <f t="shared" si="13"/>
        <v>-3.5224284597623612E-4</v>
      </c>
    </row>
    <row r="64" spans="3:28" x14ac:dyDescent="0.25">
      <c r="X64" s="10">
        <v>0.03</v>
      </c>
      <c r="Y64" s="81">
        <v>35193.830244724973</v>
      </c>
      <c r="Z64" s="142">
        <v>35181.434293978462</v>
      </c>
      <c r="AA64" s="141">
        <f t="shared" si="13"/>
        <v>-3.5221942767571512E-4</v>
      </c>
    </row>
    <row r="65" spans="3:27" x14ac:dyDescent="0.25">
      <c r="X65" s="10">
        <v>0.04</v>
      </c>
      <c r="Y65" s="81">
        <v>35366.726377388302</v>
      </c>
      <c r="Z65" s="142">
        <v>35354.270380818787</v>
      </c>
      <c r="AA65" s="141">
        <f t="shared" si="13"/>
        <v>-3.5219534984953782E-4</v>
      </c>
    </row>
    <row r="66" spans="3:27" x14ac:dyDescent="0.25">
      <c r="R66" s="81">
        <v>0</v>
      </c>
      <c r="X66" s="10">
        <v>0.05</v>
      </c>
      <c r="Y66" s="81">
        <v>35538.845472210895</v>
      </c>
      <c r="Z66" s="142">
        <v>35526.329734204846</v>
      </c>
      <c r="AA66" s="141">
        <f t="shared" si="13"/>
        <v>-3.5217064144177357E-4</v>
      </c>
    </row>
    <row r="67" spans="3:27" x14ac:dyDescent="0.25">
      <c r="C67" s="143" t="s">
        <v>5</v>
      </c>
      <c r="D67" s="143" t="s">
        <v>166</v>
      </c>
      <c r="E67" s="143" t="s">
        <v>135</v>
      </c>
      <c r="F67" s="143" t="s">
        <v>136</v>
      </c>
      <c r="G67" s="143" t="s">
        <v>175</v>
      </c>
      <c r="H67" s="143" t="s">
        <v>167</v>
      </c>
      <c r="I67" s="143" t="s">
        <v>8</v>
      </c>
      <c r="J67" s="143" t="s">
        <v>11</v>
      </c>
      <c r="K67" s="143" t="s">
        <v>138</v>
      </c>
      <c r="L67" s="143" t="s">
        <v>139</v>
      </c>
      <c r="M67" s="143" t="s">
        <v>140</v>
      </c>
      <c r="N67" s="143" t="s">
        <v>143</v>
      </c>
      <c r="O67" s="143" t="s">
        <v>144</v>
      </c>
      <c r="Q67" s="81" t="s">
        <v>173</v>
      </c>
      <c r="R67" s="81" t="s">
        <v>174</v>
      </c>
      <c r="S67" s="81" t="s">
        <v>160</v>
      </c>
    </row>
    <row r="68" spans="3:27" x14ac:dyDescent="0.25">
      <c r="C68" s="143" t="s">
        <v>168</v>
      </c>
      <c r="D68" s="143" t="s">
        <v>169</v>
      </c>
      <c r="E68" s="144">
        <v>41000</v>
      </c>
      <c r="F68" s="144">
        <v>41029</v>
      </c>
      <c r="G68" s="143">
        <v>44.199999999999797</v>
      </c>
      <c r="H68" s="143" t="s">
        <v>170</v>
      </c>
      <c r="I68" s="143">
        <v>720</v>
      </c>
      <c r="J68" s="143">
        <v>45</v>
      </c>
      <c r="K68" s="143">
        <v>10</v>
      </c>
      <c r="L68" s="143">
        <v>5.738823057209971</v>
      </c>
      <c r="M68" s="143">
        <v>41319.526011911788</v>
      </c>
      <c r="N68" s="143">
        <v>0.51713337918101088</v>
      </c>
      <c r="O68" s="143">
        <v>1.6469442066700084</v>
      </c>
      <c r="P68" s="81">
        <f>O68/100</f>
        <v>1.6469442066700084E-2</v>
      </c>
      <c r="Q68" s="81">
        <f>TimeToExpiry($F$5,F68)</f>
        <v>0.45479452054794522</v>
      </c>
      <c r="R68" s="81">
        <f>Q68+$R$66/365</f>
        <v>0.45479452054794522</v>
      </c>
      <c r="S68" s="81">
        <f>B76FutureTau("C",G68,J68,R68,N68,P68)*10*I68</f>
        <v>41319.526011914269</v>
      </c>
    </row>
    <row r="69" spans="3:27" x14ac:dyDescent="0.25">
      <c r="C69" s="143" t="s">
        <v>171</v>
      </c>
      <c r="D69" s="143" t="s">
        <v>169</v>
      </c>
      <c r="E69" s="144">
        <v>41030</v>
      </c>
      <c r="F69" s="144">
        <v>41060</v>
      </c>
      <c r="G69" s="143">
        <v>41.400000000000098</v>
      </c>
      <c r="H69" s="143" t="s">
        <v>170</v>
      </c>
      <c r="I69" s="143">
        <v>744</v>
      </c>
      <c r="J69" s="143">
        <v>45</v>
      </c>
      <c r="K69" s="143">
        <v>10</v>
      </c>
      <c r="L69" s="143">
        <v>4.6036432836851473</v>
      </c>
      <c r="M69" s="143">
        <v>34251.106030617499</v>
      </c>
      <c r="N69" s="143">
        <v>0.499327255762681</v>
      </c>
      <c r="O69" s="143">
        <v>1.7241544175185142</v>
      </c>
      <c r="P69" s="143">
        <f t="shared" ref="P69:P70" si="14">O69/100</f>
        <v>1.7241544175185142E-2</v>
      </c>
      <c r="Q69" s="143">
        <f t="shared" ref="Q69:Q70" si="15">TimeToExpiry($F$5,F69)</f>
        <v>0.53972602739726028</v>
      </c>
      <c r="R69" s="143">
        <f t="shared" ref="R69:R70" si="16">Q69+$R$66/365</f>
        <v>0.53972602739726028</v>
      </c>
      <c r="S69" s="143">
        <f t="shared" ref="S69:S70" si="17">B76FutureTau("C",G69,J69,R69,N69,P69)*10*I69</f>
        <v>34251.1060307117</v>
      </c>
    </row>
    <row r="70" spans="3:27" x14ac:dyDescent="0.25">
      <c r="C70" s="143" t="s">
        <v>172</v>
      </c>
      <c r="D70" s="143" t="s">
        <v>169</v>
      </c>
      <c r="E70" s="144">
        <v>41061</v>
      </c>
      <c r="F70" s="144">
        <v>41090</v>
      </c>
      <c r="G70" s="143">
        <v>41.9366666666659</v>
      </c>
      <c r="H70" s="143" t="s">
        <v>170</v>
      </c>
      <c r="I70" s="143">
        <v>720</v>
      </c>
      <c r="J70" s="143">
        <v>45</v>
      </c>
      <c r="K70" s="143">
        <v>10</v>
      </c>
      <c r="L70" s="143">
        <v>5.0739777375261168</v>
      </c>
      <c r="M70" s="143">
        <v>36532.639710188043</v>
      </c>
      <c r="N70" s="143">
        <v>0.48196347579989196</v>
      </c>
      <c r="O70" s="143">
        <v>1.7983651194400534</v>
      </c>
      <c r="P70" s="143">
        <f t="shared" si="14"/>
        <v>1.7983651194400534E-2</v>
      </c>
      <c r="Q70" s="143">
        <f t="shared" si="15"/>
        <v>0.62191780821917808</v>
      </c>
      <c r="R70" s="143">
        <f t="shared" si="16"/>
        <v>0.62191780821917808</v>
      </c>
      <c r="S70" s="143">
        <f t="shared" si="17"/>
        <v>36532.63971021054</v>
      </c>
    </row>
    <row r="72" spans="3:27" x14ac:dyDescent="0.25">
      <c r="M72" s="143">
        <f>SUM(M68:M70)</f>
        <v>112103.27175271734</v>
      </c>
      <c r="S72" s="81">
        <f>SUM(S68:S70)</f>
        <v>112103.27175283652</v>
      </c>
    </row>
    <row r="73" spans="3:27" x14ac:dyDescent="0.25">
      <c r="R73" s="81">
        <f>S72</f>
        <v>112103.27175283652</v>
      </c>
    </row>
    <row r="74" spans="3:27" x14ac:dyDescent="0.25">
      <c r="Q74" s="81">
        <v>-50</v>
      </c>
      <c r="R74" s="81">
        <f t="dataTable" ref="R74:R84" dt2D="0" dtr="0" r1="R66"/>
        <v>93794.654418514867</v>
      </c>
      <c r="S74" s="145">
        <v>93794.654417954007</v>
      </c>
      <c r="T74" s="81">
        <f>R74/S74-1</f>
        <v>5.9796612106310931E-12</v>
      </c>
    </row>
    <row r="75" spans="3:27" x14ac:dyDescent="0.25">
      <c r="Q75" s="81">
        <v>-40</v>
      </c>
      <c r="R75" s="81">
        <v>97700.020957762623</v>
      </c>
      <c r="S75" s="145">
        <v>97700.020957168803</v>
      </c>
      <c r="T75" s="145">
        <f t="shared" ref="T75:T84" si="18">R75/S75-1</f>
        <v>6.078026970612882E-12</v>
      </c>
    </row>
    <row r="76" spans="3:27" x14ac:dyDescent="0.25">
      <c r="Q76" s="143">
        <v>-30</v>
      </c>
      <c r="R76" s="81">
        <v>101472.37553673069</v>
      </c>
      <c r="S76" s="145">
        <v>101472.37553606916</v>
      </c>
      <c r="T76" s="145">
        <f t="shared" si="18"/>
        <v>6.5192296005989192E-12</v>
      </c>
    </row>
    <row r="77" spans="3:27" x14ac:dyDescent="0.25">
      <c r="Q77" s="143">
        <v>-20</v>
      </c>
      <c r="R77" s="81">
        <v>105123.76443658446</v>
      </c>
      <c r="S77" s="145">
        <v>105123.76443645914</v>
      </c>
      <c r="T77" s="145">
        <f t="shared" si="18"/>
        <v>1.1921574838424931E-12</v>
      </c>
    </row>
    <row r="78" spans="3:27" x14ac:dyDescent="0.25">
      <c r="Q78" s="143">
        <v>-10</v>
      </c>
      <c r="R78" s="81">
        <v>108664.45087737864</v>
      </c>
      <c r="S78" s="145">
        <v>108664.45087725658</v>
      </c>
      <c r="T78" s="145">
        <f t="shared" si="18"/>
        <v>1.1233236563157334E-12</v>
      </c>
    </row>
    <row r="79" spans="3:27" x14ac:dyDescent="0.25">
      <c r="Q79" s="143">
        <v>0</v>
      </c>
      <c r="R79" s="81">
        <v>112103.27175283652</v>
      </c>
      <c r="S79" s="145">
        <v>112103.2717527175</v>
      </c>
      <c r="T79" s="145">
        <f t="shared" si="18"/>
        <v>1.0615952561465747E-12</v>
      </c>
    </row>
    <row r="80" spans="3:27" x14ac:dyDescent="0.25">
      <c r="Q80" s="143">
        <v>10</v>
      </c>
      <c r="R80" s="81">
        <v>115447.90609225605</v>
      </c>
      <c r="S80" s="145">
        <v>115447.9060921385</v>
      </c>
      <c r="T80" s="145">
        <f t="shared" si="18"/>
        <v>1.0182965581861936E-12</v>
      </c>
    </row>
    <row r="81" spans="17:20" x14ac:dyDescent="0.25">
      <c r="Q81" s="143">
        <v>20</v>
      </c>
      <c r="R81" s="81">
        <v>118705.08088849812</v>
      </c>
      <c r="S81" s="145">
        <v>118705.08088838024</v>
      </c>
      <c r="T81" s="145">
        <f t="shared" si="18"/>
        <v>9.9298347322474001E-13</v>
      </c>
    </row>
    <row r="82" spans="17:20" x14ac:dyDescent="0.25">
      <c r="Q82" s="143">
        <v>30</v>
      </c>
      <c r="R82" s="81">
        <v>121880.73148561938</v>
      </c>
      <c r="S82" s="145">
        <v>121880.73148549948</v>
      </c>
      <c r="T82" s="145">
        <f t="shared" si="18"/>
        <v>9.8387964442281373E-13</v>
      </c>
    </row>
    <row r="83" spans="17:20" x14ac:dyDescent="0.25">
      <c r="Q83" s="143">
        <v>40</v>
      </c>
      <c r="R83" s="81">
        <v>124980.1283538994</v>
      </c>
      <c r="S83" s="145">
        <v>124980.1283537749</v>
      </c>
      <c r="T83" s="145">
        <f t="shared" si="18"/>
        <v>9.9631414229861548E-13</v>
      </c>
    </row>
    <row r="84" spans="17:20" x14ac:dyDescent="0.25">
      <c r="Q84" s="143">
        <v>50</v>
      </c>
      <c r="R84" s="81">
        <v>128007.97857248026</v>
      </c>
      <c r="S84" s="145">
        <v>128007.97857234887</v>
      </c>
      <c r="T84" s="145">
        <f t="shared" si="18"/>
        <v>1.0265122085684197E-12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AF61"/>
  <sheetViews>
    <sheetView topLeftCell="E1" workbookViewId="0">
      <selection activeCell="V9" sqref="V9"/>
    </sheetView>
  </sheetViews>
  <sheetFormatPr defaultRowHeight="15" x14ac:dyDescent="0.25"/>
  <cols>
    <col min="1" max="1" width="9.140625" style="107"/>
    <col min="2" max="2" width="21.5703125" style="107" bestFit="1" customWidth="1"/>
    <col min="3" max="3" width="9.140625" style="107"/>
    <col min="4" max="4" width="25.28515625" style="107" bestFit="1" customWidth="1"/>
    <col min="5" max="6" width="10.7109375" style="107" bestFit="1" customWidth="1"/>
    <col min="7" max="7" width="10.7109375" style="107" customWidth="1"/>
    <col min="8" max="9" width="13.28515625" style="107" bestFit="1" customWidth="1"/>
    <col min="10" max="10" width="15.85546875" style="107" bestFit="1" customWidth="1"/>
    <col min="11" max="11" width="13.28515625" style="107" bestFit="1" customWidth="1"/>
    <col min="12" max="12" width="13.28515625" style="125" bestFit="1" customWidth="1"/>
    <col min="13" max="13" width="18.28515625" style="107" customWidth="1"/>
    <col min="14" max="14" width="18.28515625" style="125" customWidth="1"/>
    <col min="15" max="19" width="13.28515625" style="107" bestFit="1" customWidth="1"/>
    <col min="20" max="21" width="9.140625" style="107"/>
    <col min="22" max="22" width="17.85546875" style="107" customWidth="1"/>
    <col min="23" max="24" width="13.28515625" style="107" bestFit="1" customWidth="1"/>
    <col min="25" max="25" width="20.85546875" style="107" bestFit="1" customWidth="1"/>
    <col min="26" max="26" width="12.7109375" style="107" bestFit="1" customWidth="1"/>
    <col min="27" max="28" width="9.140625" style="107"/>
    <col min="29" max="29" width="19.28515625" style="107" bestFit="1" customWidth="1"/>
    <col min="30" max="30" width="19.28515625" style="138" customWidth="1"/>
    <col min="31" max="31" width="9.140625" style="107"/>
    <col min="32" max="32" width="12.7109375" style="107" bestFit="1" customWidth="1"/>
    <col min="33" max="33" width="16.28515625" style="107" customWidth="1"/>
    <col min="34" max="16384" width="9.140625" style="107"/>
  </cols>
  <sheetData>
    <row r="2" spans="2:32" x14ac:dyDescent="0.25">
      <c r="D2" s="107" t="s">
        <v>122</v>
      </c>
      <c r="E2" s="10">
        <v>0</v>
      </c>
      <c r="Y2" s="107">
        <v>42.378785492728689</v>
      </c>
    </row>
    <row r="3" spans="2:32" x14ac:dyDescent="0.25">
      <c r="D3" s="107" t="s">
        <v>148</v>
      </c>
      <c r="E3" s="10">
        <v>0</v>
      </c>
      <c r="M3" s="92"/>
      <c r="N3" s="92"/>
      <c r="Y3" s="83">
        <f>Y11</f>
        <v>3.3901644992590194</v>
      </c>
    </row>
    <row r="4" spans="2:32" x14ac:dyDescent="0.25">
      <c r="D4" s="107" t="s">
        <v>162</v>
      </c>
      <c r="E4" s="107">
        <v>0</v>
      </c>
      <c r="Y4" s="83" t="e">
        <f>(Y3-Y2)/M4</f>
        <v>#DIV/0!</v>
      </c>
    </row>
    <row r="5" spans="2:32" s="139" customFormat="1" x14ac:dyDescent="0.25">
      <c r="D5" s="139" t="s">
        <v>163</v>
      </c>
      <c r="E5" s="139">
        <v>0</v>
      </c>
      <c r="Y5" s="83"/>
    </row>
    <row r="6" spans="2:32" x14ac:dyDescent="0.25">
      <c r="D6" s="107" t="s">
        <v>79</v>
      </c>
      <c r="E6" s="110">
        <v>40864</v>
      </c>
      <c r="U6" s="53"/>
    </row>
    <row r="7" spans="2:32" x14ac:dyDescent="0.25">
      <c r="U7" s="107">
        <f>U9*K9+(1-U9)*Q9</f>
        <v>51.20210256410256</v>
      </c>
      <c r="V7" s="107">
        <f>K9-(1-U9)*Q9</f>
        <v>1.2402051282051332</v>
      </c>
      <c r="AF7" s="107">
        <f>SUM(AF9:AF44)</f>
        <v>3870932.0405156286</v>
      </c>
    </row>
    <row r="8" spans="2:32" x14ac:dyDescent="0.25">
      <c r="C8" s="109" t="s">
        <v>53</v>
      </c>
      <c r="D8" s="109" t="s">
        <v>5</v>
      </c>
      <c r="E8" s="109" t="s">
        <v>6</v>
      </c>
      <c r="F8" s="109" t="s">
        <v>7</v>
      </c>
      <c r="G8" s="109" t="s">
        <v>8</v>
      </c>
      <c r="H8" s="109" t="s">
        <v>112</v>
      </c>
      <c r="I8" s="109" t="s">
        <v>113</v>
      </c>
      <c r="J8" s="109" t="s">
        <v>9</v>
      </c>
      <c r="K8" s="109" t="s">
        <v>11</v>
      </c>
      <c r="L8" s="109" t="s">
        <v>12</v>
      </c>
      <c r="M8" s="109" t="s">
        <v>119</v>
      </c>
      <c r="N8" s="109" t="s">
        <v>13</v>
      </c>
      <c r="O8" s="109" t="s">
        <v>149</v>
      </c>
      <c r="P8" s="109" t="s">
        <v>14</v>
      </c>
      <c r="Q8" s="109" t="s">
        <v>80</v>
      </c>
      <c r="R8" s="109" t="s">
        <v>81</v>
      </c>
      <c r="S8" s="109" t="s">
        <v>22</v>
      </c>
      <c r="T8" s="109" t="s">
        <v>82</v>
      </c>
      <c r="U8" s="109" t="s">
        <v>84</v>
      </c>
      <c r="V8" s="109" t="s">
        <v>83</v>
      </c>
      <c r="X8" s="109" t="s">
        <v>78</v>
      </c>
      <c r="Y8" s="109" t="s">
        <v>111</v>
      </c>
      <c r="Z8" s="109" t="s">
        <v>110</v>
      </c>
      <c r="AA8" s="107" t="s">
        <v>14</v>
      </c>
      <c r="AC8" s="65">
        <f>SUM(AC9:AC44)</f>
        <v>3870932.0405156286</v>
      </c>
      <c r="AD8" s="65" t="s">
        <v>155</v>
      </c>
      <c r="AE8" s="107" t="s">
        <v>161</v>
      </c>
      <c r="AF8" s="107" t="s">
        <v>160</v>
      </c>
    </row>
    <row r="9" spans="2:32" x14ac:dyDescent="0.25">
      <c r="B9" s="108" t="s">
        <v>20</v>
      </c>
      <c r="C9" s="57" t="s">
        <v>54</v>
      </c>
      <c r="D9" s="114" t="s">
        <v>55</v>
      </c>
      <c r="E9" s="110">
        <v>40544</v>
      </c>
      <c r="F9" s="110">
        <v>40908</v>
      </c>
      <c r="G9" s="107">
        <v>3120</v>
      </c>
      <c r="H9" s="107">
        <v>2604</v>
      </c>
      <c r="I9" s="107">
        <f>G9-H9</f>
        <v>516</v>
      </c>
      <c r="J9" s="92">
        <v>7.3382423267012697</v>
      </c>
      <c r="K9" s="107">
        <v>45</v>
      </c>
      <c r="L9" s="92">
        <v>51.9794589528789</v>
      </c>
      <c r="M9" s="127">
        <f>L9*(1+$E$3)</f>
        <v>51.9794589528789</v>
      </c>
      <c r="N9" s="92">
        <v>0.66353721104510899</v>
      </c>
      <c r="O9" s="126">
        <f>N9*(1+$E$2)</f>
        <v>0.66353721104510899</v>
      </c>
      <c r="P9" s="92">
        <v>0.16497645104594999</v>
      </c>
      <c r="Q9" s="15">
        <v>52.431090629800302</v>
      </c>
      <c r="R9" s="107">
        <f t="shared" ref="R9:R24" si="0">H9</f>
        <v>2604</v>
      </c>
      <c r="S9" s="107">
        <f t="shared" ref="S9:S24" si="1">I9</f>
        <v>516</v>
      </c>
      <c r="T9" s="107">
        <f t="shared" ref="T9:T44" si="2">G9</f>
        <v>3120</v>
      </c>
      <c r="U9" s="107">
        <f t="shared" ref="U9:U44" si="3">IF($E$6&gt;E9,S9/(R9+S9),1)</f>
        <v>0.16538461538461538</v>
      </c>
      <c r="V9" s="107">
        <f>IF($E$6&gt;E9,(T9/S9)*K9-(R9/S9)*Q9,K9)</f>
        <v>7.4989147286821662</v>
      </c>
      <c r="W9" s="117">
        <v>1.5032043678849452</v>
      </c>
      <c r="X9" s="107">
        <f>W9/100</f>
        <v>1.5032043678849451E-2</v>
      </c>
      <c r="Y9" s="16">
        <f t="shared" ref="Y9:Y44" si="4">B76Future($E$6,C9,M9,V9,F9,O9,X9)*U9</f>
        <v>7.3427769647057701</v>
      </c>
      <c r="Z9" s="18">
        <f>J9/Y9-1</f>
        <v>-6.175644482049325E-4</v>
      </c>
      <c r="AA9" s="116">
        <f t="shared" ref="AA9:AA44" si="5">B76Delta($E$6,C9,M9,V9,F9,O9,X9)*U9</f>
        <v>0.16507839759549101</v>
      </c>
      <c r="AB9" s="18">
        <f>AA9/P9-1</f>
        <v>6.1794606984610922E-4</v>
      </c>
      <c r="AC9" s="107">
        <f>Y9*T9*10</f>
        <v>229094.64129882003</v>
      </c>
      <c r="AD9" s="138">
        <f>TimeToExpiry($E$6,F9)</f>
        <v>0.12328767123287671</v>
      </c>
      <c r="AE9" s="107">
        <f>AD9*(1+$E$4)+$E$5/365</f>
        <v>0.12328767123287671</v>
      </c>
      <c r="AF9" s="107">
        <f>B76FutureTau(C9,L9,V9,AE9,O9,X9)*U9*T9*10</f>
        <v>229094.64129882003</v>
      </c>
    </row>
    <row r="10" spans="2:32" x14ac:dyDescent="0.25">
      <c r="B10" s="108" t="s">
        <v>20</v>
      </c>
      <c r="C10" s="57" t="s">
        <v>56</v>
      </c>
      <c r="D10" s="114" t="s">
        <v>57</v>
      </c>
      <c r="E10" s="110">
        <v>40544</v>
      </c>
      <c r="F10" s="110">
        <v>40908</v>
      </c>
      <c r="G10" s="107">
        <v>3120</v>
      </c>
      <c r="H10" s="107">
        <v>2604</v>
      </c>
      <c r="I10" s="107">
        <f t="shared" ref="I10:I44" si="6">G10-H10</f>
        <v>516</v>
      </c>
      <c r="J10" s="92">
        <v>3.5922444117298601E-14</v>
      </c>
      <c r="K10" s="113">
        <v>45</v>
      </c>
      <c r="L10" s="92">
        <v>51.9794589528789</v>
      </c>
      <c r="M10" s="127">
        <f t="shared" ref="M10:M44" si="7">L10*(1+$E$3)</f>
        <v>51.9794589528789</v>
      </c>
      <c r="N10" s="92">
        <v>0.66353721104510899</v>
      </c>
      <c r="O10" s="126">
        <f t="shared" ref="O10:O44" si="8">N10*(1+$E$2)</f>
        <v>0.66353721104510899</v>
      </c>
      <c r="P10" s="92">
        <v>-1.88190730775796E-14</v>
      </c>
      <c r="Q10" s="15">
        <v>52.431090629800302</v>
      </c>
      <c r="R10" s="107">
        <f t="shared" si="0"/>
        <v>2604</v>
      </c>
      <c r="S10" s="107">
        <f t="shared" si="1"/>
        <v>516</v>
      </c>
      <c r="T10" s="107">
        <f t="shared" si="2"/>
        <v>3120</v>
      </c>
      <c r="U10" s="107">
        <f t="shared" si="3"/>
        <v>0.16538461538461538</v>
      </c>
      <c r="V10" s="107">
        <f t="shared" ref="V10:V44" si="9">IF($E$6&gt;E10,(T10/S10)*K10-(R10/S10)*Q10,K10)</f>
        <v>7.4989147286821662</v>
      </c>
      <c r="W10" s="117">
        <v>1.5032043678849452</v>
      </c>
      <c r="X10" s="107">
        <f t="shared" ref="X10:X44" si="10">W10/100</f>
        <v>1.5032043678849451E-2</v>
      </c>
      <c r="Y10" s="16">
        <f t="shared" si="4"/>
        <v>4.2264267169624804E-18</v>
      </c>
      <c r="Z10" s="18">
        <v>0</v>
      </c>
      <c r="AA10" s="116">
        <f t="shared" si="5"/>
        <v>-2.9401552266520062E-18</v>
      </c>
      <c r="AB10" s="18">
        <v>0</v>
      </c>
      <c r="AC10" s="125">
        <f t="shared" ref="AC10:AC44" si="11">Y10*T10*10</f>
        <v>1.318645135692294E-13</v>
      </c>
      <c r="AD10" s="138">
        <f t="shared" ref="AD10:AD44" si="12">TimeToExpiry($E$6,F10)</f>
        <v>0.12328767123287671</v>
      </c>
      <c r="AE10" s="139">
        <f t="shared" ref="AE10:AE44" si="13">AD10*(1+$E$4)+$E$5/365</f>
        <v>0.12328767123287671</v>
      </c>
      <c r="AF10" s="138">
        <f t="shared" ref="AF10:AF44" si="14">B76FutureTau(C10,L10,V10,AE10,O10,X10)*U10*T10*10</f>
        <v>1.318645135692294E-13</v>
      </c>
    </row>
    <row r="11" spans="2:32" x14ac:dyDescent="0.25">
      <c r="B11" s="108" t="s">
        <v>20</v>
      </c>
      <c r="C11" s="57" t="s">
        <v>54</v>
      </c>
      <c r="D11" s="114" t="s">
        <v>58</v>
      </c>
      <c r="E11" s="110">
        <v>40544</v>
      </c>
      <c r="F11" s="110">
        <v>40908</v>
      </c>
      <c r="G11" s="107">
        <v>8760</v>
      </c>
      <c r="H11" s="107">
        <v>7320</v>
      </c>
      <c r="I11" s="107">
        <f t="shared" si="6"/>
        <v>1440</v>
      </c>
      <c r="J11" s="92">
        <v>3.38833049474903</v>
      </c>
      <c r="K11" s="113">
        <v>45</v>
      </c>
      <c r="L11" s="92">
        <v>45.567444154755101</v>
      </c>
      <c r="M11" s="127">
        <f t="shared" si="7"/>
        <v>45.567444154755101</v>
      </c>
      <c r="N11" s="92">
        <v>0.48268935539166102</v>
      </c>
      <c r="O11" s="126">
        <f t="shared" si="8"/>
        <v>0.48268935539166102</v>
      </c>
      <c r="P11" s="92">
        <v>0.16385902530622201</v>
      </c>
      <c r="Q11" s="15">
        <v>48.952928961748597</v>
      </c>
      <c r="R11" s="107">
        <f t="shared" si="0"/>
        <v>7320</v>
      </c>
      <c r="S11" s="107">
        <f t="shared" si="1"/>
        <v>1440</v>
      </c>
      <c r="T11" s="107">
        <f t="shared" si="2"/>
        <v>8760</v>
      </c>
      <c r="U11" s="107">
        <f t="shared" si="3"/>
        <v>0.16438356164383561</v>
      </c>
      <c r="V11" s="107">
        <f t="shared" si="9"/>
        <v>24.905944444444657</v>
      </c>
      <c r="W11" s="117">
        <v>1.5032043678849452</v>
      </c>
      <c r="X11" s="107">
        <f t="shared" si="10"/>
        <v>1.5032043678849451E-2</v>
      </c>
      <c r="Y11" s="16">
        <f t="shared" si="4"/>
        <v>3.3901644992590194</v>
      </c>
      <c r="Z11" s="18">
        <f t="shared" ref="Z11:Z44" si="15">J11/Y11-1</f>
        <v>-5.4097802935237915E-4</v>
      </c>
      <c r="AA11" s="116">
        <f t="shared" si="5"/>
        <v>0.16405760128058156</v>
      </c>
      <c r="AB11" s="18">
        <f t="shared" ref="AB11:AB44" si="16">AA11/P11-1</f>
        <v>1.2118708382919952E-3</v>
      </c>
      <c r="AC11" s="125">
        <f t="shared" si="11"/>
        <v>296978.41013509012</v>
      </c>
      <c r="AD11" s="138">
        <f t="shared" si="12"/>
        <v>0.12328767123287671</v>
      </c>
      <c r="AE11" s="139">
        <f t="shared" si="13"/>
        <v>0.12328767123287671</v>
      </c>
      <c r="AF11" s="138">
        <f t="shared" si="14"/>
        <v>296978.41013509012</v>
      </c>
    </row>
    <row r="12" spans="2:32" x14ac:dyDescent="0.25">
      <c r="B12" s="108" t="s">
        <v>20</v>
      </c>
      <c r="C12" s="57" t="s">
        <v>56</v>
      </c>
      <c r="D12" s="114" t="s">
        <v>59</v>
      </c>
      <c r="E12" s="110">
        <v>40544</v>
      </c>
      <c r="F12" s="110">
        <v>40908</v>
      </c>
      <c r="G12" s="107">
        <v>8760</v>
      </c>
      <c r="H12" s="107">
        <v>7320</v>
      </c>
      <c r="I12" s="107">
        <f t="shared" si="6"/>
        <v>1440</v>
      </c>
      <c r="J12" s="92">
        <v>3.0182512736993798E-4</v>
      </c>
      <c r="K12" s="113">
        <v>45</v>
      </c>
      <c r="L12" s="92">
        <v>45.567444154755101</v>
      </c>
      <c r="M12" s="127">
        <f t="shared" si="7"/>
        <v>45.567444154755101</v>
      </c>
      <c r="N12" s="92">
        <v>0.48268935539166102</v>
      </c>
      <c r="O12" s="126">
        <f t="shared" si="8"/>
        <v>0.48268935539166102</v>
      </c>
      <c r="P12" s="92">
        <v>-1.18842569988351E-4</v>
      </c>
      <c r="Q12" s="15">
        <v>48.952928961748597</v>
      </c>
      <c r="R12" s="107">
        <f t="shared" si="0"/>
        <v>7320</v>
      </c>
      <c r="S12" s="107">
        <f t="shared" si="1"/>
        <v>1440</v>
      </c>
      <c r="T12" s="107">
        <f t="shared" si="2"/>
        <v>8760</v>
      </c>
      <c r="U12" s="107">
        <f t="shared" si="3"/>
        <v>0.16438356164383561</v>
      </c>
      <c r="V12" s="107">
        <f t="shared" si="9"/>
        <v>24.905944444444657</v>
      </c>
      <c r="W12" s="117">
        <v>1.50320436788495</v>
      </c>
      <c r="X12" s="107">
        <f t="shared" si="10"/>
        <v>1.5032043678849501E-2</v>
      </c>
      <c r="Y12" s="16">
        <f t="shared" si="4"/>
        <v>4.2210636852421639E-5</v>
      </c>
      <c r="Z12" s="18">
        <f t="shared" si="15"/>
        <v>6.150451873663739</v>
      </c>
      <c r="AA12" s="107">
        <f t="shared" si="5"/>
        <v>-2.1596074605440415E-5</v>
      </c>
      <c r="AB12" s="18">
        <f t="shared" si="16"/>
        <v>-0.81827997654748397</v>
      </c>
      <c r="AC12" s="125">
        <f t="shared" si="11"/>
        <v>3.6976517882721356</v>
      </c>
      <c r="AD12" s="138">
        <f t="shared" si="12"/>
        <v>0.12328767123287671</v>
      </c>
      <c r="AE12" s="139">
        <f t="shared" si="13"/>
        <v>0.12328767123287671</v>
      </c>
      <c r="AF12" s="138">
        <f t="shared" si="14"/>
        <v>3.6976517882721356</v>
      </c>
    </row>
    <row r="13" spans="2:32" x14ac:dyDescent="0.25">
      <c r="B13" s="108" t="s">
        <v>50</v>
      </c>
      <c r="C13" s="57" t="s">
        <v>54</v>
      </c>
      <c r="D13" s="114" t="s">
        <v>58</v>
      </c>
      <c r="E13" s="110">
        <v>40544</v>
      </c>
      <c r="F13" s="110">
        <v>40908</v>
      </c>
      <c r="G13" s="107">
        <v>8760</v>
      </c>
      <c r="H13" s="107">
        <v>7320</v>
      </c>
      <c r="I13" s="107">
        <f t="shared" si="6"/>
        <v>1440</v>
      </c>
      <c r="J13" s="92">
        <v>2.4634127434800499</v>
      </c>
      <c r="K13" s="113">
        <v>45</v>
      </c>
      <c r="L13" s="92">
        <v>43.6942499819882</v>
      </c>
      <c r="M13" s="127">
        <f t="shared" si="7"/>
        <v>43.6942499819882</v>
      </c>
      <c r="N13" s="92">
        <v>0.29556788590386501</v>
      </c>
      <c r="O13" s="126">
        <f t="shared" si="8"/>
        <v>0.29556788590386501</v>
      </c>
      <c r="P13" s="92">
        <v>0.163949221941462</v>
      </c>
      <c r="Q13" s="15">
        <v>48.212135245901599</v>
      </c>
      <c r="R13" s="107">
        <f t="shared" si="0"/>
        <v>7320</v>
      </c>
      <c r="S13" s="107">
        <f t="shared" si="1"/>
        <v>1440</v>
      </c>
      <c r="T13" s="107">
        <f t="shared" si="2"/>
        <v>8760</v>
      </c>
      <c r="U13" s="107">
        <f t="shared" si="3"/>
        <v>0.16438356164383561</v>
      </c>
      <c r="V13" s="107">
        <f t="shared" si="9"/>
        <v>28.671645833333542</v>
      </c>
      <c r="W13" s="117">
        <v>1.50320436788495</v>
      </c>
      <c r="X13" s="107">
        <f t="shared" si="10"/>
        <v>1.5032043678849501E-2</v>
      </c>
      <c r="Y13" s="16">
        <f t="shared" si="4"/>
        <v>2.4649001282845187</v>
      </c>
      <c r="Z13" s="18">
        <f t="shared" si="15"/>
        <v>-6.0342599174756373E-4</v>
      </c>
      <c r="AA13" s="107">
        <f t="shared" si="5"/>
        <v>0.16407597216785577</v>
      </c>
      <c r="AB13" s="18">
        <f t="shared" si="16"/>
        <v>7.7310660515994556E-4</v>
      </c>
      <c r="AC13" s="125">
        <f t="shared" si="11"/>
        <v>215925.25123772383</v>
      </c>
      <c r="AD13" s="138">
        <f t="shared" si="12"/>
        <v>0.12328767123287671</v>
      </c>
      <c r="AE13" s="139">
        <f t="shared" si="13"/>
        <v>0.12328767123287671</v>
      </c>
      <c r="AF13" s="138">
        <f t="shared" si="14"/>
        <v>215925.25123772383</v>
      </c>
    </row>
    <row r="14" spans="2:32" x14ac:dyDescent="0.25">
      <c r="B14" s="108" t="s">
        <v>50</v>
      </c>
      <c r="C14" s="57" t="s">
        <v>56</v>
      </c>
      <c r="D14" s="114" t="s">
        <v>59</v>
      </c>
      <c r="E14" s="110">
        <v>40544</v>
      </c>
      <c r="F14" s="110">
        <v>40908</v>
      </c>
      <c r="G14" s="107">
        <v>8760</v>
      </c>
      <c r="H14" s="107">
        <v>7320</v>
      </c>
      <c r="I14" s="107">
        <f t="shared" si="6"/>
        <v>1440</v>
      </c>
      <c r="J14" s="92">
        <v>3.8145235320819202E-5</v>
      </c>
      <c r="K14" s="113">
        <v>45</v>
      </c>
      <c r="L14" s="92">
        <v>43.6942499819882</v>
      </c>
      <c r="M14" s="127">
        <f t="shared" si="7"/>
        <v>43.6942499819882</v>
      </c>
      <c r="N14" s="92">
        <v>0.29556788590386501</v>
      </c>
      <c r="O14" s="126">
        <f t="shared" si="8"/>
        <v>0.29556788590386501</v>
      </c>
      <c r="P14" s="92">
        <v>-2.86459347483471E-5</v>
      </c>
      <c r="Q14" s="15">
        <v>48.212135245901599</v>
      </c>
      <c r="R14" s="107">
        <f t="shared" si="0"/>
        <v>7320</v>
      </c>
      <c r="S14" s="107">
        <f t="shared" si="1"/>
        <v>1440</v>
      </c>
      <c r="T14" s="107">
        <f t="shared" si="2"/>
        <v>8760</v>
      </c>
      <c r="U14" s="107">
        <f t="shared" si="3"/>
        <v>0.16438356164383561</v>
      </c>
      <c r="V14" s="107">
        <f t="shared" si="9"/>
        <v>28.671645833333542</v>
      </c>
      <c r="W14" s="117">
        <v>1.50320436788495</v>
      </c>
      <c r="X14" s="107">
        <f t="shared" si="10"/>
        <v>1.5032043678849501E-2</v>
      </c>
      <c r="Y14" s="16">
        <f t="shared" si="4"/>
        <v>3.2973885603234022E-6</v>
      </c>
      <c r="Z14" s="18">
        <f t="shared" si="15"/>
        <v>10.568316752174933</v>
      </c>
      <c r="AA14" s="107">
        <f t="shared" si="5"/>
        <v>-3.2251873312047735E-6</v>
      </c>
      <c r="AB14" s="18">
        <f t="shared" si="16"/>
        <v>-0.88741204085194425</v>
      </c>
      <c r="AC14" s="125">
        <f t="shared" si="11"/>
        <v>0.28885123788433004</v>
      </c>
      <c r="AD14" s="138">
        <f t="shared" si="12"/>
        <v>0.12328767123287671</v>
      </c>
      <c r="AE14" s="139">
        <f t="shared" si="13"/>
        <v>0.12328767123287671</v>
      </c>
      <c r="AF14" s="138">
        <f t="shared" si="14"/>
        <v>0.28885123788433004</v>
      </c>
    </row>
    <row r="15" spans="2:32" x14ac:dyDescent="0.25">
      <c r="B15" s="108" t="s">
        <v>20</v>
      </c>
      <c r="C15" s="57" t="s">
        <v>54</v>
      </c>
      <c r="D15" s="114" t="s">
        <v>60</v>
      </c>
      <c r="E15" s="110">
        <v>40817</v>
      </c>
      <c r="F15" s="110">
        <v>40908</v>
      </c>
      <c r="G15" s="107">
        <v>780</v>
      </c>
      <c r="H15" s="107">
        <v>264</v>
      </c>
      <c r="I15" s="107">
        <f t="shared" si="6"/>
        <v>516</v>
      </c>
      <c r="J15" s="92">
        <v>3.87390629621384</v>
      </c>
      <c r="K15" s="113">
        <v>45</v>
      </c>
      <c r="L15" s="92">
        <v>51.9794589528789</v>
      </c>
      <c r="M15" s="127">
        <f t="shared" si="7"/>
        <v>51.9794589528789</v>
      </c>
      <c r="N15" s="92">
        <v>0.66353721104510899</v>
      </c>
      <c r="O15" s="126">
        <f t="shared" si="8"/>
        <v>0.66353721104510899</v>
      </c>
      <c r="P15" s="92">
        <v>0.37791097957285202</v>
      </c>
      <c r="Q15" s="15">
        <v>32.68</v>
      </c>
      <c r="R15" s="107">
        <f t="shared" si="0"/>
        <v>264</v>
      </c>
      <c r="S15" s="107">
        <f t="shared" si="1"/>
        <v>516</v>
      </c>
      <c r="T15" s="107">
        <f t="shared" si="2"/>
        <v>780</v>
      </c>
      <c r="U15" s="107">
        <f t="shared" si="3"/>
        <v>0.66153846153846152</v>
      </c>
      <c r="V15" s="107">
        <f t="shared" si="9"/>
        <v>51.303255813953484</v>
      </c>
      <c r="W15" s="118">
        <v>1.5032043678849452</v>
      </c>
      <c r="X15" s="107">
        <f t="shared" si="10"/>
        <v>1.5032043678849451E-2</v>
      </c>
      <c r="Y15" s="16">
        <f t="shared" si="4"/>
        <v>3.3905136177999218</v>
      </c>
      <c r="Z15" s="18">
        <f t="shared" si="15"/>
        <v>0.14257210939255516</v>
      </c>
      <c r="AA15" s="107">
        <f t="shared" si="5"/>
        <v>0.37542417489447294</v>
      </c>
      <c r="AB15" s="18">
        <f t="shared" si="16"/>
        <v>-6.5803980640887216E-3</v>
      </c>
      <c r="AC15" s="125">
        <f t="shared" si="11"/>
        <v>26446.006218839389</v>
      </c>
      <c r="AD15" s="138">
        <f t="shared" si="12"/>
        <v>0.12328767123287671</v>
      </c>
      <c r="AE15" s="139">
        <f t="shared" si="13"/>
        <v>0.12328767123287671</v>
      </c>
      <c r="AF15" s="138">
        <f t="shared" si="14"/>
        <v>26446.006218839389</v>
      </c>
    </row>
    <row r="16" spans="2:32" x14ac:dyDescent="0.25">
      <c r="B16" s="108" t="s">
        <v>20</v>
      </c>
      <c r="C16" s="57" t="s">
        <v>56</v>
      </c>
      <c r="D16" s="114" t="s">
        <v>61</v>
      </c>
      <c r="E16" s="110">
        <v>40817</v>
      </c>
      <c r="F16" s="110">
        <v>40908</v>
      </c>
      <c r="G16" s="107">
        <v>780</v>
      </c>
      <c r="H16" s="107">
        <v>264</v>
      </c>
      <c r="I16" s="107">
        <f t="shared" si="6"/>
        <v>516</v>
      </c>
      <c r="J16" s="92">
        <v>3.4276759200296301</v>
      </c>
      <c r="K16" s="113">
        <v>45</v>
      </c>
      <c r="L16" s="92">
        <v>51.9794589528789</v>
      </c>
      <c r="M16" s="127">
        <f t="shared" si="7"/>
        <v>51.9794589528789</v>
      </c>
      <c r="N16" s="92">
        <v>0.66353721104510899</v>
      </c>
      <c r="O16" s="126">
        <f t="shared" si="8"/>
        <v>0.66353721104510899</v>
      </c>
      <c r="P16" s="92">
        <v>-0.28199482461102299</v>
      </c>
      <c r="Q16" s="15">
        <v>32.68</v>
      </c>
      <c r="R16" s="107">
        <f t="shared" si="0"/>
        <v>264</v>
      </c>
      <c r="S16" s="107">
        <f t="shared" si="1"/>
        <v>516</v>
      </c>
      <c r="T16" s="107">
        <f t="shared" si="2"/>
        <v>780</v>
      </c>
      <c r="U16" s="107">
        <f t="shared" si="3"/>
        <v>0.66153846153846152</v>
      </c>
      <c r="V16" s="107">
        <f t="shared" si="9"/>
        <v>51.303255813953484</v>
      </c>
      <c r="W16" s="118">
        <v>1.5032043678849452</v>
      </c>
      <c r="X16" s="107">
        <f t="shared" si="10"/>
        <v>1.5032043678849451E-2</v>
      </c>
      <c r="Y16" s="16">
        <f t="shared" si="4"/>
        <v>2.9440074953085285</v>
      </c>
      <c r="Z16" s="18">
        <f t="shared" si="15"/>
        <v>0.16428912816691521</v>
      </c>
      <c r="AA16" s="107">
        <f t="shared" si="5"/>
        <v>-0.28488941548749114</v>
      </c>
      <c r="AB16" s="18">
        <f t="shared" si="16"/>
        <v>1.0264695036374727E-2</v>
      </c>
      <c r="AC16" s="125">
        <f t="shared" si="11"/>
        <v>22963.258463406524</v>
      </c>
      <c r="AD16" s="138">
        <f t="shared" si="12"/>
        <v>0.12328767123287671</v>
      </c>
      <c r="AE16" s="139">
        <f t="shared" si="13"/>
        <v>0.12328767123287671</v>
      </c>
      <c r="AF16" s="138">
        <f t="shared" si="14"/>
        <v>22963.258463406524</v>
      </c>
    </row>
    <row r="17" spans="2:32" x14ac:dyDescent="0.25">
      <c r="B17" s="108" t="s">
        <v>20</v>
      </c>
      <c r="C17" s="57" t="s">
        <v>54</v>
      </c>
      <c r="D17" s="114" t="s">
        <v>62</v>
      </c>
      <c r="E17" s="110">
        <v>40817</v>
      </c>
      <c r="F17" s="110">
        <v>40908</v>
      </c>
      <c r="G17" s="107">
        <v>2209</v>
      </c>
      <c r="H17" s="107">
        <v>769</v>
      </c>
      <c r="I17" s="107">
        <f t="shared" si="6"/>
        <v>1440</v>
      </c>
      <c r="J17" s="92">
        <v>0.68177272420410195</v>
      </c>
      <c r="K17" s="113">
        <v>45</v>
      </c>
      <c r="L17" s="92">
        <v>45.567444154755101</v>
      </c>
      <c r="M17" s="127">
        <f t="shared" si="7"/>
        <v>45.567444154755101</v>
      </c>
      <c r="N17" s="92">
        <v>0.48268935539166102</v>
      </c>
      <c r="O17" s="126">
        <f t="shared" si="8"/>
        <v>0.48268935539166102</v>
      </c>
      <c r="P17" s="92">
        <v>0.14540515555763001</v>
      </c>
      <c r="Q17" s="15">
        <v>28.338244473342002</v>
      </c>
      <c r="R17" s="107">
        <f t="shared" si="0"/>
        <v>769</v>
      </c>
      <c r="S17" s="107">
        <f t="shared" si="1"/>
        <v>1440</v>
      </c>
      <c r="T17" s="107">
        <f t="shared" si="2"/>
        <v>2209</v>
      </c>
      <c r="U17" s="107">
        <f t="shared" si="3"/>
        <v>0.65187867813490263</v>
      </c>
      <c r="V17" s="107">
        <f t="shared" si="9"/>
        <v>53.897840277777775</v>
      </c>
      <c r="W17" s="118">
        <v>1.5032043678849452</v>
      </c>
      <c r="X17" s="107">
        <f t="shared" si="10"/>
        <v>1.5032043678849451E-2</v>
      </c>
      <c r="Y17" s="16">
        <f t="shared" si="4"/>
        <v>0.46245560832632487</v>
      </c>
      <c r="Z17" s="18">
        <f t="shared" si="15"/>
        <v>0.47424468841778911</v>
      </c>
      <c r="AA17" s="107">
        <f t="shared" si="5"/>
        <v>0.11874453639468761</v>
      </c>
      <c r="AB17" s="18">
        <f t="shared" si="16"/>
        <v>-0.18335401561725029</v>
      </c>
      <c r="AC17" s="125">
        <f t="shared" si="11"/>
        <v>10215.644387928516</v>
      </c>
      <c r="AD17" s="138">
        <f t="shared" si="12"/>
        <v>0.12328767123287671</v>
      </c>
      <c r="AE17" s="139">
        <f t="shared" si="13"/>
        <v>0.12328767123287671</v>
      </c>
      <c r="AF17" s="138">
        <f t="shared" si="14"/>
        <v>10215.644387928516</v>
      </c>
    </row>
    <row r="18" spans="2:32" x14ac:dyDescent="0.25">
      <c r="B18" s="108" t="s">
        <v>20</v>
      </c>
      <c r="C18" s="57" t="s">
        <v>56</v>
      </c>
      <c r="D18" s="114" t="s">
        <v>63</v>
      </c>
      <c r="E18" s="110">
        <v>40817</v>
      </c>
      <c r="F18" s="110">
        <v>40908</v>
      </c>
      <c r="G18" s="107">
        <v>2209</v>
      </c>
      <c r="H18" s="107">
        <v>769</v>
      </c>
      <c r="I18" s="107">
        <f t="shared" si="6"/>
        <v>1440</v>
      </c>
      <c r="J18" s="92">
        <v>6.0987782518643101</v>
      </c>
      <c r="K18" s="113">
        <v>45</v>
      </c>
      <c r="L18" s="92">
        <v>45.567444154755101</v>
      </c>
      <c r="M18" s="127">
        <f t="shared" si="7"/>
        <v>45.567444154755101</v>
      </c>
      <c r="N18" s="92">
        <v>0.48268935539166102</v>
      </c>
      <c r="O18" s="126">
        <f t="shared" si="8"/>
        <v>0.48268935539166102</v>
      </c>
      <c r="P18" s="92">
        <v>-0.50486470528238803</v>
      </c>
      <c r="Q18" s="15">
        <v>28.338244473342002</v>
      </c>
      <c r="R18" s="107">
        <f t="shared" si="0"/>
        <v>769</v>
      </c>
      <c r="S18" s="107">
        <f t="shared" si="1"/>
        <v>1440</v>
      </c>
      <c r="T18" s="107">
        <f t="shared" si="2"/>
        <v>2209</v>
      </c>
      <c r="U18" s="107">
        <f t="shared" si="3"/>
        <v>0.65187867813490263</v>
      </c>
      <c r="V18" s="107">
        <f t="shared" si="9"/>
        <v>53.897840277777775</v>
      </c>
      <c r="W18" s="118">
        <v>1.50320436788495</v>
      </c>
      <c r="X18" s="107">
        <f t="shared" si="10"/>
        <v>1.5032043678849501E-2</v>
      </c>
      <c r="Y18" s="16">
        <f t="shared" si="4"/>
        <v>5.8828085532620298</v>
      </c>
      <c r="Z18" s="18">
        <f t="shared" si="15"/>
        <v>3.6712005268729087E-2</v>
      </c>
      <c r="AA18" s="107">
        <f t="shared" si="5"/>
        <v>-0.531927156150101</v>
      </c>
      <c r="AB18" s="18">
        <f t="shared" si="16"/>
        <v>5.360337251655567E-2</v>
      </c>
      <c r="AC18" s="125">
        <f t="shared" si="11"/>
        <v>129951.24094155824</v>
      </c>
      <c r="AD18" s="138">
        <f t="shared" si="12"/>
        <v>0.12328767123287671</v>
      </c>
      <c r="AE18" s="139">
        <f t="shared" si="13"/>
        <v>0.12328767123287671</v>
      </c>
      <c r="AF18" s="138">
        <f t="shared" si="14"/>
        <v>129951.24094155824</v>
      </c>
    </row>
    <row r="19" spans="2:32" x14ac:dyDescent="0.25">
      <c r="B19" s="108" t="s">
        <v>50</v>
      </c>
      <c r="C19" s="57" t="s">
        <v>54</v>
      </c>
      <c r="D19" s="114" t="s">
        <v>62</v>
      </c>
      <c r="E19" s="110">
        <v>40817</v>
      </c>
      <c r="F19" s="110">
        <v>40908</v>
      </c>
      <c r="G19" s="107">
        <v>2209</v>
      </c>
      <c r="H19" s="107">
        <v>769</v>
      </c>
      <c r="I19" s="107">
        <f t="shared" si="6"/>
        <v>1440</v>
      </c>
      <c r="J19" s="92">
        <v>4.1173638476334498E-2</v>
      </c>
      <c r="K19" s="113">
        <v>45</v>
      </c>
      <c r="L19" s="92">
        <v>43.6942499819882</v>
      </c>
      <c r="M19" s="127">
        <f t="shared" si="7"/>
        <v>43.6942499819882</v>
      </c>
      <c r="N19" s="92">
        <v>0.29556788590386501</v>
      </c>
      <c r="O19" s="126">
        <f t="shared" si="8"/>
        <v>0.29556788590386501</v>
      </c>
      <c r="P19" s="92">
        <v>2.0956979678916701E-2</v>
      </c>
      <c r="Q19" s="15">
        <v>26.414226267880299</v>
      </c>
      <c r="R19" s="107">
        <f t="shared" si="0"/>
        <v>769</v>
      </c>
      <c r="S19" s="107">
        <f t="shared" si="1"/>
        <v>1440</v>
      </c>
      <c r="T19" s="107">
        <f t="shared" si="2"/>
        <v>2209</v>
      </c>
      <c r="U19" s="107">
        <f t="shared" si="3"/>
        <v>0.65187867813490263</v>
      </c>
      <c r="V19" s="107">
        <f t="shared" si="9"/>
        <v>54.925319444444483</v>
      </c>
      <c r="W19" s="118">
        <v>1.50320436788495</v>
      </c>
      <c r="X19" s="107">
        <f t="shared" si="10"/>
        <v>1.5032043678849501E-2</v>
      </c>
      <c r="Y19" s="16">
        <f t="shared" si="4"/>
        <v>1.5955322952718478E-2</v>
      </c>
      <c r="Z19" s="18">
        <f t="shared" si="15"/>
        <v>1.5805581371400135</v>
      </c>
      <c r="AA19" s="107">
        <f t="shared" si="5"/>
        <v>1.0205705647094773E-2</v>
      </c>
      <c r="AB19" s="18">
        <f t="shared" si="16"/>
        <v>-0.513016388646786</v>
      </c>
      <c r="AC19" s="125">
        <f t="shared" si="11"/>
        <v>352.45308402555116</v>
      </c>
      <c r="AD19" s="138">
        <f t="shared" si="12"/>
        <v>0.12328767123287671</v>
      </c>
      <c r="AE19" s="139">
        <f t="shared" si="13"/>
        <v>0.12328767123287671</v>
      </c>
      <c r="AF19" s="138">
        <f t="shared" si="14"/>
        <v>352.45308402555116</v>
      </c>
    </row>
    <row r="20" spans="2:32" x14ac:dyDescent="0.25">
      <c r="B20" s="108" t="s">
        <v>50</v>
      </c>
      <c r="C20" s="57" t="s">
        <v>56</v>
      </c>
      <c r="D20" s="114" t="s">
        <v>63</v>
      </c>
      <c r="E20" s="110">
        <v>40817</v>
      </c>
      <c r="F20" s="110">
        <v>40908</v>
      </c>
      <c r="G20" s="107">
        <v>2209</v>
      </c>
      <c r="H20" s="107">
        <v>769</v>
      </c>
      <c r="I20" s="107">
        <f t="shared" si="6"/>
        <v>1440</v>
      </c>
      <c r="J20" s="92">
        <v>7.3443996149123301</v>
      </c>
      <c r="K20" s="113">
        <v>45</v>
      </c>
      <c r="L20" s="92">
        <v>43.6942499819882</v>
      </c>
      <c r="M20" s="127">
        <f t="shared" si="7"/>
        <v>43.6942499819882</v>
      </c>
      <c r="N20" s="92">
        <v>0.29556788590386501</v>
      </c>
      <c r="O20" s="126">
        <f t="shared" si="8"/>
        <v>0.29556788590386501</v>
      </c>
      <c r="P20" s="92">
        <v>-0.62931288116110096</v>
      </c>
      <c r="Q20" s="15">
        <v>26.414226267880299</v>
      </c>
      <c r="R20" s="107">
        <f t="shared" si="0"/>
        <v>769</v>
      </c>
      <c r="S20" s="107">
        <f t="shared" si="1"/>
        <v>1440</v>
      </c>
      <c r="T20" s="107">
        <f t="shared" si="2"/>
        <v>2209</v>
      </c>
      <c r="U20" s="107">
        <f t="shared" si="3"/>
        <v>0.65187867813490263</v>
      </c>
      <c r="V20" s="107">
        <f t="shared" si="9"/>
        <v>54.925319444444483</v>
      </c>
      <c r="W20" s="118">
        <v>1.50320436788495</v>
      </c>
      <c r="X20" s="107">
        <f t="shared" si="10"/>
        <v>1.5032043678849501E-2</v>
      </c>
      <c r="Y20" s="16">
        <f t="shared" si="4"/>
        <v>7.3236942991772356</v>
      </c>
      <c r="Z20" s="18">
        <f t="shared" si="15"/>
        <v>2.8271682144653809E-3</v>
      </c>
      <c r="AA20" s="107">
        <f t="shared" si="5"/>
        <v>-0.64046598689769385</v>
      </c>
      <c r="AB20" s="18">
        <f t="shared" si="16"/>
        <v>1.7722671933895651E-2</v>
      </c>
      <c r="AC20" s="125">
        <f t="shared" si="11"/>
        <v>161780.40706882512</v>
      </c>
      <c r="AD20" s="138">
        <f t="shared" si="12"/>
        <v>0.12328767123287671</v>
      </c>
      <c r="AE20" s="139">
        <f t="shared" si="13"/>
        <v>0.12328767123287671</v>
      </c>
      <c r="AF20" s="138">
        <f t="shared" si="14"/>
        <v>161780.40706882512</v>
      </c>
    </row>
    <row r="21" spans="2:32" x14ac:dyDescent="0.25">
      <c r="B21" s="108" t="s">
        <v>20</v>
      </c>
      <c r="C21" s="57" t="s">
        <v>54</v>
      </c>
      <c r="D21" s="114" t="s">
        <v>64</v>
      </c>
      <c r="E21" s="110">
        <v>40848</v>
      </c>
      <c r="F21" s="110">
        <v>40877</v>
      </c>
      <c r="G21" s="107">
        <v>264</v>
      </c>
      <c r="H21" s="107">
        <v>12</v>
      </c>
      <c r="I21" s="107">
        <f t="shared" si="6"/>
        <v>252</v>
      </c>
      <c r="J21" s="92">
        <v>6.7229465822058998</v>
      </c>
      <c r="K21" s="113">
        <v>45</v>
      </c>
      <c r="L21" s="92">
        <v>50.386511189228301</v>
      </c>
      <c r="M21" s="127">
        <f t="shared" si="7"/>
        <v>50.386511189228301</v>
      </c>
      <c r="N21" s="92">
        <v>0.720117959324718</v>
      </c>
      <c r="O21" s="126">
        <f t="shared" si="8"/>
        <v>0.720117959324718</v>
      </c>
      <c r="P21" s="92">
        <v>0.70634977847316804</v>
      </c>
      <c r="Q21" s="15">
        <v>42.5566666666667</v>
      </c>
      <c r="R21" s="107">
        <f t="shared" si="0"/>
        <v>12</v>
      </c>
      <c r="S21" s="107">
        <f t="shared" si="1"/>
        <v>252</v>
      </c>
      <c r="T21" s="107">
        <f t="shared" si="2"/>
        <v>264</v>
      </c>
      <c r="U21" s="107">
        <f t="shared" si="3"/>
        <v>0.95454545454545459</v>
      </c>
      <c r="V21" s="107">
        <f t="shared" si="9"/>
        <v>45.116349206349206</v>
      </c>
      <c r="W21" s="119">
        <v>1.3612382216139673</v>
      </c>
      <c r="X21" s="107">
        <f t="shared" si="10"/>
        <v>1.3612382216139673E-2</v>
      </c>
      <c r="Y21" s="16">
        <f t="shared" si="4"/>
        <v>5.8208728789608708</v>
      </c>
      <c r="Z21" s="18">
        <f t="shared" si="15"/>
        <v>0.15497223904433821</v>
      </c>
      <c r="AA21" s="107">
        <f t="shared" si="5"/>
        <v>0.76649249287861188</v>
      </c>
      <c r="AB21" s="18">
        <f t="shared" si="16"/>
        <v>8.5145796372226634E-2</v>
      </c>
      <c r="AC21" s="125">
        <f t="shared" si="11"/>
        <v>15367.104400456699</v>
      </c>
      <c r="AD21" s="138">
        <f t="shared" si="12"/>
        <v>3.8356164383561646E-2</v>
      </c>
      <c r="AE21" s="139">
        <f t="shared" si="13"/>
        <v>3.8356164383561646E-2</v>
      </c>
      <c r="AF21" s="138">
        <f t="shared" si="14"/>
        <v>15367.104400456699</v>
      </c>
    </row>
    <row r="22" spans="2:32" x14ac:dyDescent="0.25">
      <c r="B22" s="108" t="s">
        <v>20</v>
      </c>
      <c r="C22" s="57" t="s">
        <v>56</v>
      </c>
      <c r="D22" s="114" t="s">
        <v>65</v>
      </c>
      <c r="E22" s="110">
        <v>40848</v>
      </c>
      <c r="F22" s="110">
        <v>40877</v>
      </c>
      <c r="G22" s="107">
        <v>264</v>
      </c>
      <c r="H22" s="107">
        <v>12</v>
      </c>
      <c r="I22" s="107">
        <f t="shared" si="6"/>
        <v>252</v>
      </c>
      <c r="J22" s="92">
        <v>1.69777523908419</v>
      </c>
      <c r="K22" s="113">
        <v>45</v>
      </c>
      <c r="L22" s="92">
        <v>50.386511189228301</v>
      </c>
      <c r="M22" s="127">
        <f t="shared" si="7"/>
        <v>50.386511189228301</v>
      </c>
      <c r="N22" s="92">
        <v>0.720117959324718</v>
      </c>
      <c r="O22" s="126">
        <f t="shared" si="8"/>
        <v>0.720117959324718</v>
      </c>
      <c r="P22" s="92">
        <v>-0.24716386293800199</v>
      </c>
      <c r="Q22" s="15">
        <v>42.5566666666667</v>
      </c>
      <c r="R22" s="107">
        <f t="shared" si="0"/>
        <v>12</v>
      </c>
      <c r="S22" s="107">
        <f t="shared" si="1"/>
        <v>252</v>
      </c>
      <c r="T22" s="107">
        <f t="shared" si="2"/>
        <v>264</v>
      </c>
      <c r="U22" s="107">
        <f t="shared" si="3"/>
        <v>0.95454545454545459</v>
      </c>
      <c r="V22" s="107">
        <f t="shared" si="9"/>
        <v>45.116349206349206</v>
      </c>
      <c r="W22" s="119">
        <v>1.3612382216139673</v>
      </c>
      <c r="X22" s="107">
        <f t="shared" si="10"/>
        <v>1.3612382216139673E-2</v>
      </c>
      <c r="Y22" s="16">
        <f t="shared" si="4"/>
        <v>0.79288960338201697</v>
      </c>
      <c r="Z22" s="18">
        <f t="shared" si="15"/>
        <v>1.1412504740161111</v>
      </c>
      <c r="AA22" s="107">
        <f t="shared" si="5"/>
        <v>-0.18755470565399646</v>
      </c>
      <c r="AB22" s="18">
        <f t="shared" si="16"/>
        <v>-0.24117262360055347</v>
      </c>
      <c r="AC22" s="125">
        <f t="shared" si="11"/>
        <v>2093.2285529285246</v>
      </c>
      <c r="AD22" s="138">
        <f t="shared" si="12"/>
        <v>3.8356164383561646E-2</v>
      </c>
      <c r="AE22" s="139">
        <f t="shared" si="13"/>
        <v>3.8356164383561646E-2</v>
      </c>
      <c r="AF22" s="138">
        <f t="shared" si="14"/>
        <v>2093.2285529285246</v>
      </c>
    </row>
    <row r="23" spans="2:32" x14ac:dyDescent="0.25">
      <c r="B23" s="11" t="s">
        <v>20</v>
      </c>
      <c r="C23" s="12" t="s">
        <v>54</v>
      </c>
      <c r="D23" s="114" t="s">
        <v>66</v>
      </c>
      <c r="E23" s="13">
        <v>40848</v>
      </c>
      <c r="F23" s="13">
        <v>40877</v>
      </c>
      <c r="G23" s="107">
        <v>720</v>
      </c>
      <c r="H23" s="107">
        <v>24</v>
      </c>
      <c r="I23" s="107">
        <f t="shared" si="6"/>
        <v>696</v>
      </c>
      <c r="J23" s="92">
        <v>2.4411183486299</v>
      </c>
      <c r="K23" s="113">
        <v>45</v>
      </c>
      <c r="L23" s="92">
        <v>44.506436182251797</v>
      </c>
      <c r="M23" s="127">
        <f t="shared" si="7"/>
        <v>44.506436182251797</v>
      </c>
      <c r="N23" s="92">
        <v>0.56509827738996798</v>
      </c>
      <c r="O23" s="126">
        <f t="shared" si="8"/>
        <v>0.56509827738996798</v>
      </c>
      <c r="P23" s="92">
        <v>0.47785987108570299</v>
      </c>
      <c r="Q23" s="15">
        <v>40.156666666666702</v>
      </c>
      <c r="R23" s="107">
        <f t="shared" si="0"/>
        <v>24</v>
      </c>
      <c r="S23" s="107">
        <f t="shared" si="1"/>
        <v>696</v>
      </c>
      <c r="T23" s="107">
        <f t="shared" si="2"/>
        <v>720</v>
      </c>
      <c r="U23" s="15">
        <f t="shared" si="3"/>
        <v>0.96666666666666667</v>
      </c>
      <c r="V23" s="15">
        <f t="shared" si="9"/>
        <v>45.167011494252876</v>
      </c>
      <c r="W23" s="119">
        <v>1.3612382216139673</v>
      </c>
      <c r="X23" s="15">
        <f t="shared" si="10"/>
        <v>1.3612382216139673E-2</v>
      </c>
      <c r="Y23" s="16">
        <f t="shared" si="4"/>
        <v>1.6094594808320319</v>
      </c>
      <c r="Z23" s="18">
        <f t="shared" si="15"/>
        <v>0.51673178337358983</v>
      </c>
      <c r="AA23" s="15">
        <f t="shared" si="5"/>
        <v>0.45312879486725455</v>
      </c>
      <c r="AB23" s="18">
        <f t="shared" si="16"/>
        <v>-5.1753825158532663E-2</v>
      </c>
      <c r="AC23" s="125">
        <f>Y23*T23*10</f>
        <v>11588.10826199063</v>
      </c>
      <c r="AD23" s="138">
        <f t="shared" si="12"/>
        <v>3.8356164383561646E-2</v>
      </c>
      <c r="AE23" s="139">
        <f t="shared" si="13"/>
        <v>3.8356164383561646E-2</v>
      </c>
      <c r="AF23" s="138">
        <f t="shared" si="14"/>
        <v>11588.10826199063</v>
      </c>
    </row>
    <row r="24" spans="2:32" x14ac:dyDescent="0.25">
      <c r="B24" s="108" t="s">
        <v>20</v>
      </c>
      <c r="C24" s="57" t="s">
        <v>56</v>
      </c>
      <c r="D24" s="114" t="s">
        <v>67</v>
      </c>
      <c r="E24" s="110">
        <v>40848</v>
      </c>
      <c r="F24" s="110">
        <v>40877</v>
      </c>
      <c r="G24" s="107">
        <v>720</v>
      </c>
      <c r="H24" s="107">
        <v>24</v>
      </c>
      <c r="I24" s="107">
        <f t="shared" si="6"/>
        <v>696</v>
      </c>
      <c r="J24" s="92">
        <v>3.0789842381664299</v>
      </c>
      <c r="K24" s="113">
        <v>45</v>
      </c>
      <c r="L24" s="92">
        <v>44.506436182251797</v>
      </c>
      <c r="M24" s="127">
        <f t="shared" si="7"/>
        <v>44.506436182251797</v>
      </c>
      <c r="N24" s="92">
        <v>0.56509827738996798</v>
      </c>
      <c r="O24" s="126">
        <f t="shared" si="8"/>
        <v>0.56509827738996798</v>
      </c>
      <c r="P24" s="92">
        <v>-0.48776188005767201</v>
      </c>
      <c r="Q24" s="15">
        <v>40.156666666666702</v>
      </c>
      <c r="R24" s="107">
        <f t="shared" si="0"/>
        <v>24</v>
      </c>
      <c r="S24" s="107">
        <f t="shared" si="1"/>
        <v>696</v>
      </c>
      <c r="T24" s="107">
        <f t="shared" si="2"/>
        <v>720</v>
      </c>
      <c r="U24" s="107">
        <f t="shared" si="3"/>
        <v>0.96666666666666667</v>
      </c>
      <c r="V24" s="107">
        <f t="shared" si="9"/>
        <v>45.167011494252876</v>
      </c>
      <c r="W24" s="119">
        <v>1.3612382216139673</v>
      </c>
      <c r="X24" s="107">
        <f t="shared" si="10"/>
        <v>1.3612382216139673E-2</v>
      </c>
      <c r="Y24" s="16">
        <f t="shared" si="4"/>
        <v>2.2476823006453146</v>
      </c>
      <c r="Z24" s="18">
        <f t="shared" si="15"/>
        <v>0.36984850451616169</v>
      </c>
      <c r="AA24" s="107">
        <f t="shared" si="5"/>
        <v>-0.51303328872608533</v>
      </c>
      <c r="AB24" s="18">
        <f t="shared" si="16"/>
        <v>5.181095469253405E-2</v>
      </c>
      <c r="AC24" s="125">
        <f t="shared" si="11"/>
        <v>16183.312564646265</v>
      </c>
      <c r="AD24" s="138">
        <f t="shared" si="12"/>
        <v>3.8356164383561646E-2</v>
      </c>
      <c r="AE24" s="139">
        <f t="shared" si="13"/>
        <v>3.8356164383561646E-2</v>
      </c>
      <c r="AF24" s="138">
        <f t="shared" si="14"/>
        <v>16183.312564646265</v>
      </c>
    </row>
    <row r="25" spans="2:32" x14ac:dyDescent="0.25">
      <c r="B25" s="108" t="s">
        <v>50</v>
      </c>
      <c r="C25" s="57" t="s">
        <v>54</v>
      </c>
      <c r="D25" s="114" t="s">
        <v>66</v>
      </c>
      <c r="E25" s="110">
        <v>40848</v>
      </c>
      <c r="F25" s="110">
        <v>40877</v>
      </c>
      <c r="G25" s="107">
        <v>720</v>
      </c>
      <c r="H25" s="107">
        <v>24</v>
      </c>
      <c r="I25" s="107">
        <f t="shared" si="6"/>
        <v>696</v>
      </c>
      <c r="J25" s="92">
        <v>0.68342764939060296</v>
      </c>
      <c r="K25" s="113">
        <v>45</v>
      </c>
      <c r="L25" s="92">
        <v>42.2343103075588</v>
      </c>
      <c r="M25" s="127">
        <f t="shared" si="7"/>
        <v>42.2343103075588</v>
      </c>
      <c r="N25" s="92">
        <v>0.37034305597315198</v>
      </c>
      <c r="O25" s="126">
        <f t="shared" si="8"/>
        <v>0.37034305597315198</v>
      </c>
      <c r="P25" s="92">
        <v>0.26543082399266599</v>
      </c>
      <c r="Q25" s="15">
        <v>39.171666666666702</v>
      </c>
      <c r="R25" s="107">
        <f t="shared" ref="R25:S44" si="17">H25</f>
        <v>24</v>
      </c>
      <c r="S25" s="107">
        <f t="shared" si="17"/>
        <v>696</v>
      </c>
      <c r="T25" s="107">
        <f t="shared" si="2"/>
        <v>720</v>
      </c>
      <c r="U25" s="107">
        <f t="shared" si="3"/>
        <v>0.96666666666666667</v>
      </c>
      <c r="V25" s="107">
        <f t="shared" si="9"/>
        <v>45.20097701149426</v>
      </c>
      <c r="W25" s="119">
        <v>1.3612382216139673</v>
      </c>
      <c r="X25" s="107">
        <f t="shared" si="10"/>
        <v>1.3612382216139673E-2</v>
      </c>
      <c r="Y25" s="16">
        <f t="shared" si="4"/>
        <v>0.28763959116074245</v>
      </c>
      <c r="Z25" s="18">
        <f t="shared" si="15"/>
        <v>1.3759860269328543</v>
      </c>
      <c r="AA25" s="107">
        <f t="shared" si="5"/>
        <v>0.17791060449629406</v>
      </c>
      <c r="AB25" s="18">
        <f t="shared" si="16"/>
        <v>-0.32972892213449245</v>
      </c>
      <c r="AC25" s="125">
        <f t="shared" si="11"/>
        <v>2071.0050563573454</v>
      </c>
      <c r="AD25" s="138">
        <f t="shared" si="12"/>
        <v>3.8356164383561646E-2</v>
      </c>
      <c r="AE25" s="139">
        <f t="shared" si="13"/>
        <v>3.8356164383561646E-2</v>
      </c>
      <c r="AF25" s="138">
        <f t="shared" si="14"/>
        <v>2071.0050563573454</v>
      </c>
    </row>
    <row r="26" spans="2:32" x14ac:dyDescent="0.25">
      <c r="B26" s="108" t="s">
        <v>50</v>
      </c>
      <c r="C26" s="57" t="s">
        <v>56</v>
      </c>
      <c r="D26" s="114" t="s">
        <v>67</v>
      </c>
      <c r="E26" s="110">
        <v>40848</v>
      </c>
      <c r="F26" s="110">
        <v>40877</v>
      </c>
      <c r="G26" s="107">
        <v>720</v>
      </c>
      <c r="H26" s="107">
        <v>24</v>
      </c>
      <c r="I26" s="107">
        <f t="shared" si="6"/>
        <v>696</v>
      </c>
      <c r="J26" s="92">
        <v>3.5481055471035501</v>
      </c>
      <c r="K26" s="113">
        <v>45</v>
      </c>
      <c r="L26" s="92">
        <v>42.2343103075588</v>
      </c>
      <c r="M26" s="127">
        <f t="shared" si="7"/>
        <v>42.2343103075588</v>
      </c>
      <c r="N26" s="92">
        <v>0.37034305597315198</v>
      </c>
      <c r="O26" s="126">
        <f t="shared" si="8"/>
        <v>0.37034305597315198</v>
      </c>
      <c r="P26" s="92">
        <v>-0.70019092715070896</v>
      </c>
      <c r="Q26" s="15">
        <v>39.171666666666702</v>
      </c>
      <c r="R26" s="107">
        <f t="shared" si="17"/>
        <v>24</v>
      </c>
      <c r="S26" s="107">
        <f t="shared" si="17"/>
        <v>696</v>
      </c>
      <c r="T26" s="107">
        <f t="shared" si="2"/>
        <v>720</v>
      </c>
      <c r="U26" s="107">
        <f t="shared" si="3"/>
        <v>0.96666666666666667</v>
      </c>
      <c r="V26" s="107">
        <f t="shared" si="9"/>
        <v>45.20097701149426</v>
      </c>
      <c r="W26" s="119">
        <v>1.3612382216139673</v>
      </c>
      <c r="X26" s="107">
        <f t="shared" si="10"/>
        <v>1.3612382216139673E-2</v>
      </c>
      <c r="Y26" s="16">
        <f t="shared" si="4"/>
        <v>3.1539204751620171</v>
      </c>
      <c r="Z26" s="18">
        <f t="shared" si="15"/>
        <v>0.1249825653645511</v>
      </c>
      <c r="AA26" s="107">
        <f t="shared" si="5"/>
        <v>-0.78825147909704585</v>
      </c>
      <c r="AB26" s="18">
        <f t="shared" si="16"/>
        <v>0.1257664852994913</v>
      </c>
      <c r="AC26" s="125">
        <f t="shared" si="11"/>
        <v>22708.227421166524</v>
      </c>
      <c r="AD26" s="138">
        <f t="shared" si="12"/>
        <v>3.8356164383561646E-2</v>
      </c>
      <c r="AE26" s="139">
        <f t="shared" si="13"/>
        <v>3.8356164383561646E-2</v>
      </c>
      <c r="AF26" s="138">
        <f t="shared" si="14"/>
        <v>22708.227421166524</v>
      </c>
    </row>
    <row r="27" spans="2:32" x14ac:dyDescent="0.25">
      <c r="B27" s="108" t="s">
        <v>20</v>
      </c>
      <c r="C27" s="57" t="s">
        <v>54</v>
      </c>
      <c r="D27" s="114" t="s">
        <v>68</v>
      </c>
      <c r="E27" s="110">
        <v>40909</v>
      </c>
      <c r="F27" s="110">
        <v>41274</v>
      </c>
      <c r="G27" s="107">
        <v>3132</v>
      </c>
      <c r="H27" s="107">
        <v>0</v>
      </c>
      <c r="I27" s="107">
        <f t="shared" si="6"/>
        <v>3132</v>
      </c>
      <c r="J27" s="92">
        <v>10.5881319389064</v>
      </c>
      <c r="K27" s="113">
        <v>45</v>
      </c>
      <c r="L27" s="92">
        <v>47.999999999999901</v>
      </c>
      <c r="M27" s="127">
        <f t="shared" si="7"/>
        <v>47.999999999999901</v>
      </c>
      <c r="N27" s="92">
        <v>0.46743229240393802</v>
      </c>
      <c r="O27" s="126">
        <f t="shared" si="8"/>
        <v>0.46743229240393802</v>
      </c>
      <c r="P27" s="92">
        <v>0.63288842151452995</v>
      </c>
      <c r="R27" s="107">
        <f t="shared" si="17"/>
        <v>0</v>
      </c>
      <c r="S27" s="107">
        <f t="shared" si="17"/>
        <v>3132</v>
      </c>
      <c r="T27" s="107">
        <f t="shared" si="2"/>
        <v>3132</v>
      </c>
      <c r="U27" s="107">
        <f t="shared" si="3"/>
        <v>1</v>
      </c>
      <c r="V27" s="107">
        <f t="shared" si="9"/>
        <v>45</v>
      </c>
      <c r="W27" s="120">
        <v>2.0398514407724302</v>
      </c>
      <c r="X27" s="107">
        <f t="shared" si="10"/>
        <v>2.0398514407724302E-2</v>
      </c>
      <c r="Y27" s="16">
        <f t="shared" si="4"/>
        <v>10.440785146133704</v>
      </c>
      <c r="Z27" s="18">
        <f t="shared" si="15"/>
        <v>1.4112616121332522E-2</v>
      </c>
      <c r="AA27" s="107">
        <f t="shared" si="5"/>
        <v>0.63263044813487268</v>
      </c>
      <c r="AB27" s="18">
        <f t="shared" si="16"/>
        <v>-4.0761273375788942E-4</v>
      </c>
      <c r="AC27" s="125">
        <f t="shared" si="11"/>
        <v>327005.39077690762</v>
      </c>
      <c r="AD27" s="138">
        <f t="shared" si="12"/>
        <v>1.1260273972602739</v>
      </c>
      <c r="AE27" s="139">
        <f t="shared" si="13"/>
        <v>1.1260273972602739</v>
      </c>
      <c r="AF27" s="138">
        <f t="shared" si="14"/>
        <v>327005.39077690762</v>
      </c>
    </row>
    <row r="28" spans="2:32" x14ac:dyDescent="0.25">
      <c r="B28" s="108" t="s">
        <v>20</v>
      </c>
      <c r="C28" s="57" t="s">
        <v>56</v>
      </c>
      <c r="D28" s="114" t="s">
        <v>69</v>
      </c>
      <c r="E28" s="110">
        <v>40909</v>
      </c>
      <c r="F28" s="110">
        <v>41274</v>
      </c>
      <c r="G28" s="107">
        <v>3132</v>
      </c>
      <c r="H28" s="107">
        <v>0</v>
      </c>
      <c r="I28" s="107">
        <f t="shared" si="6"/>
        <v>3132</v>
      </c>
      <c r="J28" s="92">
        <v>7.6587111882321404</v>
      </c>
      <c r="K28" s="113">
        <v>45</v>
      </c>
      <c r="L28" s="92">
        <v>47.999999999999901</v>
      </c>
      <c r="M28" s="127">
        <f t="shared" si="7"/>
        <v>47.999999999999901</v>
      </c>
      <c r="N28" s="92">
        <v>0.46743229240393802</v>
      </c>
      <c r="O28" s="126">
        <f t="shared" si="8"/>
        <v>0.46743229240393802</v>
      </c>
      <c r="P28" s="92">
        <v>-0.34358516204358203</v>
      </c>
      <c r="R28" s="107">
        <f t="shared" si="17"/>
        <v>0</v>
      </c>
      <c r="S28" s="107">
        <f t="shared" si="17"/>
        <v>3132</v>
      </c>
      <c r="T28" s="107">
        <f t="shared" si="2"/>
        <v>3132</v>
      </c>
      <c r="U28" s="107">
        <f t="shared" si="3"/>
        <v>1</v>
      </c>
      <c r="V28" s="107">
        <f t="shared" si="9"/>
        <v>45</v>
      </c>
      <c r="W28" s="120">
        <v>2.0398514407724302</v>
      </c>
      <c r="X28" s="107">
        <f t="shared" si="10"/>
        <v>2.0398514407724302E-2</v>
      </c>
      <c r="Y28" s="16">
        <f t="shared" si="4"/>
        <v>7.5089076467649507</v>
      </c>
      <c r="Z28" s="18">
        <f t="shared" si="15"/>
        <v>1.9950111056663333E-2</v>
      </c>
      <c r="AA28" s="107">
        <f t="shared" si="5"/>
        <v>-0.34466205165474428</v>
      </c>
      <c r="AB28" s="18">
        <f t="shared" si="16"/>
        <v>3.1342727513525848E-3</v>
      </c>
      <c r="AC28" s="125">
        <f t="shared" si="11"/>
        <v>235178.98749667828</v>
      </c>
      <c r="AD28" s="138">
        <f t="shared" si="12"/>
        <v>1.1260273972602739</v>
      </c>
      <c r="AE28" s="139">
        <f t="shared" si="13"/>
        <v>1.1260273972602739</v>
      </c>
      <c r="AF28" s="138">
        <f t="shared" si="14"/>
        <v>235178.98749667828</v>
      </c>
    </row>
    <row r="29" spans="2:32" x14ac:dyDescent="0.25">
      <c r="B29" s="108" t="s">
        <v>20</v>
      </c>
      <c r="C29" s="57" t="s">
        <v>54</v>
      </c>
      <c r="D29" s="114" t="s">
        <v>70</v>
      </c>
      <c r="E29" s="110">
        <v>40909</v>
      </c>
      <c r="F29" s="110">
        <v>41274</v>
      </c>
      <c r="G29" s="107">
        <v>8784</v>
      </c>
      <c r="H29" s="107">
        <v>0</v>
      </c>
      <c r="I29" s="107">
        <f t="shared" si="6"/>
        <v>8784</v>
      </c>
      <c r="J29" s="92">
        <v>4.41608549645896</v>
      </c>
      <c r="K29" s="113">
        <v>45</v>
      </c>
      <c r="L29" s="92">
        <v>43.788048724954599</v>
      </c>
      <c r="M29" s="127">
        <f t="shared" si="7"/>
        <v>43.788048724954599</v>
      </c>
      <c r="N29" s="92">
        <v>0.26778836790959898</v>
      </c>
      <c r="O29" s="126">
        <f t="shared" si="8"/>
        <v>0.26778836790959898</v>
      </c>
      <c r="P29" s="92">
        <v>0.50781535723725801</v>
      </c>
      <c r="R29" s="107">
        <f t="shared" si="17"/>
        <v>0</v>
      </c>
      <c r="S29" s="107">
        <f t="shared" si="17"/>
        <v>8784</v>
      </c>
      <c r="T29" s="107">
        <f t="shared" si="2"/>
        <v>8784</v>
      </c>
      <c r="U29" s="107">
        <f t="shared" si="3"/>
        <v>1</v>
      </c>
      <c r="V29" s="107">
        <f t="shared" si="9"/>
        <v>45</v>
      </c>
      <c r="W29" s="120">
        <v>2.0398514407724302</v>
      </c>
      <c r="X29" s="107">
        <f t="shared" si="10"/>
        <v>2.0398514407724302E-2</v>
      </c>
      <c r="Y29" s="16">
        <f t="shared" si="4"/>
        <v>4.3321570225266468</v>
      </c>
      <c r="Z29" s="18">
        <f t="shared" si="15"/>
        <v>1.9373368392672674E-2</v>
      </c>
      <c r="AA29" s="107">
        <f t="shared" si="5"/>
        <v>0.50657596816495221</v>
      </c>
      <c r="AB29" s="18">
        <f t="shared" si="16"/>
        <v>-2.4406293638865595E-3</v>
      </c>
      <c r="AC29" s="125">
        <f t="shared" si="11"/>
        <v>380536.67285874067</v>
      </c>
      <c r="AD29" s="138">
        <f t="shared" si="12"/>
        <v>1.1260273972602739</v>
      </c>
      <c r="AE29" s="139">
        <f t="shared" si="13"/>
        <v>1.1260273972602739</v>
      </c>
      <c r="AF29" s="138">
        <f t="shared" si="14"/>
        <v>380536.67285874067</v>
      </c>
    </row>
    <row r="30" spans="2:32" x14ac:dyDescent="0.25">
      <c r="B30" s="108" t="s">
        <v>20</v>
      </c>
      <c r="C30" s="57" t="s">
        <v>56</v>
      </c>
      <c r="D30" s="114" t="s">
        <v>71</v>
      </c>
      <c r="E30" s="110">
        <v>40909</v>
      </c>
      <c r="F30" s="110">
        <v>41274</v>
      </c>
      <c r="G30" s="107">
        <v>8784</v>
      </c>
      <c r="H30" s="107">
        <v>0</v>
      </c>
      <c r="I30" s="107">
        <f t="shared" si="6"/>
        <v>8784</v>
      </c>
      <c r="J30" s="92">
        <v>5.5995239011004099</v>
      </c>
      <c r="K30" s="113">
        <v>45</v>
      </c>
      <c r="L30" s="92">
        <v>43.788048724954599</v>
      </c>
      <c r="M30" s="127">
        <f t="shared" si="7"/>
        <v>43.788048724954599</v>
      </c>
      <c r="N30" s="92">
        <v>0.26778836790959898</v>
      </c>
      <c r="O30" s="126">
        <f t="shared" si="8"/>
        <v>0.26778836790959898</v>
      </c>
      <c r="P30" s="92">
        <v>-0.46865822632085402</v>
      </c>
      <c r="R30" s="107">
        <f t="shared" si="17"/>
        <v>0</v>
      </c>
      <c r="S30" s="107">
        <f t="shared" si="17"/>
        <v>8784</v>
      </c>
      <c r="T30" s="107">
        <f t="shared" si="2"/>
        <v>8784</v>
      </c>
      <c r="U30" s="107">
        <f t="shared" si="3"/>
        <v>1</v>
      </c>
      <c r="V30" s="107">
        <f t="shared" si="9"/>
        <v>45</v>
      </c>
      <c r="W30" s="121">
        <v>2.0398514407724302</v>
      </c>
      <c r="X30" s="107">
        <f t="shared" si="10"/>
        <v>2.0398514407724302E-2</v>
      </c>
      <c r="Y30" s="16">
        <f t="shared" si="4"/>
        <v>5.5165879137389799</v>
      </c>
      <c r="Z30" s="18">
        <f t="shared" si="15"/>
        <v>1.5033928337275126E-2</v>
      </c>
      <c r="AA30" s="107">
        <f t="shared" si="5"/>
        <v>-0.47071653162466481</v>
      </c>
      <c r="AB30" s="18">
        <f t="shared" si="16"/>
        <v>4.3919111800709842E-3</v>
      </c>
      <c r="AC30" s="125">
        <f t="shared" si="11"/>
        <v>484577.082342832</v>
      </c>
      <c r="AD30" s="138">
        <f t="shared" si="12"/>
        <v>1.1260273972602739</v>
      </c>
      <c r="AE30" s="139">
        <f t="shared" si="13"/>
        <v>1.1260273972602739</v>
      </c>
      <c r="AF30" s="138">
        <f t="shared" si="14"/>
        <v>484577.082342832</v>
      </c>
    </row>
    <row r="31" spans="2:32" x14ac:dyDescent="0.25">
      <c r="B31" s="108" t="s">
        <v>50</v>
      </c>
      <c r="C31" s="57" t="s">
        <v>54</v>
      </c>
      <c r="D31" s="114" t="s">
        <v>70</v>
      </c>
      <c r="E31" s="110">
        <v>40909</v>
      </c>
      <c r="F31" s="110">
        <v>41274</v>
      </c>
      <c r="G31" s="107">
        <v>8784</v>
      </c>
      <c r="H31" s="107">
        <v>0</v>
      </c>
      <c r="I31" s="107">
        <f t="shared" si="6"/>
        <v>8784</v>
      </c>
      <c r="J31" s="92">
        <v>1.86844179357083</v>
      </c>
      <c r="K31" s="113">
        <v>45</v>
      </c>
      <c r="L31" s="92">
        <v>42.7880487249544</v>
      </c>
      <c r="M31" s="127">
        <f t="shared" si="7"/>
        <v>42.7880487249544</v>
      </c>
      <c r="N31" s="92">
        <v>0.15273491613854201</v>
      </c>
      <c r="O31" s="126">
        <f t="shared" si="8"/>
        <v>0.15273491613854201</v>
      </c>
      <c r="P31" s="92">
        <v>0.40209350288749102</v>
      </c>
      <c r="R31" s="107">
        <f t="shared" si="17"/>
        <v>0</v>
      </c>
      <c r="S31" s="107">
        <f t="shared" si="17"/>
        <v>8784</v>
      </c>
      <c r="T31" s="107">
        <f t="shared" si="2"/>
        <v>8784</v>
      </c>
      <c r="U31" s="107">
        <f t="shared" si="3"/>
        <v>1</v>
      </c>
      <c r="V31" s="107">
        <f t="shared" si="9"/>
        <v>45</v>
      </c>
      <c r="W31" s="121">
        <v>2.0398514407724302</v>
      </c>
      <c r="X31" s="107">
        <f t="shared" si="10"/>
        <v>2.0398514407724302E-2</v>
      </c>
      <c r="Y31" s="16">
        <f t="shared" si="4"/>
        <v>1.8223497988794846</v>
      </c>
      <c r="Z31" s="18">
        <f t="shared" si="15"/>
        <v>2.529261655456394E-2</v>
      </c>
      <c r="AA31" s="107">
        <f t="shared" si="5"/>
        <v>0.39977450751890464</v>
      </c>
      <c r="AB31" s="18">
        <f t="shared" si="16"/>
        <v>-5.7673037538118477E-3</v>
      </c>
      <c r="AC31" s="125">
        <f t="shared" si="11"/>
        <v>160075.20633357391</v>
      </c>
      <c r="AD31" s="138">
        <f t="shared" si="12"/>
        <v>1.1260273972602739</v>
      </c>
      <c r="AE31" s="139">
        <f t="shared" si="13"/>
        <v>1.1260273972602739</v>
      </c>
      <c r="AF31" s="138">
        <f t="shared" si="14"/>
        <v>160075.20633357391</v>
      </c>
    </row>
    <row r="32" spans="2:32" x14ac:dyDescent="0.25">
      <c r="B32" s="108" t="s">
        <v>50</v>
      </c>
      <c r="C32" s="57" t="s">
        <v>56</v>
      </c>
      <c r="D32" s="114" t="s">
        <v>71</v>
      </c>
      <c r="E32" s="110">
        <v>40909</v>
      </c>
      <c r="F32" s="110">
        <v>41274</v>
      </c>
      <c r="G32" s="107">
        <v>8784</v>
      </c>
      <c r="H32" s="107">
        <v>0</v>
      </c>
      <c r="I32" s="107">
        <f t="shared" si="6"/>
        <v>8784</v>
      </c>
      <c r="J32" s="92">
        <v>4.0283537817705897</v>
      </c>
      <c r="K32" s="113">
        <v>45</v>
      </c>
      <c r="L32" s="92">
        <v>42.7880487249544</v>
      </c>
      <c r="M32" s="127">
        <f t="shared" si="7"/>
        <v>42.7880487249544</v>
      </c>
      <c r="N32" s="92">
        <v>0.15273491613854201</v>
      </c>
      <c r="O32" s="126">
        <f t="shared" si="8"/>
        <v>0.15273491613854201</v>
      </c>
      <c r="P32" s="92">
        <v>-0.57438008067062096</v>
      </c>
      <c r="R32" s="107">
        <f t="shared" si="17"/>
        <v>0</v>
      </c>
      <c r="S32" s="107">
        <f t="shared" si="17"/>
        <v>8784</v>
      </c>
      <c r="T32" s="107">
        <f t="shared" si="2"/>
        <v>8784</v>
      </c>
      <c r="U32" s="107">
        <f t="shared" si="3"/>
        <v>1</v>
      </c>
      <c r="V32" s="107">
        <f t="shared" si="9"/>
        <v>45</v>
      </c>
      <c r="W32" s="121">
        <v>2.0398514407724302</v>
      </c>
      <c r="X32" s="107">
        <f t="shared" si="10"/>
        <v>2.0398514407724302E-2</v>
      </c>
      <c r="Y32" s="16">
        <f t="shared" si="4"/>
        <v>3.9840731898816344</v>
      </c>
      <c r="Z32" s="18">
        <f t="shared" si="15"/>
        <v>1.1114402215655739E-2</v>
      </c>
      <c r="AA32" s="107">
        <f t="shared" si="5"/>
        <v>-0.57751799227071232</v>
      </c>
      <c r="AB32" s="18">
        <f t="shared" si="16"/>
        <v>5.4631274754997072E-3</v>
      </c>
      <c r="AC32" s="125">
        <f t="shared" si="11"/>
        <v>349960.98899920273</v>
      </c>
      <c r="AD32" s="138">
        <f t="shared" si="12"/>
        <v>1.1260273972602739</v>
      </c>
      <c r="AE32" s="139">
        <f t="shared" si="13"/>
        <v>1.1260273972602739</v>
      </c>
      <c r="AF32" s="138">
        <f t="shared" si="14"/>
        <v>349960.98899920273</v>
      </c>
    </row>
    <row r="33" spans="2:32" x14ac:dyDescent="0.25">
      <c r="B33" s="108" t="s">
        <v>20</v>
      </c>
      <c r="C33" s="57" t="s">
        <v>54</v>
      </c>
      <c r="D33" s="114" t="s">
        <v>72</v>
      </c>
      <c r="E33" s="110">
        <v>41000</v>
      </c>
      <c r="F33" s="110">
        <v>41090</v>
      </c>
      <c r="G33" s="107">
        <v>780</v>
      </c>
      <c r="H33" s="107">
        <v>0</v>
      </c>
      <c r="I33" s="107">
        <f t="shared" si="6"/>
        <v>780</v>
      </c>
      <c r="J33" s="92">
        <v>10.8657321776621</v>
      </c>
      <c r="K33" s="113">
        <v>45</v>
      </c>
      <c r="L33" s="92">
        <v>46.250000000000398</v>
      </c>
      <c r="M33" s="127">
        <f t="shared" si="7"/>
        <v>46.250000000000398</v>
      </c>
      <c r="N33" s="92">
        <v>0.70934725412777</v>
      </c>
      <c r="O33" s="126">
        <f t="shared" si="8"/>
        <v>0.70934725412777</v>
      </c>
      <c r="P33" s="92">
        <v>0.623648842677203</v>
      </c>
      <c r="R33" s="107">
        <f t="shared" si="17"/>
        <v>0</v>
      </c>
      <c r="S33" s="107">
        <f t="shared" si="17"/>
        <v>780</v>
      </c>
      <c r="T33" s="107">
        <f t="shared" si="2"/>
        <v>780</v>
      </c>
      <c r="U33" s="107">
        <f t="shared" si="3"/>
        <v>1</v>
      </c>
      <c r="V33" s="107">
        <f t="shared" si="9"/>
        <v>45</v>
      </c>
      <c r="W33" s="122">
        <v>1.92321853616919</v>
      </c>
      <c r="X33" s="107">
        <f t="shared" si="10"/>
        <v>1.9232185361691901E-2</v>
      </c>
      <c r="Y33" s="16">
        <f t="shared" si="4"/>
        <v>10.560572747688532</v>
      </c>
      <c r="Z33" s="18">
        <f t="shared" si="15"/>
        <v>2.8896106041252256E-2</v>
      </c>
      <c r="AA33" s="107">
        <f t="shared" si="5"/>
        <v>0.62132531193500584</v>
      </c>
      <c r="AB33" s="18">
        <f t="shared" si="16"/>
        <v>-3.7257036062516846E-3</v>
      </c>
      <c r="AC33" s="125">
        <f t="shared" si="11"/>
        <v>82372.467431970552</v>
      </c>
      <c r="AD33" s="138">
        <f t="shared" si="12"/>
        <v>0.62191780821917808</v>
      </c>
      <c r="AE33" s="139">
        <f t="shared" si="13"/>
        <v>0.62191780821917808</v>
      </c>
      <c r="AF33" s="138">
        <f t="shared" si="14"/>
        <v>82372.467431970552</v>
      </c>
    </row>
    <row r="34" spans="2:32" x14ac:dyDescent="0.25">
      <c r="B34" s="108" t="s">
        <v>20</v>
      </c>
      <c r="C34" s="57" t="s">
        <v>56</v>
      </c>
      <c r="D34" s="114" t="s">
        <v>73</v>
      </c>
      <c r="E34" s="110">
        <v>41000</v>
      </c>
      <c r="F34" s="110">
        <v>41090</v>
      </c>
      <c r="G34" s="107">
        <v>780</v>
      </c>
      <c r="H34" s="107">
        <v>0</v>
      </c>
      <c r="I34" s="107">
        <f t="shared" si="6"/>
        <v>780</v>
      </c>
      <c r="J34" s="92">
        <v>9.6315699904279803</v>
      </c>
      <c r="K34" s="113">
        <v>45</v>
      </c>
      <c r="L34" s="92">
        <v>46.250000000000398</v>
      </c>
      <c r="M34" s="127">
        <f t="shared" si="7"/>
        <v>46.250000000000398</v>
      </c>
      <c r="N34" s="92">
        <v>0.70934725412777</v>
      </c>
      <c r="O34" s="126">
        <f t="shared" si="8"/>
        <v>0.70934725412777</v>
      </c>
      <c r="P34" s="92">
        <v>-0.36368090710974799</v>
      </c>
      <c r="R34" s="107">
        <f t="shared" si="17"/>
        <v>0</v>
      </c>
      <c r="S34" s="107">
        <f t="shared" si="17"/>
        <v>780</v>
      </c>
      <c r="T34" s="107">
        <f t="shared" si="2"/>
        <v>780</v>
      </c>
      <c r="U34" s="107">
        <f t="shared" si="3"/>
        <v>1</v>
      </c>
      <c r="V34" s="107">
        <f t="shared" si="9"/>
        <v>45</v>
      </c>
      <c r="W34" s="122">
        <v>1.92321853616919</v>
      </c>
      <c r="X34" s="107">
        <f t="shared" si="10"/>
        <v>1.9232185361691901E-2</v>
      </c>
      <c r="Y34" s="16">
        <f t="shared" si="4"/>
        <v>9.3254347377839153</v>
      </c>
      <c r="Z34" s="18">
        <f t="shared" si="15"/>
        <v>3.28279872469317E-2</v>
      </c>
      <c r="AA34" s="107">
        <f t="shared" si="5"/>
        <v>-0.36678509598837572</v>
      </c>
      <c r="AB34" s="18">
        <f t="shared" si="16"/>
        <v>8.5354738671803432E-3</v>
      </c>
      <c r="AC34" s="125">
        <f t="shared" si="11"/>
        <v>72738.390954714545</v>
      </c>
      <c r="AD34" s="138">
        <f t="shared" si="12"/>
        <v>0.62191780821917808</v>
      </c>
      <c r="AE34" s="139">
        <f t="shared" si="13"/>
        <v>0.62191780821917808</v>
      </c>
      <c r="AF34" s="138">
        <f t="shared" si="14"/>
        <v>72738.390954714545</v>
      </c>
    </row>
    <row r="35" spans="2:32" x14ac:dyDescent="0.25">
      <c r="B35" s="108" t="s">
        <v>20</v>
      </c>
      <c r="C35" s="57" t="s">
        <v>54</v>
      </c>
      <c r="D35" s="114" t="s">
        <v>51</v>
      </c>
      <c r="E35" s="110">
        <v>41000</v>
      </c>
      <c r="F35" s="110">
        <v>41090</v>
      </c>
      <c r="G35" s="107">
        <v>2184</v>
      </c>
      <c r="H35" s="107">
        <v>0</v>
      </c>
      <c r="I35" s="107">
        <f t="shared" si="6"/>
        <v>2184</v>
      </c>
      <c r="J35" s="92">
        <v>4.0868270660452799</v>
      </c>
      <c r="K35" s="113">
        <v>45</v>
      </c>
      <c r="L35" s="92">
        <v>41.1000000000003</v>
      </c>
      <c r="M35" s="127">
        <f t="shared" si="7"/>
        <v>41.1000000000003</v>
      </c>
      <c r="N35" s="92">
        <v>0.42318232529628602</v>
      </c>
      <c r="O35" s="126">
        <f t="shared" si="8"/>
        <v>0.42318232529628602</v>
      </c>
      <c r="P35" s="92">
        <v>0.45794980505889699</v>
      </c>
      <c r="R35" s="107">
        <f t="shared" si="17"/>
        <v>0</v>
      </c>
      <c r="S35" s="107">
        <f t="shared" si="17"/>
        <v>2184</v>
      </c>
      <c r="T35" s="107">
        <f t="shared" si="2"/>
        <v>2184</v>
      </c>
      <c r="U35" s="107">
        <f t="shared" si="3"/>
        <v>1</v>
      </c>
      <c r="V35" s="107">
        <f t="shared" si="9"/>
        <v>45</v>
      </c>
      <c r="W35" s="122">
        <v>1.92321853616919</v>
      </c>
      <c r="X35" s="107">
        <f t="shared" si="10"/>
        <v>1.9232185361691901E-2</v>
      </c>
      <c r="Y35" s="16">
        <f t="shared" si="4"/>
        <v>3.9151116843609644</v>
      </c>
      <c r="Z35" s="18">
        <f t="shared" si="15"/>
        <v>4.3859638122263123E-2</v>
      </c>
      <c r="AA35" s="107">
        <f t="shared" si="5"/>
        <v>0.45282801532196698</v>
      </c>
      <c r="AB35" s="18">
        <f t="shared" si="16"/>
        <v>-1.1184172763806011E-2</v>
      </c>
      <c r="AC35" s="125">
        <f t="shared" si="11"/>
        <v>85506.039186443464</v>
      </c>
      <c r="AD35" s="138">
        <f t="shared" si="12"/>
        <v>0.62191780821917808</v>
      </c>
      <c r="AE35" s="139">
        <f t="shared" si="13"/>
        <v>0.62191780821917808</v>
      </c>
      <c r="AF35" s="138">
        <f t="shared" si="14"/>
        <v>85506.039186443464</v>
      </c>
    </row>
    <row r="36" spans="2:32" x14ac:dyDescent="0.25">
      <c r="B36" s="108" t="s">
        <v>20</v>
      </c>
      <c r="C36" s="57" t="s">
        <v>56</v>
      </c>
      <c r="D36" s="114" t="s">
        <v>74</v>
      </c>
      <c r="E36" s="110">
        <v>41000</v>
      </c>
      <c r="F36" s="110">
        <v>41090</v>
      </c>
      <c r="G36" s="107">
        <v>2184</v>
      </c>
      <c r="H36" s="107">
        <v>0</v>
      </c>
      <c r="I36" s="107">
        <f t="shared" si="6"/>
        <v>2184</v>
      </c>
      <c r="J36" s="92">
        <v>7.9374130902141298</v>
      </c>
      <c r="K36" s="113">
        <v>45</v>
      </c>
      <c r="L36" s="92">
        <v>41.1000000000003</v>
      </c>
      <c r="M36" s="127">
        <f t="shared" si="7"/>
        <v>41.1000000000003</v>
      </c>
      <c r="N36" s="92">
        <v>0.42318232529628602</v>
      </c>
      <c r="O36" s="126">
        <f t="shared" si="8"/>
        <v>0.42318232529628602</v>
      </c>
      <c r="P36" s="92">
        <v>-0.52937994472805405</v>
      </c>
      <c r="R36" s="107">
        <f t="shared" si="17"/>
        <v>0</v>
      </c>
      <c r="S36" s="107">
        <f t="shared" si="17"/>
        <v>2184</v>
      </c>
      <c r="T36" s="107">
        <f t="shared" si="2"/>
        <v>2184</v>
      </c>
      <c r="U36" s="107">
        <f t="shared" si="3"/>
        <v>1</v>
      </c>
      <c r="V36" s="107">
        <f t="shared" si="9"/>
        <v>45</v>
      </c>
      <c r="W36" s="123">
        <v>1.92321853616919</v>
      </c>
      <c r="X36" s="107">
        <f t="shared" si="10"/>
        <v>1.9232185361691901E-2</v>
      </c>
      <c r="Y36" s="16">
        <f t="shared" si="4"/>
        <v>7.7687422752618582</v>
      </c>
      <c r="Z36" s="18">
        <f t="shared" si="15"/>
        <v>2.1711470013540346E-2</v>
      </c>
      <c r="AA36" s="107">
        <f t="shared" si="5"/>
        <v>-0.53528239260141464</v>
      </c>
      <c r="AB36" s="18">
        <f t="shared" si="16"/>
        <v>1.1149738353599226E-2</v>
      </c>
      <c r="AC36" s="125">
        <f t="shared" si="11"/>
        <v>169669.33129171899</v>
      </c>
      <c r="AD36" s="138">
        <f t="shared" si="12"/>
        <v>0.62191780821917808</v>
      </c>
      <c r="AE36" s="139">
        <f t="shared" si="13"/>
        <v>0.62191780821917808</v>
      </c>
      <c r="AF36" s="138">
        <f t="shared" si="14"/>
        <v>169669.33129171899</v>
      </c>
    </row>
    <row r="37" spans="2:32" x14ac:dyDescent="0.25">
      <c r="B37" s="108" t="s">
        <v>50</v>
      </c>
      <c r="C37" s="57" t="s">
        <v>54</v>
      </c>
      <c r="D37" s="114" t="s">
        <v>51</v>
      </c>
      <c r="E37" s="110">
        <v>41000</v>
      </c>
      <c r="F37" s="110">
        <v>41090</v>
      </c>
      <c r="G37" s="107">
        <v>2184</v>
      </c>
      <c r="H37" s="107">
        <v>0</v>
      </c>
      <c r="I37" s="107">
        <f t="shared" si="6"/>
        <v>2184</v>
      </c>
      <c r="J37" s="92">
        <v>1.61351895407131</v>
      </c>
      <c r="K37" s="113">
        <v>45</v>
      </c>
      <c r="L37" s="92">
        <v>40.839999999999797</v>
      </c>
      <c r="M37" s="127">
        <f t="shared" si="7"/>
        <v>40.839999999999797</v>
      </c>
      <c r="N37" s="92">
        <v>0.23769465776039</v>
      </c>
      <c r="O37" s="126">
        <f t="shared" si="8"/>
        <v>0.23769465776039</v>
      </c>
      <c r="P37" s="92">
        <v>0.33861128084340603</v>
      </c>
      <c r="R37" s="107">
        <f t="shared" si="17"/>
        <v>0</v>
      </c>
      <c r="S37" s="107">
        <f t="shared" si="17"/>
        <v>2184</v>
      </c>
      <c r="T37" s="107">
        <f t="shared" si="2"/>
        <v>2184</v>
      </c>
      <c r="U37" s="107">
        <f t="shared" si="3"/>
        <v>1</v>
      </c>
      <c r="V37" s="107">
        <f t="shared" si="9"/>
        <v>45</v>
      </c>
      <c r="W37" s="123">
        <v>1.92321853616919</v>
      </c>
      <c r="X37" s="107">
        <f t="shared" si="10"/>
        <v>1.9232185361691901E-2</v>
      </c>
      <c r="Y37" s="16">
        <f t="shared" si="4"/>
        <v>1.5247418649008619</v>
      </c>
      <c r="Z37" s="18">
        <f t="shared" si="15"/>
        <v>5.8224340272981401E-2</v>
      </c>
      <c r="AA37" s="107">
        <f t="shared" si="5"/>
        <v>0.33188127670454959</v>
      </c>
      <c r="AB37" s="18">
        <f t="shared" si="16"/>
        <v>-1.9875309889539117E-2</v>
      </c>
      <c r="AC37" s="125">
        <f t="shared" si="11"/>
        <v>33300.362329434822</v>
      </c>
      <c r="AD37" s="138">
        <f t="shared" si="12"/>
        <v>0.62191780821917808</v>
      </c>
      <c r="AE37" s="139">
        <f t="shared" si="13"/>
        <v>0.62191780821917808</v>
      </c>
      <c r="AF37" s="138">
        <f t="shared" si="14"/>
        <v>33300.362329434822</v>
      </c>
    </row>
    <row r="38" spans="2:32" x14ac:dyDescent="0.25">
      <c r="B38" s="108" t="s">
        <v>50</v>
      </c>
      <c r="C38" s="57" t="s">
        <v>56</v>
      </c>
      <c r="D38" s="114" t="s">
        <v>74</v>
      </c>
      <c r="E38" s="110">
        <v>41000</v>
      </c>
      <c r="F38" s="110">
        <v>41090</v>
      </c>
      <c r="G38" s="107">
        <v>2184</v>
      </c>
      <c r="H38" s="107">
        <v>0</v>
      </c>
      <c r="I38" s="107">
        <f t="shared" si="6"/>
        <v>2184</v>
      </c>
      <c r="J38" s="92">
        <v>5.7208107131852497</v>
      </c>
      <c r="K38" s="113">
        <v>45</v>
      </c>
      <c r="L38" s="92">
        <v>40.839999999999797</v>
      </c>
      <c r="M38" s="127">
        <f t="shared" si="7"/>
        <v>40.839999999999797</v>
      </c>
      <c r="N38" s="92">
        <v>0.23769465776039</v>
      </c>
      <c r="O38" s="126">
        <f t="shared" si="8"/>
        <v>0.23769465776039</v>
      </c>
      <c r="P38" s="92">
        <v>-0.64871846894354401</v>
      </c>
      <c r="R38" s="107">
        <f t="shared" si="17"/>
        <v>0</v>
      </c>
      <c r="S38" s="107">
        <f t="shared" si="17"/>
        <v>2184</v>
      </c>
      <c r="T38" s="107">
        <f t="shared" si="2"/>
        <v>2184</v>
      </c>
      <c r="U38" s="107">
        <f t="shared" si="3"/>
        <v>1</v>
      </c>
      <c r="V38" s="107">
        <f t="shared" si="9"/>
        <v>45</v>
      </c>
      <c r="W38" s="123">
        <v>1.92321853616919</v>
      </c>
      <c r="X38" s="107">
        <f t="shared" si="10"/>
        <v>1.9232185361691901E-2</v>
      </c>
      <c r="Y38" s="16">
        <f t="shared" si="4"/>
        <v>5.6352811618623351</v>
      </c>
      <c r="Z38" s="18">
        <f t="shared" si="15"/>
        <v>1.5177512685924155E-2</v>
      </c>
      <c r="AA38" s="107">
        <f t="shared" si="5"/>
        <v>-0.65622913121883197</v>
      </c>
      <c r="AB38" s="18">
        <f t="shared" si="16"/>
        <v>1.1577691456078343E-2</v>
      </c>
      <c r="AC38" s="125">
        <f t="shared" si="11"/>
        <v>123074.54057507341</v>
      </c>
      <c r="AD38" s="138">
        <f t="shared" si="12"/>
        <v>0.62191780821917808</v>
      </c>
      <c r="AE38" s="139">
        <f t="shared" si="13"/>
        <v>0.62191780821917808</v>
      </c>
      <c r="AF38" s="138">
        <f t="shared" si="14"/>
        <v>123074.54057507341</v>
      </c>
    </row>
    <row r="39" spans="2:32" x14ac:dyDescent="0.25">
      <c r="B39" s="108" t="s">
        <v>20</v>
      </c>
      <c r="C39" s="57" t="s">
        <v>54</v>
      </c>
      <c r="D39" s="114" t="s">
        <v>75</v>
      </c>
      <c r="E39" s="110">
        <v>41061</v>
      </c>
      <c r="F39" s="110">
        <v>41090</v>
      </c>
      <c r="G39" s="107">
        <v>252</v>
      </c>
      <c r="H39" s="107">
        <v>0</v>
      </c>
      <c r="I39" s="107">
        <f t="shared" si="6"/>
        <v>252</v>
      </c>
      <c r="J39" s="92">
        <v>10.9528842079017</v>
      </c>
      <c r="K39" s="113">
        <v>45</v>
      </c>
      <c r="L39" s="92">
        <v>44.949793254007801</v>
      </c>
      <c r="M39" s="127">
        <f t="shared" si="7"/>
        <v>44.949793254007801</v>
      </c>
      <c r="N39" s="92">
        <v>0.77364060798591505</v>
      </c>
      <c r="O39" s="126">
        <f t="shared" si="8"/>
        <v>0.77364060798591505</v>
      </c>
      <c r="P39" s="92">
        <v>0.61504245749534103</v>
      </c>
      <c r="R39" s="107">
        <f t="shared" si="17"/>
        <v>0</v>
      </c>
      <c r="S39" s="107">
        <f t="shared" si="17"/>
        <v>252</v>
      </c>
      <c r="T39" s="107">
        <f t="shared" si="2"/>
        <v>252</v>
      </c>
      <c r="U39" s="107">
        <f t="shared" si="3"/>
        <v>1</v>
      </c>
      <c r="V39" s="107">
        <f t="shared" si="9"/>
        <v>45</v>
      </c>
      <c r="W39" s="124">
        <v>1.92321853616919</v>
      </c>
      <c r="X39" s="107">
        <f t="shared" si="10"/>
        <v>1.9232185361691901E-2</v>
      </c>
      <c r="Y39" s="16">
        <f t="shared" si="4"/>
        <v>10.626384482591261</v>
      </c>
      <c r="Z39" s="18">
        <f t="shared" si="15"/>
        <v>3.0725382263866896E-2</v>
      </c>
      <c r="AA39" s="107">
        <f t="shared" si="5"/>
        <v>0.61177894045929537</v>
      </c>
      <c r="AB39" s="18">
        <f t="shared" si="16"/>
        <v>-5.3061654464242602E-3</v>
      </c>
      <c r="AC39" s="125">
        <f t="shared" si="11"/>
        <v>26778.48889612998</v>
      </c>
      <c r="AD39" s="138">
        <f t="shared" si="12"/>
        <v>0.62191780821917808</v>
      </c>
      <c r="AE39" s="139">
        <f t="shared" si="13"/>
        <v>0.62191780821917808</v>
      </c>
      <c r="AF39" s="138">
        <f t="shared" si="14"/>
        <v>26778.48889612998</v>
      </c>
    </row>
    <row r="40" spans="2:32" x14ac:dyDescent="0.25">
      <c r="B40" s="108" t="s">
        <v>20</v>
      </c>
      <c r="C40" s="57" t="s">
        <v>56</v>
      </c>
      <c r="D40" s="114" t="s">
        <v>76</v>
      </c>
      <c r="E40" s="110">
        <v>41061</v>
      </c>
      <c r="F40" s="110">
        <v>41090</v>
      </c>
      <c r="G40" s="107">
        <v>252</v>
      </c>
      <c r="H40" s="107">
        <v>0</v>
      </c>
      <c r="I40" s="107">
        <f t="shared" si="6"/>
        <v>252</v>
      </c>
      <c r="J40" s="92">
        <v>11.0024548218598</v>
      </c>
      <c r="K40" s="113">
        <v>45</v>
      </c>
      <c r="L40" s="92">
        <v>44.949793254007801</v>
      </c>
      <c r="M40" s="127">
        <f t="shared" si="7"/>
        <v>44.949793254007801</v>
      </c>
      <c r="N40" s="92">
        <v>0.77364060798591505</v>
      </c>
      <c r="O40" s="126">
        <f t="shared" si="8"/>
        <v>0.77364060798591505</v>
      </c>
      <c r="P40" s="92">
        <v>-0.37228729229161001</v>
      </c>
      <c r="R40" s="107">
        <f t="shared" si="17"/>
        <v>0</v>
      </c>
      <c r="S40" s="107">
        <f t="shared" si="17"/>
        <v>252</v>
      </c>
      <c r="T40" s="107">
        <f t="shared" si="2"/>
        <v>252</v>
      </c>
      <c r="U40" s="107">
        <f t="shared" si="3"/>
        <v>1</v>
      </c>
      <c r="V40" s="107">
        <f t="shared" si="9"/>
        <v>45</v>
      </c>
      <c r="W40" s="124">
        <v>1.92321853616919</v>
      </c>
      <c r="X40" s="107">
        <f t="shared" si="10"/>
        <v>1.9232185361691901E-2</v>
      </c>
      <c r="Y40" s="16">
        <f t="shared" si="4"/>
        <v>10.675994290854119</v>
      </c>
      <c r="Z40" s="18">
        <f t="shared" si="15"/>
        <v>3.0578934580861805E-2</v>
      </c>
      <c r="AA40" s="107">
        <f t="shared" si="5"/>
        <v>-0.37633146746408619</v>
      </c>
      <c r="AB40" s="18">
        <f t="shared" si="16"/>
        <v>1.0863049199402619E-2</v>
      </c>
      <c r="AC40" s="125">
        <f t="shared" si="11"/>
        <v>26903.50561295238</v>
      </c>
      <c r="AD40" s="138">
        <f t="shared" si="12"/>
        <v>0.62191780821917808</v>
      </c>
      <c r="AE40" s="139">
        <f t="shared" si="13"/>
        <v>0.62191780821917808</v>
      </c>
      <c r="AF40" s="138">
        <f t="shared" si="14"/>
        <v>26903.50561295238</v>
      </c>
    </row>
    <row r="41" spans="2:32" x14ac:dyDescent="0.25">
      <c r="B41" s="108" t="s">
        <v>20</v>
      </c>
      <c r="C41" s="57" t="s">
        <v>54</v>
      </c>
      <c r="D41" s="114" t="s">
        <v>52</v>
      </c>
      <c r="E41" s="110">
        <v>41061</v>
      </c>
      <c r="F41" s="110">
        <v>41090</v>
      </c>
      <c r="G41" s="107">
        <v>720</v>
      </c>
      <c r="H41" s="107">
        <v>0</v>
      </c>
      <c r="I41" s="107">
        <f t="shared" si="6"/>
        <v>720</v>
      </c>
      <c r="J41" s="92">
        <v>4.3222740271992901</v>
      </c>
      <c r="K41" s="113">
        <v>45</v>
      </c>
      <c r="L41" s="92">
        <v>40.3366666666669</v>
      </c>
      <c r="M41" s="127">
        <f t="shared" si="7"/>
        <v>40.3366666666669</v>
      </c>
      <c r="N41" s="92">
        <v>0.46810448361909401</v>
      </c>
      <c r="O41" s="126">
        <f t="shared" si="8"/>
        <v>0.46810448361909401</v>
      </c>
      <c r="P41" s="92">
        <v>0.45573467098458997</v>
      </c>
      <c r="R41" s="107">
        <f t="shared" si="17"/>
        <v>0</v>
      </c>
      <c r="S41" s="107">
        <f t="shared" si="17"/>
        <v>720</v>
      </c>
      <c r="T41" s="107">
        <f t="shared" si="2"/>
        <v>720</v>
      </c>
      <c r="U41" s="107">
        <f t="shared" si="3"/>
        <v>1</v>
      </c>
      <c r="V41" s="107">
        <f t="shared" si="9"/>
        <v>45</v>
      </c>
      <c r="W41" s="124">
        <v>1.92321853616919</v>
      </c>
      <c r="X41" s="107">
        <f t="shared" si="10"/>
        <v>1.9232185361691901E-2</v>
      </c>
      <c r="Y41" s="16">
        <f t="shared" si="4"/>
        <v>4.1358891906666555</v>
      </c>
      <c r="Z41" s="18">
        <f t="shared" si="15"/>
        <v>4.5065239405650326E-2</v>
      </c>
      <c r="AA41" s="107">
        <f t="shared" si="5"/>
        <v>0.45008373901679888</v>
      </c>
      <c r="AB41" s="18">
        <f t="shared" si="16"/>
        <v>-1.2399609526267952E-2</v>
      </c>
      <c r="AC41" s="125">
        <f t="shared" si="11"/>
        <v>29778.402172799921</v>
      </c>
      <c r="AD41" s="138">
        <f t="shared" si="12"/>
        <v>0.62191780821917808</v>
      </c>
      <c r="AE41" s="139">
        <f t="shared" si="13"/>
        <v>0.62191780821917808</v>
      </c>
      <c r="AF41" s="138">
        <f t="shared" si="14"/>
        <v>29778.402172799921</v>
      </c>
    </row>
    <row r="42" spans="2:32" x14ac:dyDescent="0.25">
      <c r="B42" s="108" t="s">
        <v>20</v>
      </c>
      <c r="C42" s="57" t="s">
        <v>56</v>
      </c>
      <c r="D42" s="114" t="s">
        <v>77</v>
      </c>
      <c r="E42" s="110">
        <v>41061</v>
      </c>
      <c r="F42" s="110">
        <v>41090</v>
      </c>
      <c r="G42" s="107">
        <v>720</v>
      </c>
      <c r="H42" s="107">
        <v>0</v>
      </c>
      <c r="I42" s="107">
        <f t="shared" si="6"/>
        <v>720</v>
      </c>
      <c r="J42" s="92">
        <v>8.9265217603722107</v>
      </c>
      <c r="K42" s="113">
        <v>45</v>
      </c>
      <c r="L42" s="92">
        <v>40.3366666666669</v>
      </c>
      <c r="M42" s="127">
        <f t="shared" si="7"/>
        <v>40.3366666666669</v>
      </c>
      <c r="N42" s="92">
        <v>0.46810448361909401</v>
      </c>
      <c r="O42" s="126">
        <f t="shared" si="8"/>
        <v>0.46810448361909401</v>
      </c>
      <c r="P42" s="92">
        <v>-0.53159507880236101</v>
      </c>
      <c r="R42" s="107">
        <f t="shared" si="17"/>
        <v>0</v>
      </c>
      <c r="S42" s="107">
        <f t="shared" si="17"/>
        <v>720</v>
      </c>
      <c r="T42" s="107">
        <f t="shared" si="2"/>
        <v>720</v>
      </c>
      <c r="U42" s="107">
        <f t="shared" si="3"/>
        <v>1</v>
      </c>
      <c r="V42" s="107">
        <f t="shared" si="9"/>
        <v>45</v>
      </c>
      <c r="W42" s="125">
        <v>1.92321853616919</v>
      </c>
      <c r="X42" s="107">
        <f t="shared" si="10"/>
        <v>1.9232185361691901E-2</v>
      </c>
      <c r="Y42" s="16">
        <f t="shared" si="4"/>
        <v>8.7437773929491254</v>
      </c>
      <c r="Z42" s="18">
        <f t="shared" si="15"/>
        <v>2.0899933656870928E-2</v>
      </c>
      <c r="AA42" s="107">
        <f t="shared" si="5"/>
        <v>-0.53802666890658268</v>
      </c>
      <c r="AB42" s="18">
        <f t="shared" si="16"/>
        <v>1.2098663739911864E-2</v>
      </c>
      <c r="AC42" s="125">
        <f t="shared" si="11"/>
        <v>62955.197229233701</v>
      </c>
      <c r="AD42" s="138">
        <f t="shared" si="12"/>
        <v>0.62191780821917808</v>
      </c>
      <c r="AE42" s="139">
        <f t="shared" si="13"/>
        <v>0.62191780821917808</v>
      </c>
      <c r="AF42" s="138">
        <f t="shared" si="14"/>
        <v>62955.197229233701</v>
      </c>
    </row>
    <row r="43" spans="2:32" x14ac:dyDescent="0.25">
      <c r="B43" s="108" t="s">
        <v>50</v>
      </c>
      <c r="C43" s="57" t="s">
        <v>54</v>
      </c>
      <c r="D43" s="114" t="s">
        <v>52</v>
      </c>
      <c r="E43" s="110">
        <v>41061</v>
      </c>
      <c r="F43" s="110">
        <v>41090</v>
      </c>
      <c r="G43" s="107">
        <v>720</v>
      </c>
      <c r="H43" s="107">
        <v>0</v>
      </c>
      <c r="I43" s="107">
        <f t="shared" si="6"/>
        <v>720</v>
      </c>
      <c r="J43" s="92">
        <v>1.9175128498510099</v>
      </c>
      <c r="K43" s="113">
        <v>45</v>
      </c>
      <c r="L43" s="92">
        <v>40.692644260961799</v>
      </c>
      <c r="M43" s="127">
        <f t="shared" si="7"/>
        <v>40.692644260961799</v>
      </c>
      <c r="N43" s="92">
        <v>0.26688940188862997</v>
      </c>
      <c r="O43" s="126">
        <f t="shared" si="8"/>
        <v>0.26688940188862997</v>
      </c>
      <c r="P43" s="92">
        <v>0.35696458885966897</v>
      </c>
      <c r="R43" s="107">
        <f t="shared" si="17"/>
        <v>0</v>
      </c>
      <c r="S43" s="107">
        <f t="shared" si="17"/>
        <v>720</v>
      </c>
      <c r="T43" s="107">
        <f t="shared" si="2"/>
        <v>720</v>
      </c>
      <c r="U43" s="107">
        <f t="shared" si="3"/>
        <v>1</v>
      </c>
      <c r="V43" s="107">
        <f t="shared" si="9"/>
        <v>45</v>
      </c>
      <c r="W43" s="125">
        <v>1.92321853616919</v>
      </c>
      <c r="X43" s="107">
        <f t="shared" si="10"/>
        <v>1.9232185361691901E-2</v>
      </c>
      <c r="Y43" s="16">
        <f t="shared" si="4"/>
        <v>1.8162826783717303</v>
      </c>
      <c r="Z43" s="18">
        <f t="shared" si="15"/>
        <v>5.5734810822526182E-2</v>
      </c>
      <c r="AA43" s="107">
        <f t="shared" si="5"/>
        <v>0.35043034127632194</v>
      </c>
      <c r="AB43" s="18">
        <f t="shared" si="16"/>
        <v>-1.8305030211038131E-2</v>
      </c>
      <c r="AC43" s="125">
        <f t="shared" si="11"/>
        <v>13077.235284276458</v>
      </c>
      <c r="AD43" s="138">
        <f t="shared" si="12"/>
        <v>0.62191780821917808</v>
      </c>
      <c r="AE43" s="139">
        <f t="shared" si="13"/>
        <v>0.62191780821917808</v>
      </c>
      <c r="AF43" s="138">
        <f t="shared" si="14"/>
        <v>13077.235284276458</v>
      </c>
    </row>
    <row r="44" spans="2:32" x14ac:dyDescent="0.25">
      <c r="B44" s="108" t="s">
        <v>50</v>
      </c>
      <c r="C44" s="57" t="s">
        <v>56</v>
      </c>
      <c r="D44" s="114" t="s">
        <v>77</v>
      </c>
      <c r="E44" s="110">
        <v>41061</v>
      </c>
      <c r="F44" s="110">
        <v>41090</v>
      </c>
      <c r="G44" s="107">
        <v>720</v>
      </c>
      <c r="H44" s="107">
        <v>0</v>
      </c>
      <c r="I44" s="107">
        <f t="shared" si="6"/>
        <v>720</v>
      </c>
      <c r="J44" s="115">
        <v>6.1702933139189398</v>
      </c>
      <c r="K44" s="113">
        <v>45</v>
      </c>
      <c r="L44" s="92">
        <v>40.692644260961799</v>
      </c>
      <c r="M44" s="127">
        <f t="shared" si="7"/>
        <v>40.692644260961799</v>
      </c>
      <c r="N44" s="92">
        <v>0.26688940188862997</v>
      </c>
      <c r="O44" s="126">
        <f t="shared" si="8"/>
        <v>0.26688940188862997</v>
      </c>
      <c r="P44" s="92">
        <v>-0.63036516092728201</v>
      </c>
      <c r="R44" s="107">
        <f t="shared" si="17"/>
        <v>0</v>
      </c>
      <c r="S44" s="107">
        <f t="shared" si="17"/>
        <v>720</v>
      </c>
      <c r="T44" s="107">
        <f t="shared" si="2"/>
        <v>720</v>
      </c>
      <c r="U44" s="107">
        <f t="shared" si="3"/>
        <v>1</v>
      </c>
      <c r="V44" s="107">
        <f t="shared" si="9"/>
        <v>45</v>
      </c>
      <c r="W44" s="125">
        <v>1.92321853616919</v>
      </c>
      <c r="X44" s="107">
        <f t="shared" si="10"/>
        <v>1.9232185361691901E-2</v>
      </c>
      <c r="Y44" s="16">
        <f t="shared" si="4"/>
        <v>6.0724257147438871</v>
      </c>
      <c r="Z44" s="18">
        <f t="shared" si="15"/>
        <v>1.6116722340041134E-2</v>
      </c>
      <c r="AA44" s="107">
        <f t="shared" si="5"/>
        <v>-0.63768006664705967</v>
      </c>
      <c r="AB44" s="18">
        <f t="shared" si="16"/>
        <v>1.1604235407009611E-2</v>
      </c>
      <c r="AC44" s="125">
        <f t="shared" si="11"/>
        <v>43721.465146155984</v>
      </c>
      <c r="AD44" s="138">
        <f t="shared" si="12"/>
        <v>0.62191780821917808</v>
      </c>
      <c r="AE44" s="139">
        <f t="shared" si="13"/>
        <v>0.62191780821917808</v>
      </c>
      <c r="AF44" s="138">
        <f t="shared" si="14"/>
        <v>43721.465146155984</v>
      </c>
    </row>
    <row r="45" spans="2:32" x14ac:dyDescent="0.25">
      <c r="B45" s="147" t="s">
        <v>50</v>
      </c>
      <c r="C45" s="57" t="s">
        <v>54</v>
      </c>
      <c r="D45" s="147" t="s">
        <v>148</v>
      </c>
      <c r="E45" s="148">
        <v>40909</v>
      </c>
      <c r="F45" s="148">
        <v>40939</v>
      </c>
      <c r="G45" s="146">
        <v>8784</v>
      </c>
      <c r="H45" s="146">
        <v>0</v>
      </c>
      <c r="I45" s="146">
        <f t="shared" ref="I45" si="18">G45-H45</f>
        <v>8784</v>
      </c>
      <c r="J45" s="146">
        <v>6.1702933139189398</v>
      </c>
      <c r="K45" s="146">
        <v>46</v>
      </c>
      <c r="L45" s="92">
        <v>82</v>
      </c>
      <c r="M45" s="127">
        <f t="shared" ref="M45" si="19">L45*(1+$E$3)</f>
        <v>82</v>
      </c>
      <c r="N45" s="149">
        <v>0.09</v>
      </c>
      <c r="O45" s="126">
        <f t="shared" ref="O45" si="20">N45*(1+$E$2)</f>
        <v>0.09</v>
      </c>
      <c r="P45" s="92">
        <v>-0.63036516092728201</v>
      </c>
      <c r="Q45" s="146"/>
      <c r="R45" s="146">
        <f t="shared" ref="R45" si="21">H45</f>
        <v>0</v>
      </c>
      <c r="S45" s="146">
        <f t="shared" ref="S45" si="22">I45</f>
        <v>8784</v>
      </c>
      <c r="T45" s="146">
        <f t="shared" ref="T45" si="23">G45</f>
        <v>8784</v>
      </c>
      <c r="U45" s="146">
        <f t="shared" ref="U45" si="24">IF($E$6&gt;E45,S45/(R45+S45),1)</f>
        <v>1</v>
      </c>
      <c r="V45" s="146">
        <v>46</v>
      </c>
      <c r="W45" s="146">
        <v>1.92321853616919</v>
      </c>
      <c r="X45" s="146">
        <v>0</v>
      </c>
      <c r="Y45" s="16">
        <f>B76Future($E$6,C45,M45,V45,F45,O45,X45)*U45</f>
        <v>36</v>
      </c>
      <c r="Z45" s="18">
        <f t="shared" ref="Z45" si="25">J45/Y45-1</f>
        <v>-0.82860296350225171</v>
      </c>
      <c r="AA45" s="146">
        <f t="shared" ref="AA45" si="26">B76Delta($E$6,C45,M45,V45,F45,O45,X45)*U45</f>
        <v>1</v>
      </c>
      <c r="AB45" s="18">
        <f t="shared" ref="AB45" si="27">AA45/P45-1</f>
        <v>-2.5863820876918013</v>
      </c>
      <c r="AC45" s="146">
        <f t="shared" ref="AC45" si="28">Y45*T45*10</f>
        <v>3162240</v>
      </c>
      <c r="AD45" s="146">
        <f t="shared" ref="AD45" si="29">TimeToExpiry($E$6,F45)</f>
        <v>0.20821917808219179</v>
      </c>
      <c r="AE45" s="146">
        <f t="shared" ref="AE45" si="30">AD45*(1+$E$4)+$E$5/365</f>
        <v>0.20821917808219179</v>
      </c>
      <c r="AF45" s="146">
        <f t="shared" ref="AF45" si="31">B76FutureTau(C45,L45,V45,AE45,O45,X45)*U45*T45*10</f>
        <v>3162240</v>
      </c>
    </row>
    <row r="46" spans="2:32" x14ac:dyDescent="0.25">
      <c r="X46" s="107">
        <f>ImpliedVolatilityB76Future(E6,"C",L45,K45,F45,Y46,X45)</f>
        <v>-2.2257320509706999</v>
      </c>
      <c r="Y46" s="107">
        <v>18</v>
      </c>
      <c r="Z46" s="18"/>
    </row>
    <row r="47" spans="2:32" x14ac:dyDescent="0.25">
      <c r="V47" s="107" t="s">
        <v>164</v>
      </c>
      <c r="W47" s="107">
        <f>AF7</f>
        <v>3870932.0405156286</v>
      </c>
      <c r="AA47" s="107" t="s">
        <v>163</v>
      </c>
      <c r="AB47" s="107">
        <f>AF7</f>
        <v>3870932.0405156286</v>
      </c>
    </row>
    <row r="48" spans="2:32" x14ac:dyDescent="0.25">
      <c r="V48" s="10">
        <v>-0.05</v>
      </c>
      <c r="W48" s="65">
        <f t="dataTable" ref="W48:W58" dt2D="0" dtr="0" r1="E4" ca="1"/>
        <v>3805229.6029662821</v>
      </c>
      <c r="X48" s="65">
        <v>3896373.6959779602</v>
      </c>
      <c r="Y48" s="140">
        <f>W48/X48-1</f>
        <v>-2.3392030673485387E-2</v>
      </c>
      <c r="AA48" s="107">
        <v>-5</v>
      </c>
      <c r="AB48" s="107">
        <f t="dataTable" ref="AB48:AB58" dt2D="0" dtr="0" r1="E5"/>
        <v>3837407.6649703309</v>
      </c>
      <c r="AC48" s="140">
        <v>3934382.7299562562</v>
      </c>
      <c r="AD48" s="140">
        <f>AB48/AC48-1</f>
        <v>-2.4648101530021616E-2</v>
      </c>
    </row>
    <row r="49" spans="8:30" x14ac:dyDescent="0.25">
      <c r="V49" s="10">
        <v>-0.04</v>
      </c>
      <c r="W49" s="65">
        <v>3818513.7057183729</v>
      </c>
      <c r="X49" s="65">
        <v>3910204.4899227442</v>
      </c>
      <c r="Y49" s="140">
        <f t="shared" ref="Y49:Y58" si="32">W49/X49-1</f>
        <v>-2.3449102071432248E-2</v>
      </c>
      <c r="AA49" s="107">
        <v>-4</v>
      </c>
      <c r="AB49" s="107">
        <v>3844234.6764425361</v>
      </c>
      <c r="AC49" s="140">
        <v>3940523.0635984973</v>
      </c>
      <c r="AD49" s="140">
        <f t="shared" ref="AD49:AD58" si="33">AB49/AC49-1</f>
        <v>-2.4435432962046977E-2</v>
      </c>
    </row>
    <row r="50" spans="8:30" x14ac:dyDescent="0.25">
      <c r="H50" s="129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V50" s="10">
        <v>-0.03</v>
      </c>
      <c r="W50" s="65">
        <v>3831725.0027021179</v>
      </c>
      <c r="X50" s="65">
        <v>3923959.27702303</v>
      </c>
      <c r="Y50" s="140">
        <f t="shared" si="32"/>
        <v>-2.3505410685833339E-2</v>
      </c>
      <c r="AA50" s="139">
        <v>-3</v>
      </c>
      <c r="AB50" s="107">
        <v>3850996.8963696724</v>
      </c>
      <c r="AC50" s="140">
        <v>3946631.7248504283</v>
      </c>
      <c r="AD50" s="140">
        <f t="shared" si="33"/>
        <v>-2.423201229508698E-2</v>
      </c>
    </row>
    <row r="51" spans="8:30" x14ac:dyDescent="0.25">
      <c r="H51" s="128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V51" s="10">
        <v>-0.02</v>
      </c>
      <c r="W51" s="65">
        <v>3844864.5039282721</v>
      </c>
      <c r="X51" s="65">
        <v>3937639.1149009308</v>
      </c>
      <c r="Y51" s="140">
        <f t="shared" si="32"/>
        <v>-2.3560973534008767E-2</v>
      </c>
      <c r="AA51" s="139">
        <v>-2</v>
      </c>
      <c r="AB51" s="107">
        <v>3857698.2262986582</v>
      </c>
      <c r="AC51" s="140">
        <v>3952709.7860949449</v>
      </c>
      <c r="AD51" s="140">
        <f t="shared" si="33"/>
        <v>-2.4037069488512253E-2</v>
      </c>
    </row>
    <row r="52" spans="8:30" x14ac:dyDescent="0.25">
      <c r="H52" s="128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V52" s="10">
        <v>-0.01</v>
      </c>
      <c r="W52" s="65">
        <v>3857933.195522401</v>
      </c>
      <c r="X52" s="65">
        <v>3951245.035901634</v>
      </c>
      <c r="Y52" s="140">
        <f t="shared" si="32"/>
        <v>-2.361580705104005E-2</v>
      </c>
      <c r="AA52" s="139">
        <v>-1</v>
      </c>
      <c r="AB52" s="107">
        <v>3864342.2043290087</v>
      </c>
      <c r="AC52" s="140">
        <v>3958758.2485420322</v>
      </c>
      <c r="AD52" s="140">
        <f t="shared" si="33"/>
        <v>-2.3849914110768422E-2</v>
      </c>
    </row>
    <row r="53" spans="8:30" x14ac:dyDescent="0.25">
      <c r="H53" s="128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V53" s="10">
        <v>0</v>
      </c>
      <c r="W53" s="65">
        <v>3870932.0405156286</v>
      </c>
      <c r="X53" s="65">
        <v>3964778.0482519479</v>
      </c>
      <c r="Y53" s="140">
        <f t="shared" si="32"/>
        <v>-2.3669927192442874E-2</v>
      </c>
      <c r="AA53" s="139">
        <v>0</v>
      </c>
      <c r="AB53" s="107">
        <v>3870932.0405156286</v>
      </c>
      <c r="AC53" s="140">
        <v>3964778.0482519479</v>
      </c>
      <c r="AD53" s="140">
        <f t="shared" si="33"/>
        <v>-2.3669927192442874E-2</v>
      </c>
    </row>
    <row r="54" spans="8:30" x14ac:dyDescent="0.25">
      <c r="H54" s="128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V54" s="10">
        <v>0.01</v>
      </c>
      <c r="W54" s="65">
        <v>3883861.979601928</v>
      </c>
      <c r="X54" s="65">
        <v>3978239.1368884956</v>
      </c>
      <c r="Y54" s="140">
        <f t="shared" si="32"/>
        <v>-2.3723349461687415E-2</v>
      </c>
      <c r="AA54" s="139">
        <v>1</v>
      </c>
      <c r="AB54" s="107">
        <v>3877470.6496329312</v>
      </c>
      <c r="AC54" s="140">
        <v>3970770.0625159838</v>
      </c>
      <c r="AD54" s="140">
        <f t="shared" si="33"/>
        <v>-2.3496553921315666E-2</v>
      </c>
    </row>
    <row r="55" spans="8:30" x14ac:dyDescent="0.25">
      <c r="H55" s="128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V55" s="10">
        <v>0.02</v>
      </c>
      <c r="W55" s="65">
        <v>3896723.9318636679</v>
      </c>
      <c r="X55" s="65">
        <v>3991629.263767892</v>
      </c>
      <c r="Y55" s="140">
        <f t="shared" si="32"/>
        <v>-2.3776088818087904E-2</v>
      </c>
      <c r="AA55" s="139">
        <v>2</v>
      </c>
      <c r="AB55" s="107">
        <v>3883960.6817432353</v>
      </c>
      <c r="AC55" s="140">
        <v>3976735.1144754542</v>
      </c>
      <c r="AD55" s="140">
        <f t="shared" si="33"/>
        <v>-2.3329296536376498E-2</v>
      </c>
    </row>
    <row r="56" spans="8:30" x14ac:dyDescent="0.25">
      <c r="H56" s="128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V56" s="10">
        <v>0.03</v>
      </c>
      <c r="W56" s="65">
        <v>3909518.7954669939</v>
      </c>
      <c r="X56" s="65">
        <v>4004949.3692489709</v>
      </c>
      <c r="Y56" s="140">
        <f t="shared" si="32"/>
        <v>-2.3828159855082687E-2</v>
      </c>
      <c r="AA56" s="139">
        <v>3</v>
      </c>
      <c r="AB56" s="107">
        <v>3890404.5503428038</v>
      </c>
      <c r="AC56" s="140">
        <v>3982673.9784286679</v>
      </c>
      <c r="AD56" s="140">
        <f t="shared" si="33"/>
        <v>-2.3167708073927762E-2</v>
      </c>
    </row>
    <row r="57" spans="8:30" x14ac:dyDescent="0.25">
      <c r="H57" s="128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V57" s="10">
        <v>0.04</v>
      </c>
      <c r="W57" s="65">
        <v>3922247.4483286263</v>
      </c>
      <c r="X57" s="65">
        <v>4018200.3723799549</v>
      </c>
      <c r="Y57" s="140">
        <f t="shared" si="32"/>
        <v>-2.387957671570673E-2</v>
      </c>
      <c r="AA57" s="139">
        <v>4</v>
      </c>
      <c r="AB57" s="107">
        <v>3896804.4578968361</v>
      </c>
      <c r="AC57" s="140">
        <v>3988587.3834691122</v>
      </c>
      <c r="AD57" s="140">
        <f t="shared" si="33"/>
        <v>-2.3011386425348168E-2</v>
      </c>
    </row>
    <row r="58" spans="8:30" x14ac:dyDescent="0.25">
      <c r="H58" s="128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V58" s="10">
        <v>0.05</v>
      </c>
      <c r="W58" s="65">
        <v>3934910.7487554466</v>
      </c>
      <c r="X58" s="65">
        <v>4031383.1716190567</v>
      </c>
      <c r="Y58" s="140">
        <f t="shared" si="32"/>
        <v>-2.3930353121175862E-2</v>
      </c>
      <c r="AA58" s="139">
        <v>5</v>
      </c>
      <c r="AB58" s="107">
        <v>3903162.4187352317</v>
      </c>
      <c r="AC58" s="140">
        <v>3994476.0176858651</v>
      </c>
      <c r="AD58" s="140">
        <f t="shared" si="33"/>
        <v>-2.2859969254123702E-2</v>
      </c>
    </row>
    <row r="59" spans="8:30" x14ac:dyDescent="0.25">
      <c r="H59" s="128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</row>
    <row r="60" spans="8:30" x14ac:dyDescent="0.25">
      <c r="H60" s="128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</row>
    <row r="61" spans="8:30" x14ac:dyDescent="0.25">
      <c r="H61" s="128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7:O185"/>
  <sheetViews>
    <sheetView topLeftCell="A4" workbookViewId="0">
      <selection activeCell="C8" sqref="C8:M9"/>
    </sheetView>
  </sheetViews>
  <sheetFormatPr defaultRowHeight="15" x14ac:dyDescent="0.25"/>
  <cols>
    <col min="3" max="3" width="11.28515625" bestFit="1" customWidth="1"/>
    <col min="5" max="6" width="16.5703125" bestFit="1" customWidth="1"/>
    <col min="8" max="8" width="10.7109375" bestFit="1" customWidth="1"/>
    <col min="12" max="12" width="19" bestFit="1" customWidth="1"/>
    <col min="13" max="13" width="9.5703125" bestFit="1" customWidth="1"/>
  </cols>
  <sheetData>
    <row r="7" spans="2:15" x14ac:dyDescent="0.25">
      <c r="H7">
        <f>(H9-C9+1)/365</f>
        <v>1</v>
      </c>
    </row>
    <row r="8" spans="2:15" x14ac:dyDescent="0.25">
      <c r="C8" t="s">
        <v>197</v>
      </c>
      <c r="D8" t="s">
        <v>188</v>
      </c>
      <c r="E8" t="s">
        <v>189</v>
      </c>
      <c r="F8" t="s">
        <v>190</v>
      </c>
      <c r="G8" t="s">
        <v>191</v>
      </c>
      <c r="H8" t="s">
        <v>192</v>
      </c>
      <c r="I8" t="s">
        <v>193</v>
      </c>
      <c r="J8" t="s">
        <v>194</v>
      </c>
      <c r="K8" t="s">
        <v>195</v>
      </c>
      <c r="L8" t="s">
        <v>196</v>
      </c>
    </row>
    <row r="9" spans="2:15" x14ac:dyDescent="0.25">
      <c r="B9">
        <f>E9-F9</f>
        <v>9.1766940075000036</v>
      </c>
      <c r="C9" s="148">
        <v>40849</v>
      </c>
      <c r="D9" t="s">
        <v>54</v>
      </c>
      <c r="E9">
        <f>ROUND(EXP(0.02)*110,10)</f>
        <v>112.22214740290001</v>
      </c>
      <c r="F9">
        <f>ROUND(EXP(0.03)*100,10)</f>
        <v>103.0454533954</v>
      </c>
      <c r="G9">
        <v>0</v>
      </c>
      <c r="H9" s="148">
        <f>C9+364</f>
        <v>41213</v>
      </c>
      <c r="I9">
        <v>0.1</v>
      </c>
      <c r="J9">
        <v>0.15</v>
      </c>
      <c r="K9">
        <v>1</v>
      </c>
      <c r="L9" s="10">
        <v>0.05</v>
      </c>
      <c r="M9" s="53">
        <f>AsianSpread(C9,D9,E9,F9,G9,H9,I9,J9,K9,L9)</f>
        <v>8.8212490937018817</v>
      </c>
      <c r="N9" t="e">
        <f ca="1">cc(E9,F9,G9,L9,K9,I9,J9,K9)</f>
        <v>#NAME?</v>
      </c>
      <c r="O9" s="2" t="e">
        <f ca="1">M9-N9</f>
        <v>#NAME?</v>
      </c>
    </row>
    <row r="10" spans="2:15" x14ac:dyDescent="0.25">
      <c r="C10" s="148">
        <v>40849</v>
      </c>
      <c r="D10" s="152" t="s">
        <v>54</v>
      </c>
      <c r="E10" s="152">
        <v>26</v>
      </c>
      <c r="F10" s="152">
        <v>20</v>
      </c>
      <c r="G10" s="152">
        <v>6</v>
      </c>
      <c r="H10" s="148">
        <f>C10-1+(2/12)*365</f>
        <v>40908.833333333336</v>
      </c>
      <c r="I10" s="152">
        <v>0.2</v>
      </c>
      <c r="J10" s="152">
        <v>0.2</v>
      </c>
      <c r="K10" s="152">
        <v>0.3</v>
      </c>
      <c r="L10" s="10">
        <v>0.05</v>
      </c>
      <c r="M10" s="53">
        <f>AsianSpread(C10,D10,E10,F10,G10,H10,I10,J10,K10,L10)</f>
        <v>0.89255374879048044</v>
      </c>
    </row>
    <row r="11" spans="2:15" x14ac:dyDescent="0.25">
      <c r="C11" s="148">
        <v>40849</v>
      </c>
      <c r="D11" s="152" t="s">
        <v>54</v>
      </c>
      <c r="E11" s="152">
        <f>ROUND(EXP(0.02)*110,10)</f>
        <v>112.22214740290001</v>
      </c>
      <c r="F11" s="152">
        <f>ROUND(EXP(0.03)*100,10)</f>
        <v>103.0454533954</v>
      </c>
      <c r="G11" s="152">
        <v>-10</v>
      </c>
      <c r="H11" s="148">
        <f>C11+364</f>
        <v>41213</v>
      </c>
      <c r="I11" s="152">
        <v>0.1</v>
      </c>
      <c r="J11" s="152">
        <v>0.15</v>
      </c>
      <c r="K11" s="152">
        <v>1</v>
      </c>
      <c r="L11" s="10">
        <v>0.05</v>
      </c>
      <c r="M11" s="53">
        <f>AsianSpread(C11,D11,E11,F11,G11,H11,I11,J11,K11,L11)</f>
        <v>18.243835241560141</v>
      </c>
      <c r="N11">
        <v>18.243835241560141</v>
      </c>
      <c r="O11" s="53">
        <f>M11-N11</f>
        <v>0</v>
      </c>
    </row>
    <row r="12" spans="2:15" x14ac:dyDescent="0.25">
      <c r="C12" s="148">
        <v>40849</v>
      </c>
      <c r="D12" s="152" t="s">
        <v>56</v>
      </c>
      <c r="E12" s="152">
        <f>ROUND(EXP(0.02)*110,10)</f>
        <v>112.22214740290001</v>
      </c>
      <c r="F12" s="152">
        <f>ROUND(EXP(0.03)*100,10)</f>
        <v>103.0454533954</v>
      </c>
      <c r="G12" s="152">
        <v>-10</v>
      </c>
      <c r="H12" s="148">
        <f>C12+364</f>
        <v>41213</v>
      </c>
      <c r="I12" s="152">
        <v>0.1</v>
      </c>
      <c r="J12" s="152">
        <v>0.15</v>
      </c>
      <c r="K12" s="152">
        <v>1</v>
      </c>
      <c r="L12" s="10">
        <v>0.05</v>
      </c>
      <c r="M12" s="53">
        <f>AsianSpread(C12,D12,E12,F12,G12,H12,I12,J12,K12,L12)</f>
        <v>2.3996369796230443E-3</v>
      </c>
      <c r="N12">
        <v>2.3996369796230443E-3</v>
      </c>
      <c r="O12" s="53">
        <f>M12-N12</f>
        <v>0</v>
      </c>
    </row>
    <row r="13" spans="2:15" x14ac:dyDescent="0.25">
      <c r="F13" s="53"/>
      <c r="L13">
        <f>EXP(-L11)</f>
        <v>0.95122942450071402</v>
      </c>
      <c r="M13" s="53">
        <f>M11-L14</f>
        <v>2.3996369796215333E-3</v>
      </c>
    </row>
    <row r="14" spans="2:15" x14ac:dyDescent="0.25">
      <c r="L14">
        <f>(E12-F12-G12)*L13</f>
        <v>18.24143560458052</v>
      </c>
    </row>
    <row r="15" spans="2:15" x14ac:dyDescent="0.25">
      <c r="E15" s="53">
        <f>M9</f>
        <v>8.8212490937018817</v>
      </c>
      <c r="F15" s="53">
        <v>-1</v>
      </c>
      <c r="G15" s="53">
        <v>-0.5</v>
      </c>
      <c r="H15" s="53">
        <v>0</v>
      </c>
      <c r="I15" s="53">
        <v>0.3</v>
      </c>
      <c r="J15" s="53">
        <v>0.8</v>
      </c>
      <c r="K15" s="53">
        <v>1</v>
      </c>
    </row>
    <row r="16" spans="2:15" x14ac:dyDescent="0.25">
      <c r="E16" s="53">
        <v>-20</v>
      </c>
      <c r="F16" s="53">
        <f t="dataTable" ref="F16:K21" dt2D="1" dtr="1" r1="K9" r2="G9"/>
        <v>29.656134961586147</v>
      </c>
      <c r="G16" s="53">
        <v>28.994761002697313</v>
      </c>
      <c r="H16" s="53">
        <v>28.381071380593479</v>
      </c>
      <c r="I16" s="53">
        <v>28.070062510146794</v>
      </c>
      <c r="J16" s="53">
        <v>27.770069580465236</v>
      </c>
      <c r="K16" s="53">
        <v>27.75377248346657</v>
      </c>
    </row>
    <row r="17" spans="5:15" x14ac:dyDescent="0.25">
      <c r="E17" s="53">
        <v>-10</v>
      </c>
      <c r="F17" s="53">
        <v>21.868635583333244</v>
      </c>
      <c r="G17" s="53">
        <v>20.904942527462307</v>
      </c>
      <c r="H17" s="53">
        <v>19.888844950294555</v>
      </c>
      <c r="I17" s="53">
        <v>19.270060069324789</v>
      </c>
      <c r="J17" s="53">
        <v>18.38106131691023</v>
      </c>
      <c r="K17" s="53">
        <v>18.243835241560141</v>
      </c>
    </row>
    <row r="18" spans="5:15" x14ac:dyDescent="0.25">
      <c r="E18" s="53">
        <v>0</v>
      </c>
      <c r="F18" s="53">
        <v>15.133216633337888</v>
      </c>
      <c r="G18" s="53">
        <v>13.917956591082845</v>
      </c>
      <c r="H18" s="53">
        <v>12.523665037506902</v>
      </c>
      <c r="I18" s="53">
        <v>11.561761316327241</v>
      </c>
      <c r="J18" s="53">
        <v>9.6325419730704152</v>
      </c>
      <c r="K18" s="53">
        <v>8.8212490937018817</v>
      </c>
    </row>
    <row r="19" spans="5:15" x14ac:dyDescent="0.25">
      <c r="E19" s="53">
        <v>5</v>
      </c>
      <c r="F19" s="53">
        <v>12.244102634272897</v>
      </c>
      <c r="G19" s="53">
        <v>10.956197727885419</v>
      </c>
      <c r="H19" s="53">
        <v>9.4453177590831441</v>
      </c>
      <c r="I19" s="53">
        <v>8.3673813483454698</v>
      </c>
      <c r="J19" s="53">
        <v>5.9669939512436496</v>
      </c>
      <c r="K19" s="53">
        <v>4.4542117362861084</v>
      </c>
    </row>
    <row r="20" spans="5:15" x14ac:dyDescent="0.25">
      <c r="E20" s="53">
        <v>15</v>
      </c>
      <c r="F20" s="53">
        <v>7.5216906441422342</v>
      </c>
      <c r="G20" s="53">
        <v>6.2421006461276001</v>
      </c>
      <c r="H20" s="53">
        <v>4.7443342772429444</v>
      </c>
      <c r="I20" s="53">
        <v>3.6796100495366733</v>
      </c>
      <c r="J20" s="53">
        <v>1.3420654019018696</v>
      </c>
      <c r="K20" s="53">
        <v>4.7894375541178279E-2</v>
      </c>
    </row>
    <row r="21" spans="5:15" x14ac:dyDescent="0.25">
      <c r="E21" s="53">
        <v>25</v>
      </c>
      <c r="F21" s="53">
        <v>4.2012854692659456</v>
      </c>
      <c r="G21" s="53">
        <v>3.1298394135622978</v>
      </c>
      <c r="H21" s="53">
        <v>1.9617318266813668</v>
      </c>
      <c r="I21" s="53">
        <v>1.2194178299883971</v>
      </c>
      <c r="J21" s="53">
        <v>0.10321507769419429</v>
      </c>
      <c r="K21" s="53">
        <v>0</v>
      </c>
    </row>
    <row r="23" spans="5:15" x14ac:dyDescent="0.25">
      <c r="F23" s="53">
        <f>F20-F13*(F9-E9-E20)</f>
        <v>7.5216906441422342</v>
      </c>
    </row>
    <row r="26" spans="5:15" x14ac:dyDescent="0.25">
      <c r="E26" s="148">
        <v>40849</v>
      </c>
      <c r="F26" s="152" t="s">
        <v>54</v>
      </c>
      <c r="G26" s="152">
        <f>ROUND(EXP(0.02)*110,10)</f>
        <v>112.22214740290001</v>
      </c>
      <c r="H26" s="152">
        <f>ROUND(EXP(0.03)*100,10)</f>
        <v>103.0454533954</v>
      </c>
      <c r="I26" s="152">
        <v>0</v>
      </c>
      <c r="J26" s="148">
        <f>E26+364</f>
        <v>41213</v>
      </c>
      <c r="K26" s="152">
        <v>0.1</v>
      </c>
      <c r="L26" s="152">
        <v>0.15</v>
      </c>
      <c r="M26" s="152">
        <v>1</v>
      </c>
      <c r="N26" s="10">
        <v>0.05</v>
      </c>
      <c r="O26" s="53">
        <f>AsianSpread(E26,F26,G26,H26,I26,J26,K26,L26,M26,N26)</f>
        <v>8.8212490937018817</v>
      </c>
    </row>
    <row r="27" spans="5:15" x14ac:dyDescent="0.25">
      <c r="E27" s="148">
        <v>40849</v>
      </c>
      <c r="F27" s="152" t="s">
        <v>54</v>
      </c>
      <c r="G27" s="152">
        <f t="shared" ref="G27:G90" si="0">ROUND(EXP(0.02)*110,10)</f>
        <v>112.22214740290001</v>
      </c>
      <c r="H27" s="152">
        <f t="shared" ref="H27:H90" si="1">ROUND(EXP(0.03)*100,10)</f>
        <v>103.0454533954</v>
      </c>
      <c r="I27" s="152">
        <v>0.1</v>
      </c>
      <c r="J27" s="148">
        <f t="shared" ref="J27:J90" si="2">E27+364</f>
        <v>41213</v>
      </c>
      <c r="K27" s="152">
        <v>0.1</v>
      </c>
      <c r="L27" s="152">
        <v>0.15</v>
      </c>
      <c r="M27" s="152">
        <v>1</v>
      </c>
      <c r="N27" s="10">
        <v>0.05</v>
      </c>
      <c r="O27" s="53">
        <f t="shared" ref="O27:O90" si="3">AsianSpread(E27,F27,G27,H27,I27,J27,K27,L27,M27,N27)</f>
        <v>8.7293695384466421</v>
      </c>
    </row>
    <row r="28" spans="5:15" x14ac:dyDescent="0.25">
      <c r="E28" s="148">
        <v>40849</v>
      </c>
      <c r="F28" s="152" t="s">
        <v>54</v>
      </c>
      <c r="G28" s="152">
        <f t="shared" si="0"/>
        <v>112.22214740290001</v>
      </c>
      <c r="H28" s="152">
        <f t="shared" si="1"/>
        <v>103.0454533954</v>
      </c>
      <c r="I28" s="152">
        <v>0.2</v>
      </c>
      <c r="J28" s="148">
        <f t="shared" si="2"/>
        <v>41213</v>
      </c>
      <c r="K28" s="152">
        <v>0.1</v>
      </c>
      <c r="L28" s="152">
        <v>0.15</v>
      </c>
      <c r="M28" s="152">
        <v>1</v>
      </c>
      <c r="N28" s="10">
        <v>0.05</v>
      </c>
      <c r="O28" s="53">
        <f t="shared" si="3"/>
        <v>8.6375990864762411</v>
      </c>
    </row>
    <row r="29" spans="5:15" x14ac:dyDescent="0.25">
      <c r="E29" s="148">
        <v>40849</v>
      </c>
      <c r="F29" s="152" t="s">
        <v>54</v>
      </c>
      <c r="G29" s="152">
        <f t="shared" si="0"/>
        <v>112.22214740290001</v>
      </c>
      <c r="H29" s="152">
        <f t="shared" si="1"/>
        <v>103.0454533954</v>
      </c>
      <c r="I29" s="152">
        <v>0.3</v>
      </c>
      <c r="J29" s="148">
        <f t="shared" si="2"/>
        <v>41213</v>
      </c>
      <c r="K29" s="152">
        <v>0.1</v>
      </c>
      <c r="L29" s="152">
        <v>0.15</v>
      </c>
      <c r="M29" s="152">
        <v>1</v>
      </c>
      <c r="N29" s="10">
        <v>0.05</v>
      </c>
      <c r="O29" s="53">
        <f t="shared" si="3"/>
        <v>8.5459411678596151</v>
      </c>
    </row>
    <row r="30" spans="5:15" x14ac:dyDescent="0.25">
      <c r="E30" s="148">
        <v>40849</v>
      </c>
      <c r="F30" s="152" t="s">
        <v>54</v>
      </c>
      <c r="G30" s="152">
        <f t="shared" si="0"/>
        <v>112.22214740290001</v>
      </c>
      <c r="H30" s="152">
        <f t="shared" si="1"/>
        <v>103.0454533954</v>
      </c>
      <c r="I30" s="152">
        <v>0.4</v>
      </c>
      <c r="J30" s="148">
        <f t="shared" si="2"/>
        <v>41213</v>
      </c>
      <c r="K30" s="152">
        <v>0.1</v>
      </c>
      <c r="L30" s="152">
        <v>0.15</v>
      </c>
      <c r="M30" s="152">
        <v>1</v>
      </c>
      <c r="N30" s="10">
        <v>0.05</v>
      </c>
      <c r="O30" s="53">
        <f t="shared" si="3"/>
        <v>8.4543993079206583</v>
      </c>
    </row>
    <row r="31" spans="5:15" x14ac:dyDescent="0.25">
      <c r="E31" s="148">
        <v>40849</v>
      </c>
      <c r="F31" s="152" t="s">
        <v>54</v>
      </c>
      <c r="G31" s="152">
        <f t="shared" si="0"/>
        <v>112.22214740290001</v>
      </c>
      <c r="H31" s="152">
        <f t="shared" si="1"/>
        <v>103.0454533954</v>
      </c>
      <c r="I31" s="152">
        <v>0.5</v>
      </c>
      <c r="J31" s="148">
        <f t="shared" si="2"/>
        <v>41213</v>
      </c>
      <c r="K31" s="152">
        <v>0.1</v>
      </c>
      <c r="L31" s="152">
        <v>0.15</v>
      </c>
      <c r="M31" s="152">
        <v>1</v>
      </c>
      <c r="N31" s="10">
        <v>0.05</v>
      </c>
      <c r="O31" s="53">
        <f t="shared" si="3"/>
        <v>8.3629771292409494</v>
      </c>
    </row>
    <row r="32" spans="5:15" x14ac:dyDescent="0.25">
      <c r="E32" s="148">
        <v>40849</v>
      </c>
      <c r="F32" s="152" t="s">
        <v>54</v>
      </c>
      <c r="G32" s="152">
        <f t="shared" si="0"/>
        <v>112.22214740290001</v>
      </c>
      <c r="H32" s="152">
        <f t="shared" si="1"/>
        <v>103.0454533954</v>
      </c>
      <c r="I32" s="152">
        <v>0.6</v>
      </c>
      <c r="J32" s="148">
        <f t="shared" si="2"/>
        <v>41213</v>
      </c>
      <c r="K32" s="152">
        <v>0.1</v>
      </c>
      <c r="L32" s="152">
        <v>0.15</v>
      </c>
      <c r="M32" s="152">
        <v>1</v>
      </c>
      <c r="N32" s="10">
        <v>0.05</v>
      </c>
      <c r="O32" s="53">
        <f t="shared" si="3"/>
        <v>8.2716783536715361</v>
      </c>
    </row>
    <row r="33" spans="5:15" x14ac:dyDescent="0.25">
      <c r="E33" s="148">
        <v>40849</v>
      </c>
      <c r="F33" s="152" t="s">
        <v>54</v>
      </c>
      <c r="G33" s="152">
        <f t="shared" si="0"/>
        <v>112.22214740290001</v>
      </c>
      <c r="H33" s="152">
        <f t="shared" si="1"/>
        <v>103.0454533954</v>
      </c>
      <c r="I33" s="152">
        <v>0.7</v>
      </c>
      <c r="J33" s="148">
        <f t="shared" si="2"/>
        <v>41213</v>
      </c>
      <c r="K33" s="152">
        <v>0.1</v>
      </c>
      <c r="L33" s="152">
        <v>0.15</v>
      </c>
      <c r="M33" s="152">
        <v>1</v>
      </c>
      <c r="N33" s="10">
        <v>0.05</v>
      </c>
      <c r="O33" s="53">
        <f t="shared" si="3"/>
        <v>8.1805068043523477</v>
      </c>
    </row>
    <row r="34" spans="5:15" x14ac:dyDescent="0.25">
      <c r="E34" s="148">
        <v>40849</v>
      </c>
      <c r="F34" s="152" t="s">
        <v>54</v>
      </c>
      <c r="G34" s="152">
        <f t="shared" si="0"/>
        <v>112.22214740290001</v>
      </c>
      <c r="H34" s="152">
        <f t="shared" si="1"/>
        <v>103.0454533954</v>
      </c>
      <c r="I34" s="152">
        <v>0.8</v>
      </c>
      <c r="J34" s="148">
        <f t="shared" si="2"/>
        <v>41213</v>
      </c>
      <c r="K34" s="152">
        <v>0.1</v>
      </c>
      <c r="L34" s="152">
        <v>0.15</v>
      </c>
      <c r="M34" s="152">
        <v>1</v>
      </c>
      <c r="N34" s="10">
        <v>0.05</v>
      </c>
      <c r="O34" s="53">
        <f t="shared" si="3"/>
        <v>8.0894664077365945</v>
      </c>
    </row>
    <row r="35" spans="5:15" x14ac:dyDescent="0.25">
      <c r="E35" s="148">
        <v>40849</v>
      </c>
      <c r="F35" s="152" t="s">
        <v>54</v>
      </c>
      <c r="G35" s="152">
        <f t="shared" si="0"/>
        <v>112.22214740290001</v>
      </c>
      <c r="H35" s="152">
        <f t="shared" si="1"/>
        <v>103.0454533954</v>
      </c>
      <c r="I35" s="152">
        <v>0.9</v>
      </c>
      <c r="J35" s="148">
        <f t="shared" si="2"/>
        <v>41213</v>
      </c>
      <c r="K35" s="152">
        <v>0.1</v>
      </c>
      <c r="L35" s="152">
        <v>0.15</v>
      </c>
      <c r="M35" s="152">
        <v>1</v>
      </c>
      <c r="N35" s="10">
        <v>0.05</v>
      </c>
      <c r="O35" s="53">
        <f t="shared" si="3"/>
        <v>7.9985611956185361</v>
      </c>
    </row>
    <row r="36" spans="5:15" x14ac:dyDescent="0.25">
      <c r="E36" s="148">
        <v>40849</v>
      </c>
      <c r="F36" s="152" t="s">
        <v>54</v>
      </c>
      <c r="G36" s="152">
        <f t="shared" si="0"/>
        <v>112.22214740290001</v>
      </c>
      <c r="H36" s="152">
        <f t="shared" si="1"/>
        <v>103.0454533954</v>
      </c>
      <c r="I36" s="152">
        <v>1</v>
      </c>
      <c r="J36" s="148">
        <f t="shared" si="2"/>
        <v>41213</v>
      </c>
      <c r="K36" s="152">
        <v>0.1</v>
      </c>
      <c r="L36" s="152">
        <v>0.15</v>
      </c>
      <c r="M36" s="152">
        <v>1</v>
      </c>
      <c r="N36" s="10">
        <v>0.05</v>
      </c>
      <c r="O36" s="53">
        <f t="shared" si="3"/>
        <v>7.9077953071618676</v>
      </c>
    </row>
    <row r="37" spans="5:15" x14ac:dyDescent="0.25">
      <c r="E37" s="148">
        <v>40849</v>
      </c>
      <c r="F37" s="152" t="s">
        <v>54</v>
      </c>
      <c r="G37" s="152">
        <f t="shared" si="0"/>
        <v>112.22214740290001</v>
      </c>
      <c r="H37" s="152">
        <f t="shared" si="1"/>
        <v>103.0454533954</v>
      </c>
      <c r="I37" s="152">
        <v>1.1000000000000001</v>
      </c>
      <c r="J37" s="148">
        <f t="shared" si="2"/>
        <v>41213</v>
      </c>
      <c r="K37" s="152">
        <v>0.1</v>
      </c>
      <c r="L37" s="152">
        <v>0.15</v>
      </c>
      <c r="M37" s="152">
        <v>1</v>
      </c>
      <c r="N37" s="10">
        <v>0.05</v>
      </c>
      <c r="O37" s="53">
        <f t="shared" si="3"/>
        <v>7.817172990926748</v>
      </c>
    </row>
    <row r="38" spans="5:15" x14ac:dyDescent="0.25">
      <c r="E38" s="148">
        <v>40849</v>
      </c>
      <c r="F38" s="152" t="s">
        <v>54</v>
      </c>
      <c r="G38" s="152">
        <f t="shared" si="0"/>
        <v>112.22214740290001</v>
      </c>
      <c r="H38" s="152">
        <f t="shared" si="1"/>
        <v>103.0454533954</v>
      </c>
      <c r="I38" s="152">
        <v>1.2</v>
      </c>
      <c r="J38" s="148">
        <f t="shared" si="2"/>
        <v>41213</v>
      </c>
      <c r="K38" s="152">
        <v>0.1</v>
      </c>
      <c r="L38" s="152">
        <v>0.15</v>
      </c>
      <c r="M38" s="152">
        <v>1</v>
      </c>
      <c r="N38" s="10">
        <v>0.05</v>
      </c>
      <c r="O38" s="53">
        <f t="shared" si="3"/>
        <v>7.7266986068924881</v>
      </c>
    </row>
    <row r="39" spans="5:15" x14ac:dyDescent="0.25">
      <c r="E39" s="148">
        <v>40849</v>
      </c>
      <c r="F39" s="152" t="s">
        <v>54</v>
      </c>
      <c r="G39" s="152">
        <f t="shared" si="0"/>
        <v>112.22214740290001</v>
      </c>
      <c r="H39" s="152">
        <f t="shared" si="1"/>
        <v>103.0454533954</v>
      </c>
      <c r="I39" s="152">
        <v>1.3</v>
      </c>
      <c r="J39" s="148">
        <f t="shared" si="2"/>
        <v>41213</v>
      </c>
      <c r="K39" s="152">
        <v>0.1</v>
      </c>
      <c r="L39" s="152">
        <v>0.15</v>
      </c>
      <c r="M39" s="152">
        <v>1</v>
      </c>
      <c r="N39" s="10">
        <v>0.05</v>
      </c>
      <c r="O39" s="53">
        <f t="shared" si="3"/>
        <v>7.636376628473208</v>
      </c>
    </row>
    <row r="40" spans="5:15" x14ac:dyDescent="0.25">
      <c r="E40" s="148">
        <v>40849</v>
      </c>
      <c r="F40" s="152" t="s">
        <v>54</v>
      </c>
      <c r="G40" s="152">
        <f t="shared" si="0"/>
        <v>112.22214740290001</v>
      </c>
      <c r="H40" s="152">
        <f t="shared" si="1"/>
        <v>103.0454533954</v>
      </c>
      <c r="I40" s="152">
        <v>1.4</v>
      </c>
      <c r="J40" s="148">
        <f t="shared" si="2"/>
        <v>41213</v>
      </c>
      <c r="K40" s="152">
        <v>0.1</v>
      </c>
      <c r="L40" s="152">
        <v>0.15</v>
      </c>
      <c r="M40" s="152">
        <v>1</v>
      </c>
      <c r="N40" s="10">
        <v>0.05</v>
      </c>
      <c r="O40" s="53">
        <f t="shared" si="3"/>
        <v>7.546211644524174</v>
      </c>
    </row>
    <row r="41" spans="5:15" x14ac:dyDescent="0.25">
      <c r="E41" s="148">
        <v>40849</v>
      </c>
      <c r="F41" s="152" t="s">
        <v>54</v>
      </c>
      <c r="G41" s="152">
        <f t="shared" si="0"/>
        <v>112.22214740290001</v>
      </c>
      <c r="H41" s="152">
        <f t="shared" si="1"/>
        <v>103.0454533954</v>
      </c>
      <c r="I41" s="152">
        <v>1.5</v>
      </c>
      <c r="J41" s="148">
        <f t="shared" si="2"/>
        <v>41213</v>
      </c>
      <c r="K41" s="152">
        <v>0.1</v>
      </c>
      <c r="L41" s="152">
        <v>0.15</v>
      </c>
      <c r="M41" s="152">
        <v>1</v>
      </c>
      <c r="N41" s="10">
        <v>0.05</v>
      </c>
      <c r="O41" s="53">
        <f t="shared" si="3"/>
        <v>7.4562083613347125</v>
      </c>
    </row>
    <row r="42" spans="5:15" x14ac:dyDescent="0.25">
      <c r="E42" s="148">
        <v>40849</v>
      </c>
      <c r="F42" s="152" t="s">
        <v>54</v>
      </c>
      <c r="G42" s="152">
        <f t="shared" si="0"/>
        <v>112.22214740290001</v>
      </c>
      <c r="H42" s="152">
        <f t="shared" si="1"/>
        <v>103.0454533954</v>
      </c>
      <c r="I42" s="152">
        <v>1.6</v>
      </c>
      <c r="J42" s="148">
        <f t="shared" si="2"/>
        <v>41213</v>
      </c>
      <c r="K42" s="152">
        <v>0.1</v>
      </c>
      <c r="L42" s="152">
        <v>0.15</v>
      </c>
      <c r="M42" s="152">
        <v>1</v>
      </c>
      <c r="N42" s="10">
        <v>0.05</v>
      </c>
      <c r="O42" s="53">
        <f t="shared" si="3"/>
        <v>7.3663716046058649</v>
      </c>
    </row>
    <row r="43" spans="5:15" x14ac:dyDescent="0.25">
      <c r="E43" s="148">
        <v>40849</v>
      </c>
      <c r="F43" s="152" t="s">
        <v>54</v>
      </c>
      <c r="G43" s="152">
        <f t="shared" si="0"/>
        <v>112.22214740290001</v>
      </c>
      <c r="H43" s="152">
        <f t="shared" si="1"/>
        <v>103.0454533954</v>
      </c>
      <c r="I43" s="152">
        <v>1.7</v>
      </c>
      <c r="J43" s="148">
        <f t="shared" si="2"/>
        <v>41213</v>
      </c>
      <c r="K43" s="152">
        <v>0.1</v>
      </c>
      <c r="L43" s="152">
        <v>0.15</v>
      </c>
      <c r="M43" s="152">
        <v>1</v>
      </c>
      <c r="N43" s="10">
        <v>0.05</v>
      </c>
      <c r="O43" s="53">
        <f t="shared" si="3"/>
        <v>7.2767063214081551</v>
      </c>
    </row>
    <row r="44" spans="5:15" x14ac:dyDescent="0.25">
      <c r="E44" s="148">
        <v>40849</v>
      </c>
      <c r="F44" s="152" t="s">
        <v>54</v>
      </c>
      <c r="G44" s="152">
        <f t="shared" si="0"/>
        <v>112.22214740290001</v>
      </c>
      <c r="H44" s="152">
        <f t="shared" si="1"/>
        <v>103.0454533954</v>
      </c>
      <c r="I44" s="152">
        <v>1.8</v>
      </c>
      <c r="J44" s="148">
        <f t="shared" si="2"/>
        <v>41213</v>
      </c>
      <c r="K44" s="152">
        <v>0.1</v>
      </c>
      <c r="L44" s="152">
        <v>0.15</v>
      </c>
      <c r="M44" s="152">
        <v>1</v>
      </c>
      <c r="N44" s="10">
        <v>0.05</v>
      </c>
      <c r="O44" s="53">
        <f t="shared" si="3"/>
        <v>7.1872175821170021</v>
      </c>
    </row>
    <row r="45" spans="5:15" x14ac:dyDescent="0.25">
      <c r="E45" s="148">
        <v>40849</v>
      </c>
      <c r="F45" s="152" t="s">
        <v>54</v>
      </c>
      <c r="G45" s="152">
        <f t="shared" si="0"/>
        <v>112.22214740290001</v>
      </c>
      <c r="H45" s="152">
        <f t="shared" si="1"/>
        <v>103.0454533954</v>
      </c>
      <c r="I45" s="152">
        <v>1.9</v>
      </c>
      <c r="J45" s="148">
        <f t="shared" si="2"/>
        <v>41213</v>
      </c>
      <c r="K45" s="152">
        <v>0.1</v>
      </c>
      <c r="L45" s="152">
        <v>0.15</v>
      </c>
      <c r="M45" s="152">
        <v>1</v>
      </c>
      <c r="N45" s="10">
        <v>0.05</v>
      </c>
      <c r="O45" s="53">
        <f t="shared" si="3"/>
        <v>7.0979105823214352</v>
      </c>
    </row>
    <row r="46" spans="5:15" x14ac:dyDescent="0.25">
      <c r="E46" s="148">
        <v>40849</v>
      </c>
      <c r="F46" s="152" t="s">
        <v>54</v>
      </c>
      <c r="G46" s="152">
        <f t="shared" si="0"/>
        <v>112.22214740290001</v>
      </c>
      <c r="H46" s="152">
        <f t="shared" si="1"/>
        <v>103.0454533954</v>
      </c>
      <c r="I46" s="152">
        <v>2</v>
      </c>
      <c r="J46" s="148">
        <f t="shared" si="2"/>
        <v>41213</v>
      </c>
      <c r="K46" s="152">
        <v>0.1</v>
      </c>
      <c r="L46" s="152">
        <v>0.15</v>
      </c>
      <c r="M46" s="152">
        <v>1</v>
      </c>
      <c r="N46" s="10">
        <v>0.05</v>
      </c>
      <c r="O46" s="53">
        <f t="shared" si="3"/>
        <v>7.00879064470268</v>
      </c>
    </row>
    <row r="47" spans="5:15" x14ac:dyDescent="0.25">
      <c r="E47" s="148">
        <v>40849</v>
      </c>
      <c r="F47" s="152" t="s">
        <v>54</v>
      </c>
      <c r="G47" s="152">
        <f t="shared" si="0"/>
        <v>112.22214740290001</v>
      </c>
      <c r="H47" s="152">
        <f t="shared" si="1"/>
        <v>103.0454533954</v>
      </c>
      <c r="I47" s="152">
        <v>2.1</v>
      </c>
      <c r="J47" s="148">
        <f t="shared" si="2"/>
        <v>41213</v>
      </c>
      <c r="K47" s="152">
        <v>0.1</v>
      </c>
      <c r="L47" s="152">
        <v>0.15</v>
      </c>
      <c r="M47" s="152">
        <v>1</v>
      </c>
      <c r="N47" s="10">
        <v>0.05</v>
      </c>
      <c r="O47" s="53">
        <f t="shared" si="3"/>
        <v>6.9198632208783923</v>
      </c>
    </row>
    <row r="48" spans="5:15" x14ac:dyDescent="0.25">
      <c r="E48" s="148">
        <v>40849</v>
      </c>
      <c r="F48" s="152" t="s">
        <v>54</v>
      </c>
      <c r="G48" s="152">
        <f t="shared" si="0"/>
        <v>112.22214740290001</v>
      </c>
      <c r="H48" s="152">
        <f t="shared" si="1"/>
        <v>103.0454533954</v>
      </c>
      <c r="I48" s="152">
        <v>2.2000000000000002</v>
      </c>
      <c r="J48" s="148">
        <f t="shared" si="2"/>
        <v>41213</v>
      </c>
      <c r="K48" s="152">
        <v>0.1</v>
      </c>
      <c r="L48" s="152">
        <v>0.15</v>
      </c>
      <c r="M48" s="152">
        <v>1</v>
      </c>
      <c r="N48" s="10">
        <v>0.05</v>
      </c>
      <c r="O48" s="53">
        <f t="shared" si="3"/>
        <v>6.8311338932083103</v>
      </c>
    </row>
    <row r="49" spans="5:15" x14ac:dyDescent="0.25">
      <c r="E49" s="148">
        <v>40849</v>
      </c>
      <c r="F49" s="152" t="s">
        <v>54</v>
      </c>
      <c r="G49" s="152">
        <f t="shared" si="0"/>
        <v>112.22214740290001</v>
      </c>
      <c r="H49" s="152">
        <f t="shared" si="1"/>
        <v>103.0454533954</v>
      </c>
      <c r="I49" s="152">
        <v>2.2999999999999998</v>
      </c>
      <c r="J49" s="148">
        <f t="shared" si="2"/>
        <v>41213</v>
      </c>
      <c r="K49" s="152">
        <v>0.1</v>
      </c>
      <c r="L49" s="152">
        <v>0.15</v>
      </c>
      <c r="M49" s="152">
        <v>1</v>
      </c>
      <c r="N49" s="10">
        <v>0.05</v>
      </c>
      <c r="O49" s="53">
        <f t="shared" si="3"/>
        <v>6.7426083765572979</v>
      </c>
    </row>
    <row r="50" spans="5:15" x14ac:dyDescent="0.25">
      <c r="E50" s="148">
        <v>40849</v>
      </c>
      <c r="F50" s="152" t="s">
        <v>54</v>
      </c>
      <c r="G50" s="152">
        <f t="shared" si="0"/>
        <v>112.22214740290001</v>
      </c>
      <c r="H50" s="152">
        <f t="shared" si="1"/>
        <v>103.0454533954</v>
      </c>
      <c r="I50" s="152">
        <v>2.4</v>
      </c>
      <c r="J50" s="148">
        <f t="shared" si="2"/>
        <v>41213</v>
      </c>
      <c r="K50" s="152">
        <v>0.1</v>
      </c>
      <c r="L50" s="152">
        <v>0.15</v>
      </c>
      <c r="M50" s="152">
        <v>1</v>
      </c>
      <c r="N50" s="10">
        <v>0.05</v>
      </c>
      <c r="O50" s="53">
        <f t="shared" si="3"/>
        <v>6.6542925200105936</v>
      </c>
    </row>
    <row r="51" spans="5:15" x14ac:dyDescent="0.25">
      <c r="E51" s="148">
        <v>40849</v>
      </c>
      <c r="F51" s="152" t="s">
        <v>54</v>
      </c>
      <c r="G51" s="152">
        <f t="shared" si="0"/>
        <v>112.22214740290001</v>
      </c>
      <c r="H51" s="152">
        <f t="shared" si="1"/>
        <v>103.0454533954</v>
      </c>
      <c r="I51" s="152">
        <v>2.5</v>
      </c>
      <c r="J51" s="148">
        <f t="shared" si="2"/>
        <v>41213</v>
      </c>
      <c r="K51" s="152">
        <v>0.1</v>
      </c>
      <c r="L51" s="152">
        <v>0.15</v>
      </c>
      <c r="M51" s="152">
        <v>1</v>
      </c>
      <c r="N51" s="10">
        <v>0.05</v>
      </c>
      <c r="O51" s="53">
        <f t="shared" si="3"/>
        <v>6.5661923085372171</v>
      </c>
    </row>
    <row r="52" spans="5:15" x14ac:dyDescent="0.25">
      <c r="E52" s="148">
        <v>40849</v>
      </c>
      <c r="F52" s="152" t="s">
        <v>54</v>
      </c>
      <c r="G52" s="152">
        <f t="shared" si="0"/>
        <v>112.22214740290001</v>
      </c>
      <c r="H52" s="152">
        <f t="shared" si="1"/>
        <v>103.0454533954</v>
      </c>
      <c r="I52" s="152">
        <v>2.6</v>
      </c>
      <c r="J52" s="148">
        <f t="shared" si="2"/>
        <v>41213</v>
      </c>
      <c r="K52" s="152">
        <v>0.1</v>
      </c>
      <c r="L52" s="152">
        <v>0.15</v>
      </c>
      <c r="M52" s="152">
        <v>1</v>
      </c>
      <c r="N52" s="10">
        <v>0.05</v>
      </c>
      <c r="O52" s="53">
        <f t="shared" si="3"/>
        <v>6.4783138645958998</v>
      </c>
    </row>
    <row r="53" spans="5:15" x14ac:dyDescent="0.25">
      <c r="E53" s="148">
        <v>40849</v>
      </c>
      <c r="F53" s="152" t="s">
        <v>54</v>
      </c>
      <c r="G53" s="152">
        <f t="shared" si="0"/>
        <v>112.22214740290001</v>
      </c>
      <c r="H53" s="152">
        <f t="shared" si="1"/>
        <v>103.0454533954</v>
      </c>
      <c r="I53" s="152">
        <v>2.7</v>
      </c>
      <c r="J53" s="148">
        <f t="shared" si="2"/>
        <v>41213</v>
      </c>
      <c r="K53" s="152">
        <v>0.1</v>
      </c>
      <c r="L53" s="152">
        <v>0.15</v>
      </c>
      <c r="M53" s="152">
        <v>1</v>
      </c>
      <c r="N53" s="10">
        <v>0.05</v>
      </c>
      <c r="O53" s="53">
        <f t="shared" si="3"/>
        <v>6.3906634496789776</v>
      </c>
    </row>
    <row r="54" spans="5:15" x14ac:dyDescent="0.25">
      <c r="E54" s="148">
        <v>40849</v>
      </c>
      <c r="F54" s="152" t="s">
        <v>54</v>
      </c>
      <c r="G54" s="152">
        <f t="shared" si="0"/>
        <v>112.22214740290001</v>
      </c>
      <c r="H54" s="152">
        <f t="shared" si="1"/>
        <v>103.0454533954</v>
      </c>
      <c r="I54" s="152">
        <v>2.8</v>
      </c>
      <c r="J54" s="148">
        <f t="shared" si="2"/>
        <v>41213</v>
      </c>
      <c r="K54" s="152">
        <v>0.1</v>
      </c>
      <c r="L54" s="152">
        <v>0.15</v>
      </c>
      <c r="M54" s="152">
        <v>1</v>
      </c>
      <c r="N54" s="10">
        <v>0.05</v>
      </c>
      <c r="O54" s="53">
        <f t="shared" si="3"/>
        <v>6.3032474657882496</v>
      </c>
    </row>
    <row r="55" spans="5:15" x14ac:dyDescent="0.25">
      <c r="E55" s="148">
        <v>40849</v>
      </c>
      <c r="F55" s="152" t="s">
        <v>54</v>
      </c>
      <c r="G55" s="152">
        <f t="shared" si="0"/>
        <v>112.22214740290001</v>
      </c>
      <c r="H55" s="152">
        <f t="shared" si="1"/>
        <v>103.0454533954</v>
      </c>
      <c r="I55" s="152">
        <v>2.9</v>
      </c>
      <c r="J55" s="148">
        <f t="shared" si="2"/>
        <v>41213</v>
      </c>
      <c r="K55" s="152">
        <v>0.1</v>
      </c>
      <c r="L55" s="152">
        <v>0.15</v>
      </c>
      <c r="M55" s="152">
        <v>1</v>
      </c>
      <c r="N55" s="10">
        <v>0.05</v>
      </c>
      <c r="O55" s="53">
        <f t="shared" si="3"/>
        <v>6.2160724568379058</v>
      </c>
    </row>
    <row r="56" spans="5:15" x14ac:dyDescent="0.25">
      <c r="E56" s="148">
        <v>40849</v>
      </c>
      <c r="F56" s="152" t="s">
        <v>54</v>
      </c>
      <c r="G56" s="152">
        <f t="shared" si="0"/>
        <v>112.22214740290001</v>
      </c>
      <c r="H56" s="152">
        <f t="shared" si="1"/>
        <v>103.0454533954</v>
      </c>
      <c r="I56" s="152">
        <v>3</v>
      </c>
      <c r="J56" s="148">
        <f t="shared" si="2"/>
        <v>41213</v>
      </c>
      <c r="K56" s="152">
        <v>0.1</v>
      </c>
      <c r="L56" s="152">
        <v>0.15</v>
      </c>
      <c r="M56" s="152">
        <v>1</v>
      </c>
      <c r="N56" s="10">
        <v>0.05</v>
      </c>
      <c r="O56" s="53">
        <f t="shared" si="3"/>
        <v>6.1291451099782366</v>
      </c>
    </row>
    <row r="57" spans="5:15" x14ac:dyDescent="0.25">
      <c r="E57" s="148">
        <v>40849</v>
      </c>
      <c r="F57" s="152" t="s">
        <v>54</v>
      </c>
      <c r="G57" s="152">
        <f t="shared" si="0"/>
        <v>112.22214740290001</v>
      </c>
      <c r="H57" s="152">
        <f t="shared" si="1"/>
        <v>103.0454533954</v>
      </c>
      <c r="I57" s="152">
        <v>3.1</v>
      </c>
      <c r="J57" s="148">
        <f t="shared" si="2"/>
        <v>41213</v>
      </c>
      <c r="K57" s="152">
        <v>0.1</v>
      </c>
      <c r="L57" s="152">
        <v>0.15</v>
      </c>
      <c r="M57" s="152">
        <v>1</v>
      </c>
      <c r="N57" s="10">
        <v>0.05</v>
      </c>
      <c r="O57" s="53">
        <f t="shared" si="3"/>
        <v>6.0424722568342402</v>
      </c>
    </row>
    <row r="58" spans="5:15" x14ac:dyDescent="0.25">
      <c r="E58" s="148">
        <v>40849</v>
      </c>
      <c r="F58" s="152" t="s">
        <v>54</v>
      </c>
      <c r="G58" s="152">
        <f t="shared" si="0"/>
        <v>112.22214740290001</v>
      </c>
      <c r="H58" s="152">
        <f t="shared" si="1"/>
        <v>103.0454533954</v>
      </c>
      <c r="I58" s="152">
        <v>3.2</v>
      </c>
      <c r="J58" s="148">
        <f t="shared" si="2"/>
        <v>41213</v>
      </c>
      <c r="K58" s="152">
        <v>0.1</v>
      </c>
      <c r="L58" s="152">
        <v>0.15</v>
      </c>
      <c r="M58" s="152">
        <v>1</v>
      </c>
      <c r="N58" s="10">
        <v>0.05</v>
      </c>
      <c r="O58" s="53">
        <f t="shared" si="3"/>
        <v>5.9560608746529198</v>
      </c>
    </row>
    <row r="59" spans="5:15" x14ac:dyDescent="0.25">
      <c r="E59" s="148">
        <v>40849</v>
      </c>
      <c r="F59" s="152" t="s">
        <v>54</v>
      </c>
      <c r="G59" s="152">
        <f t="shared" si="0"/>
        <v>112.22214740290001</v>
      </c>
      <c r="H59" s="152">
        <f t="shared" si="1"/>
        <v>103.0454533954</v>
      </c>
      <c r="I59" s="152">
        <v>3.3</v>
      </c>
      <c r="J59" s="148">
        <f t="shared" si="2"/>
        <v>41213</v>
      </c>
      <c r="K59" s="152">
        <v>0.1</v>
      </c>
      <c r="L59" s="152">
        <v>0.15</v>
      </c>
      <c r="M59" s="152">
        <v>1</v>
      </c>
      <c r="N59" s="10">
        <v>0.05</v>
      </c>
      <c r="O59" s="53">
        <f t="shared" si="3"/>
        <v>5.8699180873529571</v>
      </c>
    </row>
    <row r="60" spans="5:15" x14ac:dyDescent="0.25">
      <c r="E60" s="148">
        <v>40849</v>
      </c>
      <c r="F60" s="152" t="s">
        <v>54</v>
      </c>
      <c r="G60" s="152">
        <f t="shared" si="0"/>
        <v>112.22214740290001</v>
      </c>
      <c r="H60" s="152">
        <f t="shared" si="1"/>
        <v>103.0454533954</v>
      </c>
      <c r="I60" s="152">
        <v>3.4</v>
      </c>
      <c r="J60" s="148">
        <f t="shared" si="2"/>
        <v>41213</v>
      </c>
      <c r="K60" s="152">
        <v>0.1</v>
      </c>
      <c r="L60" s="152">
        <v>0.15</v>
      </c>
      <c r="M60" s="152">
        <v>1</v>
      </c>
      <c r="N60" s="10">
        <v>0.05</v>
      </c>
      <c r="O60" s="53">
        <f t="shared" si="3"/>
        <v>5.7840511664699354</v>
      </c>
    </row>
    <row r="61" spans="5:15" x14ac:dyDescent="0.25">
      <c r="E61" s="148">
        <v>40849</v>
      </c>
      <c r="F61" s="152" t="s">
        <v>54</v>
      </c>
      <c r="G61" s="152">
        <f t="shared" si="0"/>
        <v>112.22214740290001</v>
      </c>
      <c r="H61" s="152">
        <f t="shared" si="1"/>
        <v>103.0454533954</v>
      </c>
      <c r="I61" s="152">
        <v>3.5</v>
      </c>
      <c r="J61" s="148">
        <f t="shared" si="2"/>
        <v>41213</v>
      </c>
      <c r="K61" s="152">
        <v>0.1</v>
      </c>
      <c r="L61" s="152">
        <v>0.15</v>
      </c>
      <c r="M61" s="152">
        <v>1</v>
      </c>
      <c r="N61" s="10">
        <v>0.05</v>
      </c>
      <c r="O61" s="53">
        <f t="shared" si="3"/>
        <v>5.6984675319900102</v>
      </c>
    </row>
    <row r="62" spans="5:15" x14ac:dyDescent="0.25">
      <c r="E62" s="148">
        <v>40849</v>
      </c>
      <c r="F62" s="152" t="s">
        <v>54</v>
      </c>
      <c r="G62" s="152">
        <f t="shared" si="0"/>
        <v>112.22214740290001</v>
      </c>
      <c r="H62" s="152">
        <f t="shared" si="1"/>
        <v>103.0454533954</v>
      </c>
      <c r="I62" s="152">
        <v>3.6</v>
      </c>
      <c r="J62" s="148">
        <f t="shared" si="2"/>
        <v>41213</v>
      </c>
      <c r="K62" s="152">
        <v>0.1</v>
      </c>
      <c r="L62" s="152">
        <v>0.15</v>
      </c>
      <c r="M62" s="152">
        <v>1</v>
      </c>
      <c r="N62" s="10">
        <v>0.05</v>
      </c>
      <c r="O62" s="53">
        <f t="shared" si="3"/>
        <v>5.6131747530656044</v>
      </c>
    </row>
    <row r="63" spans="5:15" x14ac:dyDescent="0.25">
      <c r="E63" s="148">
        <v>40849</v>
      </c>
      <c r="F63" s="152" t="s">
        <v>54</v>
      </c>
      <c r="G63" s="152">
        <f t="shared" si="0"/>
        <v>112.22214740290001</v>
      </c>
      <c r="H63" s="152">
        <f t="shared" si="1"/>
        <v>103.0454533954</v>
      </c>
      <c r="I63" s="152">
        <v>3.7</v>
      </c>
      <c r="J63" s="148">
        <f t="shared" si="2"/>
        <v>41213</v>
      </c>
      <c r="K63" s="152">
        <v>0.1</v>
      </c>
      <c r="L63" s="152">
        <v>0.15</v>
      </c>
      <c r="M63" s="152">
        <v>1</v>
      </c>
      <c r="N63" s="10">
        <v>0.05</v>
      </c>
      <c r="O63" s="53">
        <f t="shared" si="3"/>
        <v>5.5281805486046496</v>
      </c>
    </row>
    <row r="64" spans="5:15" x14ac:dyDescent="0.25">
      <c r="E64" s="148">
        <v>40849</v>
      </c>
      <c r="F64" s="152" t="s">
        <v>54</v>
      </c>
      <c r="G64" s="152">
        <f t="shared" si="0"/>
        <v>112.22214740290001</v>
      </c>
      <c r="H64" s="152">
        <f t="shared" si="1"/>
        <v>103.0454533954</v>
      </c>
      <c r="I64" s="152">
        <v>3.8</v>
      </c>
      <c r="J64" s="148">
        <f t="shared" si="2"/>
        <v>41213</v>
      </c>
      <c r="K64" s="152">
        <v>0.1</v>
      </c>
      <c r="L64" s="152">
        <v>0.15</v>
      </c>
      <c r="M64" s="152">
        <v>1</v>
      </c>
      <c r="N64" s="10">
        <v>0.05</v>
      </c>
      <c r="O64" s="53">
        <f t="shared" si="3"/>
        <v>5.4434927877268704</v>
      </c>
    </row>
    <row r="65" spans="5:15" x14ac:dyDescent="0.25">
      <c r="E65" s="148">
        <v>40849</v>
      </c>
      <c r="F65" s="152" t="s">
        <v>54</v>
      </c>
      <c r="G65" s="152">
        <f t="shared" si="0"/>
        <v>112.22214740290001</v>
      </c>
      <c r="H65" s="152">
        <f t="shared" si="1"/>
        <v>103.0454533954</v>
      </c>
      <c r="I65" s="152">
        <v>3.9</v>
      </c>
      <c r="J65" s="148">
        <f t="shared" si="2"/>
        <v>41213</v>
      </c>
      <c r="K65" s="152">
        <v>0.1</v>
      </c>
      <c r="L65" s="152">
        <v>0.15</v>
      </c>
      <c r="M65" s="152">
        <v>1</v>
      </c>
      <c r="N65" s="10">
        <v>0.05</v>
      </c>
      <c r="O65" s="53">
        <f t="shared" si="3"/>
        <v>5.3591194900786556</v>
      </c>
    </row>
    <row r="66" spans="5:15" x14ac:dyDescent="0.25">
      <c r="E66" s="148">
        <v>40849</v>
      </c>
      <c r="F66" s="152" t="s">
        <v>54</v>
      </c>
      <c r="G66" s="152">
        <f t="shared" si="0"/>
        <v>112.22214740290001</v>
      </c>
      <c r="H66" s="152">
        <f t="shared" si="1"/>
        <v>103.0454533954</v>
      </c>
      <c r="I66" s="152">
        <v>4</v>
      </c>
      <c r="J66" s="148">
        <f t="shared" si="2"/>
        <v>41213</v>
      </c>
      <c r="K66" s="152">
        <v>0.1</v>
      </c>
      <c r="L66" s="152">
        <v>0.15</v>
      </c>
      <c r="M66" s="152">
        <v>1</v>
      </c>
      <c r="N66" s="10">
        <v>0.05</v>
      </c>
      <c r="O66" s="53">
        <f t="shared" si="3"/>
        <v>5.2750688259984289</v>
      </c>
    </row>
    <row r="67" spans="5:15" x14ac:dyDescent="0.25">
      <c r="E67" s="148">
        <v>40849</v>
      </c>
      <c r="F67" s="152" t="s">
        <v>54</v>
      </c>
      <c r="G67" s="152">
        <f t="shared" si="0"/>
        <v>112.22214740290001</v>
      </c>
      <c r="H67" s="152">
        <f t="shared" si="1"/>
        <v>103.0454533954</v>
      </c>
      <c r="I67" s="152">
        <v>4.0999999999999996</v>
      </c>
      <c r="J67" s="148">
        <f t="shared" si="2"/>
        <v>41213</v>
      </c>
      <c r="K67" s="152">
        <v>0.1</v>
      </c>
      <c r="L67" s="152">
        <v>0.15</v>
      </c>
      <c r="M67" s="152">
        <v>1</v>
      </c>
      <c r="N67" s="10">
        <v>0.05</v>
      </c>
      <c r="O67" s="53">
        <f t="shared" si="3"/>
        <v>5.1913491165245942</v>
      </c>
    </row>
    <row r="68" spans="5:15" x14ac:dyDescent="0.25">
      <c r="E68" s="148">
        <v>40849</v>
      </c>
      <c r="F68" s="152" t="s">
        <v>54</v>
      </c>
      <c r="G68" s="152">
        <f t="shared" si="0"/>
        <v>112.22214740290001</v>
      </c>
      <c r="H68" s="152">
        <f t="shared" si="1"/>
        <v>103.0454533954</v>
      </c>
      <c r="I68" s="152">
        <v>4.2</v>
      </c>
      <c r="J68" s="148">
        <f t="shared" si="2"/>
        <v>41213</v>
      </c>
      <c r="K68" s="152">
        <v>0.1</v>
      </c>
      <c r="L68" s="152">
        <v>0.15</v>
      </c>
      <c r="M68" s="152">
        <v>1</v>
      </c>
      <c r="N68" s="10">
        <v>0.05</v>
      </c>
      <c r="O68" s="53">
        <f t="shared" si="3"/>
        <v>5.1079688332369493</v>
      </c>
    </row>
    <row r="69" spans="5:15" x14ac:dyDescent="0.25">
      <c r="E69" s="148">
        <v>40849</v>
      </c>
      <c r="F69" s="152" t="s">
        <v>54</v>
      </c>
      <c r="G69" s="152">
        <f t="shared" si="0"/>
        <v>112.22214740290001</v>
      </c>
      <c r="H69" s="152">
        <f t="shared" si="1"/>
        <v>103.0454533954</v>
      </c>
      <c r="I69" s="152">
        <v>4.3</v>
      </c>
      <c r="J69" s="148">
        <f t="shared" si="2"/>
        <v>41213</v>
      </c>
      <c r="K69" s="152">
        <v>0.1</v>
      </c>
      <c r="L69" s="152">
        <v>0.15</v>
      </c>
      <c r="M69" s="152">
        <v>1</v>
      </c>
      <c r="N69" s="10">
        <v>0.05</v>
      </c>
      <c r="O69" s="53">
        <f t="shared" si="3"/>
        <v>5.0249365979234026</v>
      </c>
    </row>
    <row r="70" spans="5:15" x14ac:dyDescent="0.25">
      <c r="E70" s="148">
        <v>40849</v>
      </c>
      <c r="F70" s="152" t="s">
        <v>54</v>
      </c>
      <c r="G70" s="152">
        <f t="shared" si="0"/>
        <v>112.22214740290001</v>
      </c>
      <c r="H70" s="152">
        <f t="shared" si="1"/>
        <v>103.0454533954</v>
      </c>
      <c r="I70" s="152">
        <v>4.4000000000000004</v>
      </c>
      <c r="J70" s="148">
        <f t="shared" si="2"/>
        <v>41213</v>
      </c>
      <c r="K70" s="152">
        <v>0.1</v>
      </c>
      <c r="L70" s="152">
        <v>0.15</v>
      </c>
      <c r="M70" s="152">
        <v>1</v>
      </c>
      <c r="N70" s="10">
        <v>0.05</v>
      </c>
      <c r="O70" s="53">
        <f t="shared" si="3"/>
        <v>4.9422611820623041</v>
      </c>
    </row>
    <row r="71" spans="5:15" x14ac:dyDescent="0.25">
      <c r="E71" s="148">
        <v>40849</v>
      </c>
      <c r="F71" s="152" t="s">
        <v>54</v>
      </c>
      <c r="G71" s="152">
        <f t="shared" si="0"/>
        <v>112.22214740290001</v>
      </c>
      <c r="H71" s="152">
        <f t="shared" si="1"/>
        <v>103.0454533954</v>
      </c>
      <c r="I71" s="152">
        <v>4.5</v>
      </c>
      <c r="J71" s="148">
        <f t="shared" si="2"/>
        <v>41213</v>
      </c>
      <c r="K71" s="152">
        <v>0.1</v>
      </c>
      <c r="L71" s="152">
        <v>0.15</v>
      </c>
      <c r="M71" s="152">
        <v>1</v>
      </c>
      <c r="N71" s="10">
        <v>0.05</v>
      </c>
      <c r="O71" s="53">
        <f t="shared" si="3"/>
        <v>4.8599515061117025</v>
      </c>
    </row>
    <row r="72" spans="5:15" x14ac:dyDescent="0.25">
      <c r="E72" s="148">
        <v>40849</v>
      </c>
      <c r="F72" s="152" t="s">
        <v>54</v>
      </c>
      <c r="G72" s="152">
        <f t="shared" si="0"/>
        <v>112.22214740290001</v>
      </c>
      <c r="H72" s="152">
        <f t="shared" si="1"/>
        <v>103.0454533954</v>
      </c>
      <c r="I72" s="152">
        <v>4.5999999999999996</v>
      </c>
      <c r="J72" s="148">
        <f t="shared" si="2"/>
        <v>41213</v>
      </c>
      <c r="K72" s="152">
        <v>0.1</v>
      </c>
      <c r="L72" s="152">
        <v>0.15</v>
      </c>
      <c r="M72" s="152">
        <v>1</v>
      </c>
      <c r="N72" s="10">
        <v>0.05</v>
      </c>
      <c r="O72" s="53">
        <f t="shared" si="3"/>
        <v>4.7780166385956448</v>
      </c>
    </row>
    <row r="73" spans="5:15" x14ac:dyDescent="0.25">
      <c r="E73" s="148">
        <v>40849</v>
      </c>
      <c r="F73" s="152" t="s">
        <v>54</v>
      </c>
      <c r="G73" s="152">
        <f t="shared" si="0"/>
        <v>112.22214740290001</v>
      </c>
      <c r="H73" s="152">
        <f t="shared" si="1"/>
        <v>103.0454533954</v>
      </c>
      <c r="I73" s="152">
        <v>4.7</v>
      </c>
      <c r="J73" s="148">
        <f t="shared" si="2"/>
        <v>41213</v>
      </c>
      <c r="K73" s="152">
        <v>0.1</v>
      </c>
      <c r="L73" s="152">
        <v>0.15</v>
      </c>
      <c r="M73" s="152">
        <v>1</v>
      </c>
      <c r="N73" s="10">
        <v>0.05</v>
      </c>
      <c r="O73" s="53">
        <f t="shared" si="3"/>
        <v>4.6964657949778985</v>
      </c>
    </row>
    <row r="74" spans="5:15" x14ac:dyDescent="0.25">
      <c r="E74" s="148">
        <v>40849</v>
      </c>
      <c r="F74" s="152" t="s">
        <v>54</v>
      </c>
      <c r="G74" s="152">
        <f t="shared" si="0"/>
        <v>112.22214740290001</v>
      </c>
      <c r="H74" s="152">
        <f t="shared" si="1"/>
        <v>103.0454533954</v>
      </c>
      <c r="I74" s="152">
        <v>4.8</v>
      </c>
      <c r="J74" s="148">
        <f t="shared" si="2"/>
        <v>41213</v>
      </c>
      <c r="K74" s="152">
        <v>0.1</v>
      </c>
      <c r="L74" s="152">
        <v>0.15</v>
      </c>
      <c r="M74" s="152">
        <v>1</v>
      </c>
      <c r="N74" s="10">
        <v>0.05</v>
      </c>
      <c r="O74" s="53">
        <f t="shared" si="3"/>
        <v>4.6153083363132552</v>
      </c>
    </row>
    <row r="75" spans="5:15" x14ac:dyDescent="0.25">
      <c r="E75" s="148">
        <v>40849</v>
      </c>
      <c r="F75" s="152" t="s">
        <v>54</v>
      </c>
      <c r="G75" s="152">
        <f t="shared" si="0"/>
        <v>112.22214740290001</v>
      </c>
      <c r="H75" s="152">
        <f t="shared" si="1"/>
        <v>103.0454533954</v>
      </c>
      <c r="I75" s="152">
        <v>4.9000000000000004</v>
      </c>
      <c r="J75" s="148">
        <f t="shared" si="2"/>
        <v>41213</v>
      </c>
      <c r="K75" s="152">
        <v>0.1</v>
      </c>
      <c r="L75" s="152">
        <v>0.15</v>
      </c>
      <c r="M75" s="152">
        <v>1</v>
      </c>
      <c r="N75" s="10">
        <v>0.05</v>
      </c>
      <c r="O75" s="53">
        <f t="shared" si="3"/>
        <v>4.5345537676661571</v>
      </c>
    </row>
    <row r="76" spans="5:15" x14ac:dyDescent="0.25">
      <c r="E76" s="148">
        <v>40849</v>
      </c>
      <c r="F76" s="152" t="s">
        <v>54</v>
      </c>
      <c r="G76" s="152">
        <f t="shared" si="0"/>
        <v>112.22214740290001</v>
      </c>
      <c r="H76" s="152">
        <f t="shared" si="1"/>
        <v>103.0454533954</v>
      </c>
      <c r="I76" s="152">
        <v>5</v>
      </c>
      <c r="J76" s="148">
        <f t="shared" si="2"/>
        <v>41213</v>
      </c>
      <c r="K76" s="152">
        <v>0.1</v>
      </c>
      <c r="L76" s="152">
        <v>0.15</v>
      </c>
      <c r="M76" s="152">
        <v>1</v>
      </c>
      <c r="N76" s="10">
        <v>0.05</v>
      </c>
      <c r="O76" s="53">
        <f t="shared" si="3"/>
        <v>4.4542117362861084</v>
      </c>
    </row>
    <row r="77" spans="5:15" x14ac:dyDescent="0.25">
      <c r="E77" s="148">
        <v>40849</v>
      </c>
      <c r="F77" s="152" t="s">
        <v>54</v>
      </c>
      <c r="G77" s="152">
        <f t="shared" si="0"/>
        <v>112.22214740290001</v>
      </c>
      <c r="H77" s="152">
        <f t="shared" si="1"/>
        <v>103.0454533954</v>
      </c>
      <c r="I77" s="152">
        <v>5.0999999999999996</v>
      </c>
      <c r="J77" s="148">
        <f t="shared" si="2"/>
        <v>41213</v>
      </c>
      <c r="K77" s="152">
        <v>0.1</v>
      </c>
      <c r="L77" s="152">
        <v>0.15</v>
      </c>
      <c r="M77" s="152">
        <v>1</v>
      </c>
      <c r="N77" s="10">
        <v>0.05</v>
      </c>
      <c r="O77" s="53">
        <f t="shared" si="3"/>
        <v>4.3742920295295225</v>
      </c>
    </row>
    <row r="78" spans="5:15" x14ac:dyDescent="0.25">
      <c r="E78" s="148">
        <v>40849</v>
      </c>
      <c r="F78" s="152" t="s">
        <v>54</v>
      </c>
      <c r="G78" s="152">
        <f t="shared" si="0"/>
        <v>112.22214740290001</v>
      </c>
      <c r="H78" s="152">
        <f t="shared" si="1"/>
        <v>103.0454533954</v>
      </c>
      <c r="I78" s="152">
        <v>5.2</v>
      </c>
      <c r="J78" s="148">
        <f t="shared" si="2"/>
        <v>41213</v>
      </c>
      <c r="K78" s="152">
        <v>0.1</v>
      </c>
      <c r="L78" s="152">
        <v>0.15</v>
      </c>
      <c r="M78" s="152">
        <v>1</v>
      </c>
      <c r="N78" s="10">
        <v>0.05</v>
      </c>
      <c r="O78" s="53">
        <f t="shared" si="3"/>
        <v>4.2948045725173447</v>
      </c>
    </row>
    <row r="79" spans="5:15" x14ac:dyDescent="0.25">
      <c r="E79" s="148">
        <v>40849</v>
      </c>
      <c r="F79" s="152" t="s">
        <v>54</v>
      </c>
      <c r="G79" s="152">
        <f t="shared" si="0"/>
        <v>112.22214740290001</v>
      </c>
      <c r="H79" s="152">
        <f t="shared" si="1"/>
        <v>103.0454533954</v>
      </c>
      <c r="I79" s="152">
        <v>5.3</v>
      </c>
      <c r="J79" s="148">
        <f t="shared" si="2"/>
        <v>41213</v>
      </c>
      <c r="K79" s="152">
        <v>0.1</v>
      </c>
      <c r="L79" s="152">
        <v>0.15</v>
      </c>
      <c r="M79" s="152">
        <v>1</v>
      </c>
      <c r="N79" s="10">
        <v>0.05</v>
      </c>
      <c r="O79" s="53">
        <f t="shared" si="3"/>
        <v>4.2157594255167972</v>
      </c>
    </row>
    <row r="80" spans="5:15" x14ac:dyDescent="0.25">
      <c r="E80" s="148">
        <v>40849</v>
      </c>
      <c r="F80" s="152" t="s">
        <v>54</v>
      </c>
      <c r="G80" s="152">
        <f t="shared" si="0"/>
        <v>112.22214740290001</v>
      </c>
      <c r="H80" s="152">
        <f t="shared" si="1"/>
        <v>103.0454533954</v>
      </c>
      <c r="I80" s="152">
        <v>5.4</v>
      </c>
      <c r="J80" s="148">
        <f t="shared" si="2"/>
        <v>41213</v>
      </c>
      <c r="K80" s="152">
        <v>0.1</v>
      </c>
      <c r="L80" s="152">
        <v>0.15</v>
      </c>
      <c r="M80" s="152">
        <v>1</v>
      </c>
      <c r="N80" s="10">
        <v>0.05</v>
      </c>
      <c r="O80" s="53">
        <f t="shared" si="3"/>
        <v>4.1371667810370996</v>
      </c>
    </row>
    <row r="81" spans="5:15" x14ac:dyDescent="0.25">
      <c r="E81" s="148">
        <v>40849</v>
      </c>
      <c r="F81" s="152" t="s">
        <v>54</v>
      </c>
      <c r="G81" s="152">
        <f t="shared" si="0"/>
        <v>112.22214740290001</v>
      </c>
      <c r="H81" s="152">
        <f t="shared" si="1"/>
        <v>103.0454533954</v>
      </c>
      <c r="I81" s="152">
        <v>5.5</v>
      </c>
      <c r="J81" s="148">
        <f t="shared" si="2"/>
        <v>41213</v>
      </c>
      <c r="K81" s="152">
        <v>0.1</v>
      </c>
      <c r="L81" s="152">
        <v>0.15</v>
      </c>
      <c r="M81" s="152">
        <v>1</v>
      </c>
      <c r="N81" s="10">
        <v>0.05</v>
      </c>
      <c r="O81" s="53">
        <f t="shared" si="3"/>
        <v>4.0590369606270853</v>
      </c>
    </row>
    <row r="82" spans="5:15" x14ac:dyDescent="0.25">
      <c r="E82" s="148">
        <v>40849</v>
      </c>
      <c r="F82" s="152" t="s">
        <v>54</v>
      </c>
      <c r="G82" s="152">
        <f t="shared" si="0"/>
        <v>112.22214740290001</v>
      </c>
      <c r="H82" s="152">
        <f t="shared" si="1"/>
        <v>103.0454533954</v>
      </c>
      <c r="I82" s="152">
        <v>5.6</v>
      </c>
      <c r="J82" s="148">
        <f t="shared" si="2"/>
        <v>41213</v>
      </c>
      <c r="K82" s="152">
        <v>0.1</v>
      </c>
      <c r="L82" s="152">
        <v>0.15</v>
      </c>
      <c r="M82" s="152">
        <v>1</v>
      </c>
      <c r="N82" s="10">
        <v>0.05</v>
      </c>
      <c r="O82" s="53">
        <f t="shared" si="3"/>
        <v>3.9813804113636211</v>
      </c>
    </row>
    <row r="83" spans="5:15" x14ac:dyDescent="0.25">
      <c r="E83" s="148">
        <v>40849</v>
      </c>
      <c r="F83" s="152" t="s">
        <v>54</v>
      </c>
      <c r="G83" s="152">
        <f t="shared" si="0"/>
        <v>112.22214740290001</v>
      </c>
      <c r="H83" s="152">
        <f t="shared" si="1"/>
        <v>103.0454533954</v>
      </c>
      <c r="I83" s="152">
        <v>5.7</v>
      </c>
      <c r="J83" s="148">
        <f t="shared" si="2"/>
        <v>41213</v>
      </c>
      <c r="K83" s="152">
        <v>0.1</v>
      </c>
      <c r="L83" s="152">
        <v>0.15</v>
      </c>
      <c r="M83" s="152">
        <v>1</v>
      </c>
      <c r="N83" s="10">
        <v>0.05</v>
      </c>
      <c r="O83" s="53">
        <f t="shared" si="3"/>
        <v>3.904207702019336</v>
      </c>
    </row>
    <row r="84" spans="5:15" x14ac:dyDescent="0.25">
      <c r="E84" s="148">
        <v>40849</v>
      </c>
      <c r="F84" s="152" t="s">
        <v>54</v>
      </c>
      <c r="G84" s="152">
        <f t="shared" si="0"/>
        <v>112.22214740290001</v>
      </c>
      <c r="H84" s="152">
        <f t="shared" si="1"/>
        <v>103.0454533954</v>
      </c>
      <c r="I84" s="152">
        <v>5.8</v>
      </c>
      <c r="J84" s="148">
        <f t="shared" si="2"/>
        <v>41213</v>
      </c>
      <c r="K84" s="152">
        <v>0.1</v>
      </c>
      <c r="L84" s="152">
        <v>0.15</v>
      </c>
      <c r="M84" s="152">
        <v>1</v>
      </c>
      <c r="N84" s="10">
        <v>0.05</v>
      </c>
      <c r="O84" s="53">
        <f t="shared" si="3"/>
        <v>3.827529518897868</v>
      </c>
    </row>
    <row r="85" spans="5:15" x14ac:dyDescent="0.25">
      <c r="E85" s="148">
        <v>40849</v>
      </c>
      <c r="F85" s="152" t="s">
        <v>54</v>
      </c>
      <c r="G85" s="152">
        <f t="shared" si="0"/>
        <v>112.22214740290001</v>
      </c>
      <c r="H85" s="152">
        <f t="shared" si="1"/>
        <v>103.0454533954</v>
      </c>
      <c r="I85" s="152">
        <v>5.9</v>
      </c>
      <c r="J85" s="148">
        <f t="shared" si="2"/>
        <v>41213</v>
      </c>
      <c r="K85" s="152">
        <v>0.1</v>
      </c>
      <c r="L85" s="152">
        <v>0.15</v>
      </c>
      <c r="M85" s="152">
        <v>1</v>
      </c>
      <c r="N85" s="10">
        <v>0.05</v>
      </c>
      <c r="O85" s="53">
        <f t="shared" si="3"/>
        <v>3.7513566613249525</v>
      </c>
    </row>
    <row r="86" spans="5:15" x14ac:dyDescent="0.25">
      <c r="E86" s="148">
        <v>40849</v>
      </c>
      <c r="F86" s="152" t="s">
        <v>54</v>
      </c>
      <c r="G86" s="152">
        <f t="shared" si="0"/>
        <v>112.22214740290001</v>
      </c>
      <c r="H86" s="152">
        <f t="shared" si="1"/>
        <v>103.0454533954</v>
      </c>
      <c r="I86" s="152">
        <v>6</v>
      </c>
      <c r="J86" s="148">
        <f t="shared" si="2"/>
        <v>41213</v>
      </c>
      <c r="K86" s="152">
        <v>0.1</v>
      </c>
      <c r="L86" s="152">
        <v>0.15</v>
      </c>
      <c r="M86" s="152">
        <v>1</v>
      </c>
      <c r="N86" s="10">
        <v>0.05</v>
      </c>
      <c r="O86" s="53">
        <f t="shared" si="3"/>
        <v>3.675700036783768</v>
      </c>
    </row>
    <row r="87" spans="5:15" x14ac:dyDescent="0.25">
      <c r="E87" s="148">
        <v>40849</v>
      </c>
      <c r="F87" s="152" t="s">
        <v>54</v>
      </c>
      <c r="G87" s="152">
        <f t="shared" si="0"/>
        <v>112.22214740290001</v>
      </c>
      <c r="H87" s="152">
        <f t="shared" si="1"/>
        <v>103.0454533954</v>
      </c>
      <c r="I87" s="152">
        <v>6.1</v>
      </c>
      <c r="J87" s="148">
        <f t="shared" si="2"/>
        <v>41213</v>
      </c>
      <c r="K87" s="152">
        <v>0.1</v>
      </c>
      <c r="L87" s="152">
        <v>0.15</v>
      </c>
      <c r="M87" s="152">
        <v>1</v>
      </c>
      <c r="N87" s="10">
        <v>0.05</v>
      </c>
      <c r="O87" s="53">
        <f t="shared" si="3"/>
        <v>3.600570655682414</v>
      </c>
    </row>
    <row r="88" spans="5:15" x14ac:dyDescent="0.25">
      <c r="E88" s="148">
        <v>40849</v>
      </c>
      <c r="F88" s="152" t="s">
        <v>54</v>
      </c>
      <c r="G88" s="152">
        <f t="shared" si="0"/>
        <v>112.22214740290001</v>
      </c>
      <c r="H88" s="152">
        <f t="shared" si="1"/>
        <v>103.0454533954</v>
      </c>
      <c r="I88" s="152">
        <v>6.2</v>
      </c>
      <c r="J88" s="148">
        <f t="shared" si="2"/>
        <v>41213</v>
      </c>
      <c r="K88" s="152">
        <v>0.1</v>
      </c>
      <c r="L88" s="152">
        <v>0.15</v>
      </c>
      <c r="M88" s="152">
        <v>1</v>
      </c>
      <c r="N88" s="10">
        <v>0.05</v>
      </c>
      <c r="O88" s="53">
        <f t="shared" si="3"/>
        <v>3.5259796257422611</v>
      </c>
    </row>
    <row r="89" spans="5:15" x14ac:dyDescent="0.25">
      <c r="E89" s="148">
        <v>40849</v>
      </c>
      <c r="F89" s="152" t="s">
        <v>54</v>
      </c>
      <c r="G89" s="152">
        <f t="shared" si="0"/>
        <v>112.22214740290001</v>
      </c>
      <c r="H89" s="152">
        <f t="shared" si="1"/>
        <v>103.0454533954</v>
      </c>
      <c r="I89" s="152">
        <v>6.3</v>
      </c>
      <c r="J89" s="148">
        <f t="shared" si="2"/>
        <v>41213</v>
      </c>
      <c r="K89" s="152">
        <v>0.1</v>
      </c>
      <c r="L89" s="152">
        <v>0.15</v>
      </c>
      <c r="M89" s="152">
        <v>1</v>
      </c>
      <c r="N89" s="10">
        <v>0.05</v>
      </c>
      <c r="O89" s="53">
        <f t="shared" si="3"/>
        <v>3.4519381459950687</v>
      </c>
    </row>
    <row r="90" spans="5:15" x14ac:dyDescent="0.25">
      <c r="E90" s="148">
        <v>40849</v>
      </c>
      <c r="F90" s="152" t="s">
        <v>54</v>
      </c>
      <c r="G90" s="152">
        <f t="shared" si="0"/>
        <v>112.22214740290001</v>
      </c>
      <c r="H90" s="152">
        <f t="shared" si="1"/>
        <v>103.0454533954</v>
      </c>
      <c r="I90" s="152">
        <v>6.4</v>
      </c>
      <c r="J90" s="148">
        <f t="shared" si="2"/>
        <v>41213</v>
      </c>
      <c r="K90" s="152">
        <v>0.1</v>
      </c>
      <c r="L90" s="152">
        <v>0.15</v>
      </c>
      <c r="M90" s="152">
        <v>1</v>
      </c>
      <c r="N90" s="10">
        <v>0.05</v>
      </c>
      <c r="O90" s="53">
        <f t="shared" si="3"/>
        <v>3.3784575003773978</v>
      </c>
    </row>
    <row r="91" spans="5:15" x14ac:dyDescent="0.25">
      <c r="E91" s="148">
        <v>40849</v>
      </c>
      <c r="F91" s="152" t="s">
        <v>54</v>
      </c>
      <c r="G91" s="152">
        <f t="shared" ref="G91:G154" si="4">ROUND(EXP(0.02)*110,10)</f>
        <v>112.22214740290001</v>
      </c>
      <c r="H91" s="152">
        <f t="shared" ref="H91:H154" si="5">ROUND(EXP(0.03)*100,10)</f>
        <v>103.0454533954</v>
      </c>
      <c r="I91" s="152">
        <v>6.5</v>
      </c>
      <c r="J91" s="148">
        <f t="shared" ref="J91:J95" si="6">E91+364</f>
        <v>41213</v>
      </c>
      <c r="K91" s="152">
        <v>0.1</v>
      </c>
      <c r="L91" s="152">
        <v>0.15</v>
      </c>
      <c r="M91" s="152">
        <v>1</v>
      </c>
      <c r="N91" s="10">
        <v>0.05</v>
      </c>
      <c r="O91" s="53">
        <f t="shared" ref="O91:O95" si="7">AsianSpread(E91,F91,G91,H91,I91,J91,K91,L91,M91,N91)</f>
        <v>3.3055490509110301</v>
      </c>
    </row>
    <row r="92" spans="5:15" x14ac:dyDescent="0.25">
      <c r="E92" s="148">
        <v>40849</v>
      </c>
      <c r="F92" s="152" t="s">
        <v>54</v>
      </c>
      <c r="G92" s="152">
        <f t="shared" si="4"/>
        <v>112.22214740290001</v>
      </c>
      <c r="H92" s="152">
        <f t="shared" si="5"/>
        <v>103.0454533954</v>
      </c>
      <c r="I92" s="152">
        <v>6.6</v>
      </c>
      <c r="J92" s="148">
        <f t="shared" si="6"/>
        <v>41213</v>
      </c>
      <c r="K92" s="152">
        <v>0.1</v>
      </c>
      <c r="L92" s="152">
        <v>0.15</v>
      </c>
      <c r="M92" s="152">
        <v>1</v>
      </c>
      <c r="N92" s="10">
        <v>0.05</v>
      </c>
      <c r="O92" s="53">
        <f t="shared" si="7"/>
        <v>3.2332242304579792</v>
      </c>
    </row>
    <row r="93" spans="5:15" x14ac:dyDescent="0.25">
      <c r="E93" s="148">
        <v>40849</v>
      </c>
      <c r="F93" s="152" t="s">
        <v>54</v>
      </c>
      <c r="G93" s="152">
        <f t="shared" si="4"/>
        <v>112.22214740290001</v>
      </c>
      <c r="H93" s="152">
        <f t="shared" si="5"/>
        <v>103.0454533954</v>
      </c>
      <c r="I93" s="152">
        <v>6.7</v>
      </c>
      <c r="J93" s="148">
        <f t="shared" si="6"/>
        <v>41213</v>
      </c>
      <c r="K93" s="152">
        <v>0.1</v>
      </c>
      <c r="L93" s="152">
        <v>0.15</v>
      </c>
      <c r="M93" s="152">
        <v>1</v>
      </c>
      <c r="N93" s="10">
        <v>0.05</v>
      </c>
      <c r="O93" s="53">
        <f t="shared" si="7"/>
        <v>3.1614945350390475</v>
      </c>
    </row>
    <row r="94" spans="5:15" x14ac:dyDescent="0.25">
      <c r="E94" s="148">
        <v>40849</v>
      </c>
      <c r="F94" s="152" t="s">
        <v>54</v>
      </c>
      <c r="G94" s="152">
        <f t="shared" si="4"/>
        <v>112.22214740290001</v>
      </c>
      <c r="H94" s="152">
        <f t="shared" si="5"/>
        <v>103.0454533954</v>
      </c>
      <c r="I94" s="152">
        <v>6.8</v>
      </c>
      <c r="J94" s="148">
        <f t="shared" si="6"/>
        <v>41213</v>
      </c>
      <c r="K94" s="152">
        <v>0.1</v>
      </c>
      <c r="L94" s="152">
        <v>0.15</v>
      </c>
      <c r="M94" s="152">
        <v>1</v>
      </c>
      <c r="N94" s="10">
        <v>0.05</v>
      </c>
      <c r="O94" s="53">
        <f t="shared" si="7"/>
        <v>3.090371515705375</v>
      </c>
    </row>
    <row r="95" spans="5:15" x14ac:dyDescent="0.25">
      <c r="E95" s="148">
        <v>40849</v>
      </c>
      <c r="F95" s="152" t="s">
        <v>54</v>
      </c>
      <c r="G95" s="152">
        <f t="shared" si="4"/>
        <v>112.22214740290001</v>
      </c>
      <c r="H95" s="152">
        <f t="shared" si="5"/>
        <v>103.0454533954</v>
      </c>
      <c r="I95" s="152">
        <v>6.9</v>
      </c>
      <c r="J95" s="148">
        <f t="shared" si="6"/>
        <v>41213</v>
      </c>
      <c r="K95" s="152">
        <v>0.1</v>
      </c>
      <c r="L95" s="152">
        <v>0.15</v>
      </c>
      <c r="M95" s="152">
        <v>1</v>
      </c>
      <c r="N95" s="10">
        <v>0.05</v>
      </c>
      <c r="O95" s="53">
        <f t="shared" si="7"/>
        <v>3.0198667699526118</v>
      </c>
    </row>
    <row r="96" spans="5:15" x14ac:dyDescent="0.25">
      <c r="E96" s="148">
        <v>40850</v>
      </c>
      <c r="F96" s="152" t="s">
        <v>54</v>
      </c>
      <c r="G96" s="152">
        <f t="shared" si="4"/>
        <v>112.22214740290001</v>
      </c>
      <c r="H96" s="152">
        <f t="shared" si="5"/>
        <v>103.0454533954</v>
      </c>
      <c r="I96" s="152">
        <v>7.9</v>
      </c>
      <c r="J96" s="148">
        <f t="shared" ref="J96:J159" si="8">E96+364</f>
        <v>41214</v>
      </c>
      <c r="K96" s="152">
        <v>0.1</v>
      </c>
      <c r="L96" s="152">
        <v>0.15</v>
      </c>
      <c r="M96" s="152">
        <v>1</v>
      </c>
      <c r="N96" s="10">
        <v>0.05</v>
      </c>
      <c r="O96" s="53">
        <f t="shared" ref="O96:O159" si="9">AsianSpread(E96,F96,G96,H96,I96,J96,K96,L96,M96,N96)</f>
        <v>2.3513894321952371</v>
      </c>
    </row>
    <row r="97" spans="5:15" x14ac:dyDescent="0.25">
      <c r="E97" s="148">
        <v>40851</v>
      </c>
      <c r="F97" s="152" t="s">
        <v>54</v>
      </c>
      <c r="G97" s="152">
        <f t="shared" si="4"/>
        <v>112.22214740290001</v>
      </c>
      <c r="H97" s="152">
        <f t="shared" si="5"/>
        <v>103.0454533954</v>
      </c>
      <c r="I97" s="152">
        <v>8.9</v>
      </c>
      <c r="J97" s="148">
        <f t="shared" si="8"/>
        <v>41215</v>
      </c>
      <c r="K97" s="152">
        <v>0.1</v>
      </c>
      <c r="L97" s="152">
        <v>0.15</v>
      </c>
      <c r="M97" s="152">
        <v>1</v>
      </c>
      <c r="N97" s="10">
        <v>0.05</v>
      </c>
      <c r="O97" s="53">
        <f t="shared" si="9"/>
        <v>1.757429337371488</v>
      </c>
    </row>
    <row r="98" spans="5:15" x14ac:dyDescent="0.25">
      <c r="E98" s="148">
        <v>40852</v>
      </c>
      <c r="F98" s="152" t="s">
        <v>54</v>
      </c>
      <c r="G98" s="152">
        <f t="shared" si="4"/>
        <v>112.22214740290001</v>
      </c>
      <c r="H98" s="152">
        <f t="shared" si="5"/>
        <v>103.0454533954</v>
      </c>
      <c r="I98" s="152">
        <v>9.9</v>
      </c>
      <c r="J98" s="148">
        <f t="shared" si="8"/>
        <v>41216</v>
      </c>
      <c r="K98" s="152">
        <v>0.1</v>
      </c>
      <c r="L98" s="152">
        <v>0.15</v>
      </c>
      <c r="M98" s="152">
        <v>1</v>
      </c>
      <c r="N98" s="10">
        <v>0.05</v>
      </c>
      <c r="O98" s="53">
        <f t="shared" si="9"/>
        <v>1.2484558892443987</v>
      </c>
    </row>
    <row r="99" spans="5:15" x14ac:dyDescent="0.25">
      <c r="E99" s="148">
        <v>40853</v>
      </c>
      <c r="F99" s="152" t="s">
        <v>54</v>
      </c>
      <c r="G99" s="152">
        <f t="shared" si="4"/>
        <v>112.22214740290001</v>
      </c>
      <c r="H99" s="152">
        <f t="shared" si="5"/>
        <v>103.0454533954</v>
      </c>
      <c r="I99" s="152">
        <v>10.9</v>
      </c>
      <c r="J99" s="148">
        <f t="shared" si="8"/>
        <v>41217</v>
      </c>
      <c r="K99" s="152">
        <v>0.1</v>
      </c>
      <c r="L99" s="152">
        <v>0.15</v>
      </c>
      <c r="M99" s="152">
        <v>1</v>
      </c>
      <c r="N99" s="10">
        <v>0.05</v>
      </c>
      <c r="O99" s="53">
        <f t="shared" si="9"/>
        <v>0.83219560802421777</v>
      </c>
    </row>
    <row r="100" spans="5:15" x14ac:dyDescent="0.25">
      <c r="E100" s="148">
        <v>40854</v>
      </c>
      <c r="F100" s="152" t="s">
        <v>54</v>
      </c>
      <c r="G100" s="152">
        <f t="shared" si="4"/>
        <v>112.22214740290001</v>
      </c>
      <c r="H100" s="152">
        <f t="shared" si="5"/>
        <v>103.0454533954</v>
      </c>
      <c r="I100" s="152">
        <v>11.9</v>
      </c>
      <c r="J100" s="148">
        <f t="shared" si="8"/>
        <v>41218</v>
      </c>
      <c r="K100" s="152">
        <v>0.1</v>
      </c>
      <c r="L100" s="152">
        <v>0.15</v>
      </c>
      <c r="M100" s="152">
        <v>1</v>
      </c>
      <c r="N100" s="10">
        <v>0.05</v>
      </c>
      <c r="O100" s="53">
        <f t="shared" si="9"/>
        <v>0.51163892755455898</v>
      </c>
    </row>
    <row r="101" spans="5:15" x14ac:dyDescent="0.25">
      <c r="E101" s="148">
        <v>40855</v>
      </c>
      <c r="F101" s="152" t="s">
        <v>54</v>
      </c>
      <c r="G101" s="152">
        <f t="shared" si="4"/>
        <v>112.22214740290001</v>
      </c>
      <c r="H101" s="152">
        <f t="shared" si="5"/>
        <v>103.0454533954</v>
      </c>
      <c r="I101" s="152">
        <v>12.9</v>
      </c>
      <c r="J101" s="148">
        <f t="shared" si="8"/>
        <v>41219</v>
      </c>
      <c r="K101" s="152">
        <v>0.1</v>
      </c>
      <c r="L101" s="152">
        <v>0.15</v>
      </c>
      <c r="M101" s="152">
        <v>1</v>
      </c>
      <c r="N101" s="10">
        <v>0.05</v>
      </c>
      <c r="O101" s="53">
        <f t="shared" si="9"/>
        <v>0.28325425035748153</v>
      </c>
    </row>
    <row r="102" spans="5:15" x14ac:dyDescent="0.25">
      <c r="E102" s="148">
        <v>40856</v>
      </c>
      <c r="F102" s="152" t="s">
        <v>54</v>
      </c>
      <c r="G102" s="152">
        <f t="shared" si="4"/>
        <v>112.22214740290001</v>
      </c>
      <c r="H102" s="152">
        <f t="shared" si="5"/>
        <v>103.0454533954</v>
      </c>
      <c r="I102" s="152">
        <v>13.9</v>
      </c>
      <c r="J102" s="148">
        <f t="shared" si="8"/>
        <v>41220</v>
      </c>
      <c r="K102" s="152">
        <v>0.1</v>
      </c>
      <c r="L102" s="152">
        <v>0.15</v>
      </c>
      <c r="M102" s="152">
        <v>1</v>
      </c>
      <c r="N102" s="10">
        <v>0.05</v>
      </c>
      <c r="O102" s="53">
        <f t="shared" si="9"/>
        <v>0.1362075740918075</v>
      </c>
    </row>
    <row r="103" spans="5:15" x14ac:dyDescent="0.25">
      <c r="E103" s="148">
        <v>40857</v>
      </c>
      <c r="F103" s="152" t="s">
        <v>54</v>
      </c>
      <c r="G103" s="152">
        <f t="shared" si="4"/>
        <v>112.22214740290001</v>
      </c>
      <c r="H103" s="152">
        <f t="shared" si="5"/>
        <v>103.0454533954</v>
      </c>
      <c r="I103" s="152">
        <v>14.9</v>
      </c>
      <c r="J103" s="148">
        <f t="shared" si="8"/>
        <v>41221</v>
      </c>
      <c r="K103" s="152">
        <v>0.1</v>
      </c>
      <c r="L103" s="152">
        <v>0.15</v>
      </c>
      <c r="M103" s="152">
        <v>1</v>
      </c>
      <c r="N103" s="10">
        <v>0.05</v>
      </c>
      <c r="O103" s="53">
        <f t="shared" si="9"/>
        <v>5.341348983831689E-2</v>
      </c>
    </row>
    <row r="104" spans="5:15" x14ac:dyDescent="0.25">
      <c r="E104" s="148">
        <v>40858</v>
      </c>
      <c r="F104" s="152" t="s">
        <v>54</v>
      </c>
      <c r="G104" s="152">
        <f t="shared" si="4"/>
        <v>112.22214740290001</v>
      </c>
      <c r="H104" s="152">
        <f t="shared" si="5"/>
        <v>103.0454533954</v>
      </c>
      <c r="I104" s="152">
        <v>15.9</v>
      </c>
      <c r="J104" s="148">
        <f t="shared" si="8"/>
        <v>41222</v>
      </c>
      <c r="K104" s="152">
        <v>0.1</v>
      </c>
      <c r="L104" s="152">
        <v>0.15</v>
      </c>
      <c r="M104" s="152">
        <v>1</v>
      </c>
      <c r="N104" s="10">
        <v>0.05</v>
      </c>
      <c r="O104" s="53">
        <f t="shared" si="9"/>
        <v>1.4675479585564481E-2</v>
      </c>
    </row>
    <row r="105" spans="5:15" x14ac:dyDescent="0.25">
      <c r="E105" s="148">
        <v>40859</v>
      </c>
      <c r="F105" s="152" t="s">
        <v>54</v>
      </c>
      <c r="G105" s="152">
        <f t="shared" si="4"/>
        <v>112.22214740290001</v>
      </c>
      <c r="H105" s="152">
        <f t="shared" si="5"/>
        <v>103.0454533954</v>
      </c>
      <c r="I105" s="152">
        <v>16.899999999999999</v>
      </c>
      <c r="J105" s="148">
        <f t="shared" si="8"/>
        <v>41223</v>
      </c>
      <c r="K105" s="152">
        <v>0.1</v>
      </c>
      <c r="L105" s="152">
        <v>0.15</v>
      </c>
      <c r="M105" s="152">
        <v>1</v>
      </c>
      <c r="N105" s="10">
        <v>0.05</v>
      </c>
      <c r="O105" s="53">
        <f t="shared" si="9"/>
        <v>1.0330813881473113E-3</v>
      </c>
    </row>
    <row r="106" spans="5:15" x14ac:dyDescent="0.25">
      <c r="E106" s="148">
        <v>40860</v>
      </c>
      <c r="F106" s="152" t="s">
        <v>54</v>
      </c>
      <c r="G106" s="152">
        <f t="shared" si="4"/>
        <v>112.22214740290001</v>
      </c>
      <c r="H106" s="152">
        <f t="shared" si="5"/>
        <v>103.0454533954</v>
      </c>
      <c r="I106" s="152">
        <v>17.899999999999999</v>
      </c>
      <c r="J106" s="148">
        <f t="shared" si="8"/>
        <v>41224</v>
      </c>
      <c r="K106" s="152">
        <v>0.1</v>
      </c>
      <c r="L106" s="152">
        <v>0.15</v>
      </c>
      <c r="M106" s="152">
        <v>1</v>
      </c>
      <c r="N106" s="10">
        <v>0.05</v>
      </c>
      <c r="O106" s="53">
        <f t="shared" si="9"/>
        <v>0</v>
      </c>
    </row>
    <row r="107" spans="5:15" x14ac:dyDescent="0.25">
      <c r="E107" s="148">
        <v>40861</v>
      </c>
      <c r="F107" s="152" t="s">
        <v>54</v>
      </c>
      <c r="G107" s="152">
        <f t="shared" si="4"/>
        <v>112.22214740290001</v>
      </c>
      <c r="H107" s="152">
        <f t="shared" si="5"/>
        <v>103.0454533954</v>
      </c>
      <c r="I107" s="152">
        <v>18.899999999999999</v>
      </c>
      <c r="J107" s="148">
        <f t="shared" si="8"/>
        <v>41225</v>
      </c>
      <c r="K107" s="152">
        <v>0.1</v>
      </c>
      <c r="L107" s="152">
        <v>0.15</v>
      </c>
      <c r="M107" s="152">
        <v>1</v>
      </c>
      <c r="N107" s="10">
        <v>0.05</v>
      </c>
      <c r="O107" s="53">
        <f t="shared" si="9"/>
        <v>0</v>
      </c>
    </row>
    <row r="108" spans="5:15" x14ac:dyDescent="0.25">
      <c r="E108" s="148">
        <v>40862</v>
      </c>
      <c r="F108" s="152" t="s">
        <v>54</v>
      </c>
      <c r="G108" s="152">
        <f t="shared" si="4"/>
        <v>112.22214740290001</v>
      </c>
      <c r="H108" s="152">
        <f t="shared" si="5"/>
        <v>103.0454533954</v>
      </c>
      <c r="I108" s="152">
        <v>19.899999999999999</v>
      </c>
      <c r="J108" s="148">
        <f t="shared" si="8"/>
        <v>41226</v>
      </c>
      <c r="K108" s="152">
        <v>0.1</v>
      </c>
      <c r="L108" s="152">
        <v>0.15</v>
      </c>
      <c r="M108" s="152">
        <v>1</v>
      </c>
      <c r="N108" s="10">
        <v>0.05</v>
      </c>
      <c r="O108" s="53">
        <f t="shared" si="9"/>
        <v>0</v>
      </c>
    </row>
    <row r="109" spans="5:15" x14ac:dyDescent="0.25">
      <c r="E109" s="148">
        <v>40863</v>
      </c>
      <c r="F109" s="152" t="s">
        <v>54</v>
      </c>
      <c r="G109" s="152">
        <f t="shared" si="4"/>
        <v>112.22214740290001</v>
      </c>
      <c r="H109" s="152">
        <f t="shared" si="5"/>
        <v>103.0454533954</v>
      </c>
      <c r="I109" s="152">
        <v>20.9</v>
      </c>
      <c r="J109" s="148">
        <f t="shared" si="8"/>
        <v>41227</v>
      </c>
      <c r="K109" s="152">
        <v>0.1</v>
      </c>
      <c r="L109" s="152">
        <v>0.15</v>
      </c>
      <c r="M109" s="152">
        <v>1</v>
      </c>
      <c r="N109" s="10">
        <v>0.05</v>
      </c>
      <c r="O109" s="53">
        <f t="shared" si="9"/>
        <v>0</v>
      </c>
    </row>
    <row r="110" spans="5:15" x14ac:dyDescent="0.25">
      <c r="E110" s="148">
        <v>40864</v>
      </c>
      <c r="F110" s="152" t="s">
        <v>54</v>
      </c>
      <c r="G110" s="152">
        <f t="shared" si="4"/>
        <v>112.22214740290001</v>
      </c>
      <c r="H110" s="152">
        <f t="shared" si="5"/>
        <v>103.0454533954</v>
      </c>
      <c r="I110" s="152">
        <v>21.9</v>
      </c>
      <c r="J110" s="148">
        <f t="shared" si="8"/>
        <v>41228</v>
      </c>
      <c r="K110" s="152">
        <v>0.1</v>
      </c>
      <c r="L110" s="152">
        <v>0.15</v>
      </c>
      <c r="M110" s="152">
        <v>1</v>
      </c>
      <c r="N110" s="10">
        <v>0.05</v>
      </c>
      <c r="O110" s="53">
        <f t="shared" si="9"/>
        <v>0</v>
      </c>
    </row>
    <row r="111" spans="5:15" x14ac:dyDescent="0.25">
      <c r="E111" s="148">
        <v>40865</v>
      </c>
      <c r="F111" s="152" t="s">
        <v>54</v>
      </c>
      <c r="G111" s="152">
        <f t="shared" si="4"/>
        <v>112.22214740290001</v>
      </c>
      <c r="H111" s="152">
        <f t="shared" si="5"/>
        <v>103.0454533954</v>
      </c>
      <c r="I111" s="152">
        <v>22.9</v>
      </c>
      <c r="J111" s="148">
        <f t="shared" si="8"/>
        <v>41229</v>
      </c>
      <c r="K111" s="152">
        <v>0.1</v>
      </c>
      <c r="L111" s="152">
        <v>0.15</v>
      </c>
      <c r="M111" s="152">
        <v>1</v>
      </c>
      <c r="N111" s="10">
        <v>0.05</v>
      </c>
      <c r="O111" s="53">
        <f t="shared" si="9"/>
        <v>0</v>
      </c>
    </row>
    <row r="112" spans="5:15" x14ac:dyDescent="0.25">
      <c r="E112" s="148">
        <v>40866</v>
      </c>
      <c r="F112" s="152" t="s">
        <v>54</v>
      </c>
      <c r="G112" s="152">
        <f t="shared" si="4"/>
        <v>112.22214740290001</v>
      </c>
      <c r="H112" s="152">
        <f t="shared" si="5"/>
        <v>103.0454533954</v>
      </c>
      <c r="I112" s="152">
        <v>23.9</v>
      </c>
      <c r="J112" s="148">
        <f t="shared" si="8"/>
        <v>41230</v>
      </c>
      <c r="K112" s="152">
        <v>0.1</v>
      </c>
      <c r="L112" s="152">
        <v>0.15</v>
      </c>
      <c r="M112" s="152">
        <v>1</v>
      </c>
      <c r="N112" s="10">
        <v>0.05</v>
      </c>
      <c r="O112" s="53">
        <f t="shared" si="9"/>
        <v>0</v>
      </c>
    </row>
    <row r="113" spans="5:15" x14ac:dyDescent="0.25">
      <c r="E113" s="148">
        <v>40867</v>
      </c>
      <c r="F113" s="152" t="s">
        <v>54</v>
      </c>
      <c r="G113" s="152">
        <f t="shared" si="4"/>
        <v>112.22214740290001</v>
      </c>
      <c r="H113" s="152">
        <f t="shared" si="5"/>
        <v>103.0454533954</v>
      </c>
      <c r="I113" s="152">
        <v>24.9</v>
      </c>
      <c r="J113" s="148">
        <f t="shared" si="8"/>
        <v>41231</v>
      </c>
      <c r="K113" s="152">
        <v>0.1</v>
      </c>
      <c r="L113" s="152">
        <v>0.15</v>
      </c>
      <c r="M113" s="152">
        <v>1</v>
      </c>
      <c r="N113" s="10">
        <v>0.05</v>
      </c>
      <c r="O113" s="53">
        <f t="shared" si="9"/>
        <v>0</v>
      </c>
    </row>
    <row r="114" spans="5:15" x14ac:dyDescent="0.25">
      <c r="E114" s="148">
        <v>40868</v>
      </c>
      <c r="F114" s="152" t="s">
        <v>54</v>
      </c>
      <c r="G114" s="152">
        <f t="shared" si="4"/>
        <v>112.22214740290001</v>
      </c>
      <c r="H114" s="152">
        <f t="shared" si="5"/>
        <v>103.0454533954</v>
      </c>
      <c r="I114" s="152">
        <v>25.9</v>
      </c>
      <c r="J114" s="148">
        <f t="shared" si="8"/>
        <v>41232</v>
      </c>
      <c r="K114" s="152">
        <v>0.1</v>
      </c>
      <c r="L114" s="152">
        <v>0.15</v>
      </c>
      <c r="M114" s="152">
        <v>1</v>
      </c>
      <c r="N114" s="10">
        <v>0.05</v>
      </c>
      <c r="O114" s="53">
        <f t="shared" si="9"/>
        <v>0</v>
      </c>
    </row>
    <row r="115" spans="5:15" x14ac:dyDescent="0.25">
      <c r="E115" s="148">
        <v>40869</v>
      </c>
      <c r="F115" s="152" t="s">
        <v>54</v>
      </c>
      <c r="G115" s="152">
        <f t="shared" si="4"/>
        <v>112.22214740290001</v>
      </c>
      <c r="H115" s="152">
        <f t="shared" si="5"/>
        <v>103.0454533954</v>
      </c>
      <c r="I115" s="152">
        <v>26.9</v>
      </c>
      <c r="J115" s="148">
        <f t="shared" si="8"/>
        <v>41233</v>
      </c>
      <c r="K115" s="152">
        <v>0.1</v>
      </c>
      <c r="L115" s="152">
        <v>0.15</v>
      </c>
      <c r="M115" s="152">
        <v>1</v>
      </c>
      <c r="N115" s="10">
        <v>0.05</v>
      </c>
      <c r="O115" s="53">
        <f t="shared" si="9"/>
        <v>0</v>
      </c>
    </row>
    <row r="116" spans="5:15" x14ac:dyDescent="0.25">
      <c r="E116" s="148">
        <v>40870</v>
      </c>
      <c r="F116" s="152" t="s">
        <v>54</v>
      </c>
      <c r="G116" s="152">
        <f t="shared" si="4"/>
        <v>112.22214740290001</v>
      </c>
      <c r="H116" s="152">
        <f t="shared" si="5"/>
        <v>103.0454533954</v>
      </c>
      <c r="I116" s="152">
        <v>27.9</v>
      </c>
      <c r="J116" s="148">
        <f t="shared" si="8"/>
        <v>41234</v>
      </c>
      <c r="K116" s="152">
        <v>0.1</v>
      </c>
      <c r="L116" s="152">
        <v>0.15</v>
      </c>
      <c r="M116" s="152">
        <v>1</v>
      </c>
      <c r="N116" s="10">
        <v>0.05</v>
      </c>
      <c r="O116" s="53">
        <f t="shared" si="9"/>
        <v>0</v>
      </c>
    </row>
    <row r="117" spans="5:15" x14ac:dyDescent="0.25">
      <c r="E117" s="148">
        <v>40871</v>
      </c>
      <c r="F117" s="152" t="s">
        <v>54</v>
      </c>
      <c r="G117" s="152">
        <f t="shared" si="4"/>
        <v>112.22214740290001</v>
      </c>
      <c r="H117" s="152">
        <f t="shared" si="5"/>
        <v>103.0454533954</v>
      </c>
      <c r="I117" s="152">
        <v>28.9</v>
      </c>
      <c r="J117" s="148">
        <f t="shared" si="8"/>
        <v>41235</v>
      </c>
      <c r="K117" s="152">
        <v>0.1</v>
      </c>
      <c r="L117" s="152">
        <v>0.15</v>
      </c>
      <c r="M117" s="152">
        <v>1</v>
      </c>
      <c r="N117" s="10">
        <v>0.05</v>
      </c>
      <c r="O117" s="53">
        <f t="shared" si="9"/>
        <v>0</v>
      </c>
    </row>
    <row r="118" spans="5:15" x14ac:dyDescent="0.25">
      <c r="E118" s="148">
        <v>40872</v>
      </c>
      <c r="F118" s="152" t="s">
        <v>54</v>
      </c>
      <c r="G118" s="152">
        <f t="shared" si="4"/>
        <v>112.22214740290001</v>
      </c>
      <c r="H118" s="152">
        <f t="shared" si="5"/>
        <v>103.0454533954</v>
      </c>
      <c r="I118" s="152">
        <v>29.9</v>
      </c>
      <c r="J118" s="148">
        <f t="shared" si="8"/>
        <v>41236</v>
      </c>
      <c r="K118" s="152">
        <v>0.1</v>
      </c>
      <c r="L118" s="152">
        <v>0.15</v>
      </c>
      <c r="M118" s="152">
        <v>1</v>
      </c>
      <c r="N118" s="10">
        <v>0.05</v>
      </c>
      <c r="O118" s="53">
        <f t="shared" si="9"/>
        <v>0</v>
      </c>
    </row>
    <row r="119" spans="5:15" x14ac:dyDescent="0.25">
      <c r="E119" s="148">
        <v>40873</v>
      </c>
      <c r="F119" s="152" t="s">
        <v>54</v>
      </c>
      <c r="G119" s="152">
        <f t="shared" si="4"/>
        <v>112.22214740290001</v>
      </c>
      <c r="H119" s="152">
        <f t="shared" si="5"/>
        <v>103.0454533954</v>
      </c>
      <c r="I119" s="152">
        <v>30.9</v>
      </c>
      <c r="J119" s="148">
        <f t="shared" si="8"/>
        <v>41237</v>
      </c>
      <c r="K119" s="152">
        <v>0.1</v>
      </c>
      <c r="L119" s="152">
        <v>0.15</v>
      </c>
      <c r="M119" s="152">
        <v>1</v>
      </c>
      <c r="N119" s="10">
        <v>0.05</v>
      </c>
      <c r="O119" s="53">
        <f t="shared" si="9"/>
        <v>0</v>
      </c>
    </row>
    <row r="120" spans="5:15" x14ac:dyDescent="0.25">
      <c r="E120" s="148">
        <v>40874</v>
      </c>
      <c r="F120" s="152" t="s">
        <v>54</v>
      </c>
      <c r="G120" s="152">
        <f t="shared" si="4"/>
        <v>112.22214740290001</v>
      </c>
      <c r="H120" s="152">
        <f t="shared" si="5"/>
        <v>103.0454533954</v>
      </c>
      <c r="I120" s="152">
        <v>31.9</v>
      </c>
      <c r="J120" s="148">
        <f t="shared" si="8"/>
        <v>41238</v>
      </c>
      <c r="K120" s="152">
        <v>0.1</v>
      </c>
      <c r="L120" s="152">
        <v>0.15</v>
      </c>
      <c r="M120" s="152">
        <v>1</v>
      </c>
      <c r="N120" s="10">
        <v>0.05</v>
      </c>
      <c r="O120" s="53">
        <f t="shared" si="9"/>
        <v>0</v>
      </c>
    </row>
    <row r="121" spans="5:15" x14ac:dyDescent="0.25">
      <c r="E121" s="148">
        <v>40875</v>
      </c>
      <c r="F121" s="152" t="s">
        <v>54</v>
      </c>
      <c r="G121" s="152">
        <f t="shared" si="4"/>
        <v>112.22214740290001</v>
      </c>
      <c r="H121" s="152">
        <f t="shared" si="5"/>
        <v>103.0454533954</v>
      </c>
      <c r="I121" s="152">
        <v>32.9</v>
      </c>
      <c r="J121" s="148">
        <f t="shared" si="8"/>
        <v>41239</v>
      </c>
      <c r="K121" s="152">
        <v>0.1</v>
      </c>
      <c r="L121" s="152">
        <v>0.15</v>
      </c>
      <c r="M121" s="152">
        <v>1</v>
      </c>
      <c r="N121" s="10">
        <v>0.05</v>
      </c>
      <c r="O121" s="53">
        <f t="shared" si="9"/>
        <v>0</v>
      </c>
    </row>
    <row r="122" spans="5:15" x14ac:dyDescent="0.25">
      <c r="E122" s="148">
        <v>40876</v>
      </c>
      <c r="F122" s="152" t="s">
        <v>54</v>
      </c>
      <c r="G122" s="152">
        <f t="shared" si="4"/>
        <v>112.22214740290001</v>
      </c>
      <c r="H122" s="152">
        <f t="shared" si="5"/>
        <v>103.0454533954</v>
      </c>
      <c r="I122" s="152">
        <v>33.9</v>
      </c>
      <c r="J122" s="148">
        <f t="shared" si="8"/>
        <v>41240</v>
      </c>
      <c r="K122" s="152">
        <v>0.1</v>
      </c>
      <c r="L122" s="152">
        <v>0.15</v>
      </c>
      <c r="M122" s="152">
        <v>1</v>
      </c>
      <c r="N122" s="10">
        <v>0.05</v>
      </c>
      <c r="O122" s="53">
        <f t="shared" si="9"/>
        <v>0</v>
      </c>
    </row>
    <row r="123" spans="5:15" x14ac:dyDescent="0.25">
      <c r="E123" s="148">
        <v>40877</v>
      </c>
      <c r="F123" s="152" t="s">
        <v>54</v>
      </c>
      <c r="G123" s="152">
        <f t="shared" si="4"/>
        <v>112.22214740290001</v>
      </c>
      <c r="H123" s="152">
        <f t="shared" si="5"/>
        <v>103.0454533954</v>
      </c>
      <c r="I123" s="152">
        <v>34.9</v>
      </c>
      <c r="J123" s="148">
        <f t="shared" si="8"/>
        <v>41241</v>
      </c>
      <c r="K123" s="152">
        <v>0.1</v>
      </c>
      <c r="L123" s="152">
        <v>0.15</v>
      </c>
      <c r="M123" s="152">
        <v>1</v>
      </c>
      <c r="N123" s="10">
        <v>0.05</v>
      </c>
      <c r="O123" s="53">
        <f t="shared" si="9"/>
        <v>0</v>
      </c>
    </row>
    <row r="124" spans="5:15" x14ac:dyDescent="0.25">
      <c r="E124" s="148">
        <v>40878</v>
      </c>
      <c r="F124" s="152" t="s">
        <v>54</v>
      </c>
      <c r="G124" s="152">
        <f t="shared" si="4"/>
        <v>112.22214740290001</v>
      </c>
      <c r="H124" s="152">
        <f t="shared" si="5"/>
        <v>103.0454533954</v>
      </c>
      <c r="I124" s="152">
        <v>35.9</v>
      </c>
      <c r="J124" s="148">
        <f t="shared" si="8"/>
        <v>41242</v>
      </c>
      <c r="K124" s="152">
        <v>0.1</v>
      </c>
      <c r="L124" s="152">
        <v>0.15</v>
      </c>
      <c r="M124" s="152">
        <v>1</v>
      </c>
      <c r="N124" s="10">
        <v>0.05</v>
      </c>
      <c r="O124" s="53">
        <f t="shared" si="9"/>
        <v>0</v>
      </c>
    </row>
    <row r="125" spans="5:15" x14ac:dyDescent="0.25">
      <c r="E125" s="148">
        <v>40879</v>
      </c>
      <c r="F125" s="152" t="s">
        <v>54</v>
      </c>
      <c r="G125" s="152">
        <f t="shared" si="4"/>
        <v>112.22214740290001</v>
      </c>
      <c r="H125" s="152">
        <f t="shared" si="5"/>
        <v>103.0454533954</v>
      </c>
      <c r="I125" s="152">
        <v>36.9</v>
      </c>
      <c r="J125" s="148">
        <f t="shared" si="8"/>
        <v>41243</v>
      </c>
      <c r="K125" s="152">
        <v>0.1</v>
      </c>
      <c r="L125" s="152">
        <v>0.15</v>
      </c>
      <c r="M125" s="152">
        <v>1</v>
      </c>
      <c r="N125" s="10">
        <v>0.05</v>
      </c>
      <c r="O125" s="53">
        <f t="shared" si="9"/>
        <v>0</v>
      </c>
    </row>
    <row r="126" spans="5:15" x14ac:dyDescent="0.25">
      <c r="E126" s="148">
        <v>40880</v>
      </c>
      <c r="F126" s="152" t="s">
        <v>54</v>
      </c>
      <c r="G126" s="152">
        <f t="shared" si="4"/>
        <v>112.22214740290001</v>
      </c>
      <c r="H126" s="152">
        <f t="shared" si="5"/>
        <v>103.0454533954</v>
      </c>
      <c r="I126" s="152">
        <v>37.9</v>
      </c>
      <c r="J126" s="148">
        <f t="shared" si="8"/>
        <v>41244</v>
      </c>
      <c r="K126" s="152">
        <v>0.1</v>
      </c>
      <c r="L126" s="152">
        <v>0.15</v>
      </c>
      <c r="M126" s="152">
        <v>1</v>
      </c>
      <c r="N126" s="10">
        <v>0.05</v>
      </c>
      <c r="O126" s="53">
        <f t="shared" si="9"/>
        <v>0</v>
      </c>
    </row>
    <row r="127" spans="5:15" x14ac:dyDescent="0.25">
      <c r="E127" s="148">
        <v>40881</v>
      </c>
      <c r="F127" s="152" t="s">
        <v>54</v>
      </c>
      <c r="G127" s="152">
        <f t="shared" si="4"/>
        <v>112.22214740290001</v>
      </c>
      <c r="H127" s="152">
        <f t="shared" si="5"/>
        <v>103.0454533954</v>
      </c>
      <c r="I127" s="152">
        <v>38.9</v>
      </c>
      <c r="J127" s="148">
        <f t="shared" si="8"/>
        <v>41245</v>
      </c>
      <c r="K127" s="152">
        <v>0.1</v>
      </c>
      <c r="L127" s="152">
        <v>0.15</v>
      </c>
      <c r="M127" s="152">
        <v>1</v>
      </c>
      <c r="N127" s="10">
        <v>0.05</v>
      </c>
      <c r="O127" s="53">
        <f t="shared" si="9"/>
        <v>0</v>
      </c>
    </row>
    <row r="128" spans="5:15" x14ac:dyDescent="0.25">
      <c r="E128" s="148">
        <v>40882</v>
      </c>
      <c r="F128" s="152" t="s">
        <v>54</v>
      </c>
      <c r="G128" s="152">
        <f t="shared" si="4"/>
        <v>112.22214740290001</v>
      </c>
      <c r="H128" s="152">
        <f t="shared" si="5"/>
        <v>103.0454533954</v>
      </c>
      <c r="I128" s="152">
        <v>39.9</v>
      </c>
      <c r="J128" s="148">
        <f t="shared" si="8"/>
        <v>41246</v>
      </c>
      <c r="K128" s="152">
        <v>0.1</v>
      </c>
      <c r="L128" s="152">
        <v>0.15</v>
      </c>
      <c r="M128" s="152">
        <v>1</v>
      </c>
      <c r="N128" s="10">
        <v>0.05</v>
      </c>
      <c r="O128" s="53">
        <f t="shared" si="9"/>
        <v>0</v>
      </c>
    </row>
    <row r="129" spans="5:15" x14ac:dyDescent="0.25">
      <c r="E129" s="148">
        <v>40883</v>
      </c>
      <c r="F129" s="152" t="s">
        <v>54</v>
      </c>
      <c r="G129" s="152">
        <f t="shared" si="4"/>
        <v>112.22214740290001</v>
      </c>
      <c r="H129" s="152">
        <f t="shared" si="5"/>
        <v>103.0454533954</v>
      </c>
      <c r="I129" s="152">
        <v>40.9</v>
      </c>
      <c r="J129" s="148">
        <f t="shared" si="8"/>
        <v>41247</v>
      </c>
      <c r="K129" s="152">
        <v>0.1</v>
      </c>
      <c r="L129" s="152">
        <v>0.15</v>
      </c>
      <c r="M129" s="152">
        <v>1</v>
      </c>
      <c r="N129" s="10">
        <v>0.05</v>
      </c>
      <c r="O129" s="53">
        <f t="shared" si="9"/>
        <v>0</v>
      </c>
    </row>
    <row r="130" spans="5:15" x14ac:dyDescent="0.25">
      <c r="E130" s="148">
        <v>40884</v>
      </c>
      <c r="F130" s="152" t="s">
        <v>54</v>
      </c>
      <c r="G130" s="152">
        <f t="shared" si="4"/>
        <v>112.22214740290001</v>
      </c>
      <c r="H130" s="152">
        <f t="shared" si="5"/>
        <v>103.0454533954</v>
      </c>
      <c r="I130" s="152">
        <v>41.9</v>
      </c>
      <c r="J130" s="148">
        <f t="shared" si="8"/>
        <v>41248</v>
      </c>
      <c r="K130" s="152">
        <v>0.1</v>
      </c>
      <c r="L130" s="152">
        <v>0.15</v>
      </c>
      <c r="M130" s="152">
        <v>1</v>
      </c>
      <c r="N130" s="10">
        <v>0.05</v>
      </c>
      <c r="O130" s="53">
        <f t="shared" si="9"/>
        <v>0</v>
      </c>
    </row>
    <row r="131" spans="5:15" x14ac:dyDescent="0.25">
      <c r="E131" s="148">
        <v>40885</v>
      </c>
      <c r="F131" s="152" t="s">
        <v>54</v>
      </c>
      <c r="G131" s="152">
        <f t="shared" si="4"/>
        <v>112.22214740290001</v>
      </c>
      <c r="H131" s="152">
        <f t="shared" si="5"/>
        <v>103.0454533954</v>
      </c>
      <c r="I131" s="152">
        <v>42.9</v>
      </c>
      <c r="J131" s="148">
        <f t="shared" si="8"/>
        <v>41249</v>
      </c>
      <c r="K131" s="152">
        <v>0.1</v>
      </c>
      <c r="L131" s="152">
        <v>0.15</v>
      </c>
      <c r="M131" s="152">
        <v>1</v>
      </c>
      <c r="N131" s="10">
        <v>0.05</v>
      </c>
      <c r="O131" s="53">
        <f t="shared" si="9"/>
        <v>0</v>
      </c>
    </row>
    <row r="132" spans="5:15" x14ac:dyDescent="0.25">
      <c r="E132" s="148">
        <v>40886</v>
      </c>
      <c r="F132" s="152" t="s">
        <v>54</v>
      </c>
      <c r="G132" s="152">
        <f t="shared" si="4"/>
        <v>112.22214740290001</v>
      </c>
      <c r="H132" s="152">
        <f t="shared" si="5"/>
        <v>103.0454533954</v>
      </c>
      <c r="I132" s="152">
        <v>43.9</v>
      </c>
      <c r="J132" s="148">
        <f t="shared" si="8"/>
        <v>41250</v>
      </c>
      <c r="K132" s="152">
        <v>0.1</v>
      </c>
      <c r="L132" s="152">
        <v>0.15</v>
      </c>
      <c r="M132" s="152">
        <v>1</v>
      </c>
      <c r="N132" s="10">
        <v>0.05</v>
      </c>
      <c r="O132" s="53">
        <f t="shared" si="9"/>
        <v>0</v>
      </c>
    </row>
    <row r="133" spans="5:15" x14ac:dyDescent="0.25">
      <c r="E133" s="148">
        <v>40887</v>
      </c>
      <c r="F133" s="152" t="s">
        <v>54</v>
      </c>
      <c r="G133" s="152">
        <f t="shared" si="4"/>
        <v>112.22214740290001</v>
      </c>
      <c r="H133" s="152">
        <f t="shared" si="5"/>
        <v>103.0454533954</v>
      </c>
      <c r="I133" s="152">
        <v>44.9</v>
      </c>
      <c r="J133" s="148">
        <f t="shared" si="8"/>
        <v>41251</v>
      </c>
      <c r="K133" s="152">
        <v>0.1</v>
      </c>
      <c r="L133" s="152">
        <v>0.15</v>
      </c>
      <c r="M133" s="152">
        <v>1</v>
      </c>
      <c r="N133" s="10">
        <v>0.05</v>
      </c>
      <c r="O133" s="53">
        <f t="shared" si="9"/>
        <v>0</v>
      </c>
    </row>
    <row r="134" spans="5:15" x14ac:dyDescent="0.25">
      <c r="E134" s="148">
        <v>40888</v>
      </c>
      <c r="F134" s="152" t="s">
        <v>54</v>
      </c>
      <c r="G134" s="152">
        <f t="shared" si="4"/>
        <v>112.22214740290001</v>
      </c>
      <c r="H134" s="152">
        <f t="shared" si="5"/>
        <v>103.0454533954</v>
      </c>
      <c r="I134" s="152">
        <v>45.9</v>
      </c>
      <c r="J134" s="148">
        <f t="shared" si="8"/>
        <v>41252</v>
      </c>
      <c r="K134" s="152">
        <v>0.1</v>
      </c>
      <c r="L134" s="152">
        <v>0.15</v>
      </c>
      <c r="M134" s="152">
        <v>1</v>
      </c>
      <c r="N134" s="10">
        <v>0.05</v>
      </c>
      <c r="O134" s="53">
        <f t="shared" si="9"/>
        <v>0</v>
      </c>
    </row>
    <row r="135" spans="5:15" x14ac:dyDescent="0.25">
      <c r="E135" s="148">
        <v>40889</v>
      </c>
      <c r="F135" s="152" t="s">
        <v>54</v>
      </c>
      <c r="G135" s="152">
        <f t="shared" si="4"/>
        <v>112.22214740290001</v>
      </c>
      <c r="H135" s="152">
        <f t="shared" si="5"/>
        <v>103.0454533954</v>
      </c>
      <c r="I135" s="152">
        <v>46.9</v>
      </c>
      <c r="J135" s="148">
        <f t="shared" si="8"/>
        <v>41253</v>
      </c>
      <c r="K135" s="152">
        <v>0.1</v>
      </c>
      <c r="L135" s="152">
        <v>0.15</v>
      </c>
      <c r="M135" s="152">
        <v>1</v>
      </c>
      <c r="N135" s="10">
        <v>0.05</v>
      </c>
      <c r="O135" s="53">
        <f t="shared" si="9"/>
        <v>0</v>
      </c>
    </row>
    <row r="136" spans="5:15" x14ac:dyDescent="0.25">
      <c r="E136" s="148">
        <v>40890</v>
      </c>
      <c r="F136" s="152" t="s">
        <v>54</v>
      </c>
      <c r="G136" s="152">
        <f t="shared" si="4"/>
        <v>112.22214740290001</v>
      </c>
      <c r="H136" s="152">
        <f t="shared" si="5"/>
        <v>103.0454533954</v>
      </c>
      <c r="I136" s="152">
        <v>47.9</v>
      </c>
      <c r="J136" s="148">
        <f t="shared" si="8"/>
        <v>41254</v>
      </c>
      <c r="K136" s="152">
        <v>0.1</v>
      </c>
      <c r="L136" s="152">
        <v>0.15</v>
      </c>
      <c r="M136" s="152">
        <v>1</v>
      </c>
      <c r="N136" s="10">
        <v>0.05</v>
      </c>
      <c r="O136" s="53">
        <f t="shared" si="9"/>
        <v>0</v>
      </c>
    </row>
    <row r="137" spans="5:15" x14ac:dyDescent="0.25">
      <c r="E137" s="148">
        <v>40891</v>
      </c>
      <c r="F137" s="152" t="s">
        <v>54</v>
      </c>
      <c r="G137" s="152">
        <f t="shared" si="4"/>
        <v>112.22214740290001</v>
      </c>
      <c r="H137" s="152">
        <f t="shared" si="5"/>
        <v>103.0454533954</v>
      </c>
      <c r="I137" s="152">
        <v>48.9</v>
      </c>
      <c r="J137" s="148">
        <f t="shared" si="8"/>
        <v>41255</v>
      </c>
      <c r="K137" s="152">
        <v>0.1</v>
      </c>
      <c r="L137" s="152">
        <v>0.15</v>
      </c>
      <c r="M137" s="152">
        <v>1</v>
      </c>
      <c r="N137" s="10">
        <v>0.05</v>
      </c>
      <c r="O137" s="53">
        <f t="shared" si="9"/>
        <v>0</v>
      </c>
    </row>
    <row r="138" spans="5:15" x14ac:dyDescent="0.25">
      <c r="E138" s="148">
        <v>40892</v>
      </c>
      <c r="F138" s="152" t="s">
        <v>54</v>
      </c>
      <c r="G138" s="152">
        <f t="shared" si="4"/>
        <v>112.22214740290001</v>
      </c>
      <c r="H138" s="152">
        <f t="shared" si="5"/>
        <v>103.0454533954</v>
      </c>
      <c r="I138" s="152">
        <v>49.9</v>
      </c>
      <c r="J138" s="148">
        <f t="shared" si="8"/>
        <v>41256</v>
      </c>
      <c r="K138" s="152">
        <v>0.1</v>
      </c>
      <c r="L138" s="152">
        <v>0.15</v>
      </c>
      <c r="M138" s="152">
        <v>1</v>
      </c>
      <c r="N138" s="10">
        <v>0.05</v>
      </c>
      <c r="O138" s="53">
        <f t="shared" si="9"/>
        <v>0</v>
      </c>
    </row>
    <row r="139" spans="5:15" x14ac:dyDescent="0.25">
      <c r="E139" s="148">
        <v>40893</v>
      </c>
      <c r="F139" s="152" t="s">
        <v>54</v>
      </c>
      <c r="G139" s="152">
        <f t="shared" si="4"/>
        <v>112.22214740290001</v>
      </c>
      <c r="H139" s="152">
        <f t="shared" si="5"/>
        <v>103.0454533954</v>
      </c>
      <c r="I139" s="152">
        <v>50.9</v>
      </c>
      <c r="J139" s="148">
        <f t="shared" si="8"/>
        <v>41257</v>
      </c>
      <c r="K139" s="152">
        <v>0.1</v>
      </c>
      <c r="L139" s="152">
        <v>0.15</v>
      </c>
      <c r="M139" s="152">
        <v>1</v>
      </c>
      <c r="N139" s="10">
        <v>0.05</v>
      </c>
      <c r="O139" s="53">
        <f t="shared" si="9"/>
        <v>0</v>
      </c>
    </row>
    <row r="140" spans="5:15" x14ac:dyDescent="0.25">
      <c r="E140" s="148">
        <v>40894</v>
      </c>
      <c r="F140" s="152" t="s">
        <v>54</v>
      </c>
      <c r="G140" s="152">
        <f t="shared" si="4"/>
        <v>112.22214740290001</v>
      </c>
      <c r="H140" s="152">
        <f t="shared" si="5"/>
        <v>103.0454533954</v>
      </c>
      <c r="I140" s="152">
        <v>51.9</v>
      </c>
      <c r="J140" s="148">
        <f t="shared" si="8"/>
        <v>41258</v>
      </c>
      <c r="K140" s="152">
        <v>0.1</v>
      </c>
      <c r="L140" s="152">
        <v>0.15</v>
      </c>
      <c r="M140" s="152">
        <v>1</v>
      </c>
      <c r="N140" s="10">
        <v>0.05</v>
      </c>
      <c r="O140" s="53">
        <f t="shared" si="9"/>
        <v>0</v>
      </c>
    </row>
    <row r="141" spans="5:15" x14ac:dyDescent="0.25">
      <c r="E141" s="148">
        <v>40895</v>
      </c>
      <c r="F141" s="152" t="s">
        <v>54</v>
      </c>
      <c r="G141" s="152">
        <f t="shared" si="4"/>
        <v>112.22214740290001</v>
      </c>
      <c r="H141" s="152">
        <f t="shared" si="5"/>
        <v>103.0454533954</v>
      </c>
      <c r="I141" s="152">
        <v>52.9</v>
      </c>
      <c r="J141" s="148">
        <f t="shared" si="8"/>
        <v>41259</v>
      </c>
      <c r="K141" s="152">
        <v>0.1</v>
      </c>
      <c r="L141" s="152">
        <v>0.15</v>
      </c>
      <c r="M141" s="152">
        <v>1</v>
      </c>
      <c r="N141" s="10">
        <v>0.05</v>
      </c>
      <c r="O141" s="53">
        <f t="shared" si="9"/>
        <v>0</v>
      </c>
    </row>
    <row r="142" spans="5:15" x14ac:dyDescent="0.25">
      <c r="E142" s="148">
        <v>40896</v>
      </c>
      <c r="F142" s="152" t="s">
        <v>54</v>
      </c>
      <c r="G142" s="152">
        <f t="shared" si="4"/>
        <v>112.22214740290001</v>
      </c>
      <c r="H142" s="152">
        <f t="shared" si="5"/>
        <v>103.0454533954</v>
      </c>
      <c r="I142" s="152">
        <v>53.9</v>
      </c>
      <c r="J142" s="148">
        <f t="shared" si="8"/>
        <v>41260</v>
      </c>
      <c r="K142" s="152">
        <v>0.1</v>
      </c>
      <c r="L142" s="152">
        <v>0.15</v>
      </c>
      <c r="M142" s="152">
        <v>1</v>
      </c>
      <c r="N142" s="10">
        <v>0.05</v>
      </c>
      <c r="O142" s="53">
        <f t="shared" si="9"/>
        <v>0</v>
      </c>
    </row>
    <row r="143" spans="5:15" x14ac:dyDescent="0.25">
      <c r="E143" s="148">
        <v>40897</v>
      </c>
      <c r="F143" s="152" t="s">
        <v>54</v>
      </c>
      <c r="G143" s="152">
        <f t="shared" si="4"/>
        <v>112.22214740290001</v>
      </c>
      <c r="H143" s="152">
        <f t="shared" si="5"/>
        <v>103.0454533954</v>
      </c>
      <c r="I143" s="152">
        <v>54.9</v>
      </c>
      <c r="J143" s="148">
        <f t="shared" si="8"/>
        <v>41261</v>
      </c>
      <c r="K143" s="152">
        <v>0.1</v>
      </c>
      <c r="L143" s="152">
        <v>0.15</v>
      </c>
      <c r="M143" s="152">
        <v>1</v>
      </c>
      <c r="N143" s="10">
        <v>0.05</v>
      </c>
      <c r="O143" s="53">
        <f t="shared" si="9"/>
        <v>0</v>
      </c>
    </row>
    <row r="144" spans="5:15" x14ac:dyDescent="0.25">
      <c r="E144" s="148">
        <v>40898</v>
      </c>
      <c r="F144" s="152" t="s">
        <v>54</v>
      </c>
      <c r="G144" s="152">
        <f t="shared" si="4"/>
        <v>112.22214740290001</v>
      </c>
      <c r="H144" s="152">
        <f t="shared" si="5"/>
        <v>103.0454533954</v>
      </c>
      <c r="I144" s="152">
        <v>55.9</v>
      </c>
      <c r="J144" s="148">
        <f t="shared" si="8"/>
        <v>41262</v>
      </c>
      <c r="K144" s="152">
        <v>0.1</v>
      </c>
      <c r="L144" s="152">
        <v>0.15</v>
      </c>
      <c r="M144" s="152">
        <v>1</v>
      </c>
      <c r="N144" s="10">
        <v>0.05</v>
      </c>
      <c r="O144" s="53">
        <f t="shared" si="9"/>
        <v>0</v>
      </c>
    </row>
    <row r="145" spans="5:15" x14ac:dyDescent="0.25">
      <c r="E145" s="148">
        <v>40899</v>
      </c>
      <c r="F145" s="152" t="s">
        <v>54</v>
      </c>
      <c r="G145" s="152">
        <f t="shared" si="4"/>
        <v>112.22214740290001</v>
      </c>
      <c r="H145" s="152">
        <f t="shared" si="5"/>
        <v>103.0454533954</v>
      </c>
      <c r="I145" s="152">
        <v>56.9</v>
      </c>
      <c r="J145" s="148">
        <f t="shared" si="8"/>
        <v>41263</v>
      </c>
      <c r="K145" s="152">
        <v>0.1</v>
      </c>
      <c r="L145" s="152">
        <v>0.15</v>
      </c>
      <c r="M145" s="152">
        <v>1</v>
      </c>
      <c r="N145" s="10">
        <v>0.05</v>
      </c>
      <c r="O145" s="53">
        <f t="shared" si="9"/>
        <v>0</v>
      </c>
    </row>
    <row r="146" spans="5:15" x14ac:dyDescent="0.25">
      <c r="E146" s="148">
        <v>40900</v>
      </c>
      <c r="F146" s="152" t="s">
        <v>54</v>
      </c>
      <c r="G146" s="152">
        <f t="shared" si="4"/>
        <v>112.22214740290001</v>
      </c>
      <c r="H146" s="152">
        <f t="shared" si="5"/>
        <v>103.0454533954</v>
      </c>
      <c r="I146" s="152">
        <v>57.9</v>
      </c>
      <c r="J146" s="148">
        <f t="shared" si="8"/>
        <v>41264</v>
      </c>
      <c r="K146" s="152">
        <v>0.1</v>
      </c>
      <c r="L146" s="152">
        <v>0.15</v>
      </c>
      <c r="M146" s="152">
        <v>1</v>
      </c>
      <c r="N146" s="10">
        <v>0.05</v>
      </c>
      <c r="O146" s="53">
        <f t="shared" si="9"/>
        <v>0</v>
      </c>
    </row>
    <row r="147" spans="5:15" x14ac:dyDescent="0.25">
      <c r="E147" s="148">
        <v>40901</v>
      </c>
      <c r="F147" s="152" t="s">
        <v>54</v>
      </c>
      <c r="G147" s="152">
        <f t="shared" si="4"/>
        <v>112.22214740290001</v>
      </c>
      <c r="H147" s="152">
        <f t="shared" si="5"/>
        <v>103.0454533954</v>
      </c>
      <c r="I147" s="152">
        <v>58.9</v>
      </c>
      <c r="J147" s="148">
        <f t="shared" si="8"/>
        <v>41265</v>
      </c>
      <c r="K147" s="152">
        <v>0.1</v>
      </c>
      <c r="L147" s="152">
        <v>0.15</v>
      </c>
      <c r="M147" s="152">
        <v>1</v>
      </c>
      <c r="N147" s="10">
        <v>0.05</v>
      </c>
      <c r="O147" s="53">
        <f t="shared" si="9"/>
        <v>0</v>
      </c>
    </row>
    <row r="148" spans="5:15" x14ac:dyDescent="0.25">
      <c r="E148" s="148">
        <v>40902</v>
      </c>
      <c r="F148" s="152" t="s">
        <v>54</v>
      </c>
      <c r="G148" s="152">
        <f t="shared" si="4"/>
        <v>112.22214740290001</v>
      </c>
      <c r="H148" s="152">
        <f t="shared" si="5"/>
        <v>103.0454533954</v>
      </c>
      <c r="I148" s="152">
        <v>59.9</v>
      </c>
      <c r="J148" s="148">
        <f t="shared" si="8"/>
        <v>41266</v>
      </c>
      <c r="K148" s="152">
        <v>0.1</v>
      </c>
      <c r="L148" s="152">
        <v>0.15</v>
      </c>
      <c r="M148" s="152">
        <v>1</v>
      </c>
      <c r="N148" s="10">
        <v>0.05</v>
      </c>
      <c r="O148" s="53">
        <f t="shared" si="9"/>
        <v>0</v>
      </c>
    </row>
    <row r="149" spans="5:15" x14ac:dyDescent="0.25">
      <c r="E149" s="148">
        <v>40903</v>
      </c>
      <c r="F149" s="152" t="s">
        <v>54</v>
      </c>
      <c r="G149" s="152">
        <f t="shared" si="4"/>
        <v>112.22214740290001</v>
      </c>
      <c r="H149" s="152">
        <f t="shared" si="5"/>
        <v>103.0454533954</v>
      </c>
      <c r="I149" s="152">
        <v>60.9</v>
      </c>
      <c r="J149" s="148">
        <f t="shared" si="8"/>
        <v>41267</v>
      </c>
      <c r="K149" s="152">
        <v>0.1</v>
      </c>
      <c r="L149" s="152">
        <v>0.15</v>
      </c>
      <c r="M149" s="152">
        <v>1</v>
      </c>
      <c r="N149" s="10">
        <v>0.05</v>
      </c>
      <c r="O149" s="53">
        <f t="shared" si="9"/>
        <v>0</v>
      </c>
    </row>
    <row r="150" spans="5:15" x14ac:dyDescent="0.25">
      <c r="E150" s="148">
        <v>40904</v>
      </c>
      <c r="F150" s="152" t="s">
        <v>54</v>
      </c>
      <c r="G150" s="152">
        <f t="shared" si="4"/>
        <v>112.22214740290001</v>
      </c>
      <c r="H150" s="152">
        <f t="shared" si="5"/>
        <v>103.0454533954</v>
      </c>
      <c r="I150" s="152">
        <v>61.9</v>
      </c>
      <c r="J150" s="148">
        <f t="shared" si="8"/>
        <v>41268</v>
      </c>
      <c r="K150" s="152">
        <v>0.1</v>
      </c>
      <c r="L150" s="152">
        <v>0.15</v>
      </c>
      <c r="M150" s="152">
        <v>1</v>
      </c>
      <c r="N150" s="10">
        <v>0.05</v>
      </c>
      <c r="O150" s="53">
        <f t="shared" si="9"/>
        <v>0</v>
      </c>
    </row>
    <row r="151" spans="5:15" x14ac:dyDescent="0.25">
      <c r="E151" s="148">
        <v>40905</v>
      </c>
      <c r="F151" s="152" t="s">
        <v>54</v>
      </c>
      <c r="G151" s="152">
        <f t="shared" si="4"/>
        <v>112.22214740290001</v>
      </c>
      <c r="H151" s="152">
        <f t="shared" si="5"/>
        <v>103.0454533954</v>
      </c>
      <c r="I151" s="152">
        <v>62.9</v>
      </c>
      <c r="J151" s="148">
        <f t="shared" si="8"/>
        <v>41269</v>
      </c>
      <c r="K151" s="152">
        <v>0.1</v>
      </c>
      <c r="L151" s="152">
        <v>0.15</v>
      </c>
      <c r="M151" s="152">
        <v>1</v>
      </c>
      <c r="N151" s="10">
        <v>0.05</v>
      </c>
      <c r="O151" s="53">
        <f t="shared" si="9"/>
        <v>0</v>
      </c>
    </row>
    <row r="152" spans="5:15" x14ac:dyDescent="0.25">
      <c r="E152" s="148">
        <v>40906</v>
      </c>
      <c r="F152" s="152" t="s">
        <v>54</v>
      </c>
      <c r="G152" s="152">
        <f t="shared" si="4"/>
        <v>112.22214740290001</v>
      </c>
      <c r="H152" s="152">
        <f t="shared" si="5"/>
        <v>103.0454533954</v>
      </c>
      <c r="I152" s="152">
        <v>63.9</v>
      </c>
      <c r="J152" s="148">
        <f t="shared" si="8"/>
        <v>41270</v>
      </c>
      <c r="K152" s="152">
        <v>0.1</v>
      </c>
      <c r="L152" s="152">
        <v>0.15</v>
      </c>
      <c r="M152" s="152">
        <v>1</v>
      </c>
      <c r="N152" s="10">
        <v>0.05</v>
      </c>
      <c r="O152" s="53">
        <f t="shared" si="9"/>
        <v>0</v>
      </c>
    </row>
    <row r="153" spans="5:15" x14ac:dyDescent="0.25">
      <c r="E153" s="148">
        <v>40907</v>
      </c>
      <c r="F153" s="152" t="s">
        <v>54</v>
      </c>
      <c r="G153" s="152">
        <f t="shared" si="4"/>
        <v>112.22214740290001</v>
      </c>
      <c r="H153" s="152">
        <f t="shared" si="5"/>
        <v>103.0454533954</v>
      </c>
      <c r="I153" s="152">
        <v>64.900000000000006</v>
      </c>
      <c r="J153" s="148">
        <f t="shared" si="8"/>
        <v>41271</v>
      </c>
      <c r="K153" s="152">
        <v>0.1</v>
      </c>
      <c r="L153" s="152">
        <v>0.15</v>
      </c>
      <c r="M153" s="152">
        <v>1</v>
      </c>
      <c r="N153" s="10">
        <v>0.05</v>
      </c>
      <c r="O153" s="53">
        <f t="shared" si="9"/>
        <v>0</v>
      </c>
    </row>
    <row r="154" spans="5:15" x14ac:dyDescent="0.25">
      <c r="E154" s="148">
        <v>40908</v>
      </c>
      <c r="F154" s="152" t="s">
        <v>54</v>
      </c>
      <c r="G154" s="152">
        <f t="shared" si="4"/>
        <v>112.22214740290001</v>
      </c>
      <c r="H154" s="152">
        <f t="shared" si="5"/>
        <v>103.0454533954</v>
      </c>
      <c r="I154" s="152">
        <v>65.900000000000006</v>
      </c>
      <c r="J154" s="148">
        <f t="shared" si="8"/>
        <v>41272</v>
      </c>
      <c r="K154" s="152">
        <v>0.1</v>
      </c>
      <c r="L154" s="152">
        <v>0.15</v>
      </c>
      <c r="M154" s="152">
        <v>1</v>
      </c>
      <c r="N154" s="10">
        <v>0.05</v>
      </c>
      <c r="O154" s="53">
        <f t="shared" si="9"/>
        <v>0</v>
      </c>
    </row>
    <row r="155" spans="5:15" x14ac:dyDescent="0.25">
      <c r="E155" s="148">
        <v>40909</v>
      </c>
      <c r="F155" s="152" t="s">
        <v>54</v>
      </c>
      <c r="G155" s="152">
        <f t="shared" ref="G155:G185" si="10">ROUND(EXP(0.02)*110,10)</f>
        <v>112.22214740290001</v>
      </c>
      <c r="H155" s="152">
        <f t="shared" ref="H155:H185" si="11">ROUND(EXP(0.03)*100,10)</f>
        <v>103.0454533954</v>
      </c>
      <c r="I155" s="152">
        <v>66.900000000000006</v>
      </c>
      <c r="J155" s="148">
        <f t="shared" si="8"/>
        <v>41273</v>
      </c>
      <c r="K155" s="152">
        <v>0.1</v>
      </c>
      <c r="L155" s="152">
        <v>0.15</v>
      </c>
      <c r="M155" s="152">
        <v>1</v>
      </c>
      <c r="N155" s="10">
        <v>0.05</v>
      </c>
      <c r="O155" s="53">
        <f t="shared" si="9"/>
        <v>0</v>
      </c>
    </row>
    <row r="156" spans="5:15" x14ac:dyDescent="0.25">
      <c r="E156" s="148">
        <v>40910</v>
      </c>
      <c r="F156" s="152" t="s">
        <v>54</v>
      </c>
      <c r="G156" s="152">
        <f t="shared" si="10"/>
        <v>112.22214740290001</v>
      </c>
      <c r="H156" s="152">
        <f t="shared" si="11"/>
        <v>103.0454533954</v>
      </c>
      <c r="I156" s="152">
        <v>67.900000000000006</v>
      </c>
      <c r="J156" s="148">
        <f t="shared" si="8"/>
        <v>41274</v>
      </c>
      <c r="K156" s="152">
        <v>0.1</v>
      </c>
      <c r="L156" s="152">
        <v>0.15</v>
      </c>
      <c r="M156" s="152">
        <v>1</v>
      </c>
      <c r="N156" s="10">
        <v>0.05</v>
      </c>
      <c r="O156" s="53">
        <f t="shared" si="9"/>
        <v>0</v>
      </c>
    </row>
    <row r="157" spans="5:15" x14ac:dyDescent="0.25">
      <c r="E157" s="148">
        <v>40911</v>
      </c>
      <c r="F157" s="152" t="s">
        <v>54</v>
      </c>
      <c r="G157" s="152">
        <f t="shared" si="10"/>
        <v>112.22214740290001</v>
      </c>
      <c r="H157" s="152">
        <f t="shared" si="11"/>
        <v>103.0454533954</v>
      </c>
      <c r="I157" s="152">
        <v>68.900000000000006</v>
      </c>
      <c r="J157" s="148">
        <f t="shared" si="8"/>
        <v>41275</v>
      </c>
      <c r="K157" s="152">
        <v>0.1</v>
      </c>
      <c r="L157" s="152">
        <v>0.15</v>
      </c>
      <c r="M157" s="152">
        <v>1</v>
      </c>
      <c r="N157" s="10">
        <v>0.05</v>
      </c>
      <c r="O157" s="53">
        <f t="shared" si="9"/>
        <v>0</v>
      </c>
    </row>
    <row r="158" spans="5:15" x14ac:dyDescent="0.25">
      <c r="E158" s="148">
        <v>40912</v>
      </c>
      <c r="F158" s="152" t="s">
        <v>54</v>
      </c>
      <c r="G158" s="152">
        <f t="shared" si="10"/>
        <v>112.22214740290001</v>
      </c>
      <c r="H158" s="152">
        <f t="shared" si="11"/>
        <v>103.0454533954</v>
      </c>
      <c r="I158" s="152">
        <v>69.900000000000006</v>
      </c>
      <c r="J158" s="148">
        <f t="shared" si="8"/>
        <v>41276</v>
      </c>
      <c r="K158" s="152">
        <v>0.1</v>
      </c>
      <c r="L158" s="152">
        <v>0.15</v>
      </c>
      <c r="M158" s="152">
        <v>1</v>
      </c>
      <c r="N158" s="10">
        <v>0.05</v>
      </c>
      <c r="O158" s="53">
        <f t="shared" si="9"/>
        <v>0</v>
      </c>
    </row>
    <row r="159" spans="5:15" x14ac:dyDescent="0.25">
      <c r="E159" s="148">
        <v>40913</v>
      </c>
      <c r="F159" s="152" t="s">
        <v>54</v>
      </c>
      <c r="G159" s="152">
        <f t="shared" si="10"/>
        <v>112.22214740290001</v>
      </c>
      <c r="H159" s="152">
        <f t="shared" si="11"/>
        <v>103.0454533954</v>
      </c>
      <c r="I159" s="152">
        <v>70.900000000000006</v>
      </c>
      <c r="J159" s="148">
        <f t="shared" si="8"/>
        <v>41277</v>
      </c>
      <c r="K159" s="152">
        <v>0.1</v>
      </c>
      <c r="L159" s="152">
        <v>0.15</v>
      </c>
      <c r="M159" s="152">
        <v>1</v>
      </c>
      <c r="N159" s="10">
        <v>0.05</v>
      </c>
      <c r="O159" s="53">
        <f t="shared" si="9"/>
        <v>0</v>
      </c>
    </row>
    <row r="160" spans="5:15" x14ac:dyDescent="0.25">
      <c r="E160" s="148">
        <v>40914</v>
      </c>
      <c r="F160" s="152" t="s">
        <v>54</v>
      </c>
      <c r="G160" s="152">
        <f t="shared" si="10"/>
        <v>112.22214740290001</v>
      </c>
      <c r="H160" s="152">
        <f t="shared" si="11"/>
        <v>103.0454533954</v>
      </c>
      <c r="I160" s="152">
        <v>71.900000000000006</v>
      </c>
      <c r="J160" s="148">
        <f t="shared" ref="J160:J185" si="12">E160+364</f>
        <v>41278</v>
      </c>
      <c r="K160" s="152">
        <v>0.1</v>
      </c>
      <c r="L160" s="152">
        <v>0.15</v>
      </c>
      <c r="M160" s="152">
        <v>1</v>
      </c>
      <c r="N160" s="10">
        <v>0.05</v>
      </c>
      <c r="O160" s="53">
        <f t="shared" ref="O160:O185" si="13">AsianSpread(E160,F160,G160,H160,I160,J160,K160,L160,M160,N160)</f>
        <v>0</v>
      </c>
    </row>
    <row r="161" spans="5:15" x14ac:dyDescent="0.25">
      <c r="E161" s="148">
        <v>40915</v>
      </c>
      <c r="F161" s="152" t="s">
        <v>54</v>
      </c>
      <c r="G161" s="152">
        <f t="shared" si="10"/>
        <v>112.22214740290001</v>
      </c>
      <c r="H161" s="152">
        <f t="shared" si="11"/>
        <v>103.0454533954</v>
      </c>
      <c r="I161" s="152">
        <v>72.900000000000006</v>
      </c>
      <c r="J161" s="148">
        <f t="shared" si="12"/>
        <v>41279</v>
      </c>
      <c r="K161" s="152">
        <v>0.1</v>
      </c>
      <c r="L161" s="152">
        <v>0.15</v>
      </c>
      <c r="M161" s="152">
        <v>1</v>
      </c>
      <c r="N161" s="10">
        <v>0.05</v>
      </c>
      <c r="O161" s="53">
        <f t="shared" si="13"/>
        <v>0</v>
      </c>
    </row>
    <row r="162" spans="5:15" x14ac:dyDescent="0.25">
      <c r="E162" s="148">
        <v>40916</v>
      </c>
      <c r="F162" s="152" t="s">
        <v>54</v>
      </c>
      <c r="G162" s="152">
        <f t="shared" si="10"/>
        <v>112.22214740290001</v>
      </c>
      <c r="H162" s="152">
        <f t="shared" si="11"/>
        <v>103.0454533954</v>
      </c>
      <c r="I162" s="152">
        <v>73.900000000000006</v>
      </c>
      <c r="J162" s="148">
        <f t="shared" si="12"/>
        <v>41280</v>
      </c>
      <c r="K162" s="152">
        <v>0.1</v>
      </c>
      <c r="L162" s="152">
        <v>0.15</v>
      </c>
      <c r="M162" s="152">
        <v>1</v>
      </c>
      <c r="N162" s="10">
        <v>0.05</v>
      </c>
      <c r="O162" s="53">
        <f t="shared" si="13"/>
        <v>0</v>
      </c>
    </row>
    <row r="163" spans="5:15" x14ac:dyDescent="0.25">
      <c r="E163" s="148">
        <v>40917</v>
      </c>
      <c r="F163" s="152" t="s">
        <v>54</v>
      </c>
      <c r="G163" s="152">
        <f t="shared" si="10"/>
        <v>112.22214740290001</v>
      </c>
      <c r="H163" s="152">
        <f t="shared" si="11"/>
        <v>103.0454533954</v>
      </c>
      <c r="I163" s="152">
        <v>74.900000000000006</v>
      </c>
      <c r="J163" s="148">
        <f t="shared" si="12"/>
        <v>41281</v>
      </c>
      <c r="K163" s="152">
        <v>0.1</v>
      </c>
      <c r="L163" s="152">
        <v>0.15</v>
      </c>
      <c r="M163" s="152">
        <v>1</v>
      </c>
      <c r="N163" s="10">
        <v>0.05</v>
      </c>
      <c r="O163" s="53">
        <f t="shared" si="13"/>
        <v>0</v>
      </c>
    </row>
    <row r="164" spans="5:15" x14ac:dyDescent="0.25">
      <c r="E164" s="148">
        <v>40918</v>
      </c>
      <c r="F164" s="152" t="s">
        <v>54</v>
      </c>
      <c r="G164" s="152">
        <f t="shared" si="10"/>
        <v>112.22214740290001</v>
      </c>
      <c r="H164" s="152">
        <f t="shared" si="11"/>
        <v>103.0454533954</v>
      </c>
      <c r="I164" s="152">
        <v>75.900000000000006</v>
      </c>
      <c r="J164" s="148">
        <f t="shared" si="12"/>
        <v>41282</v>
      </c>
      <c r="K164" s="152">
        <v>0.1</v>
      </c>
      <c r="L164" s="152">
        <v>0.15</v>
      </c>
      <c r="M164" s="152">
        <v>1</v>
      </c>
      <c r="N164" s="10">
        <v>0.05</v>
      </c>
      <c r="O164" s="53">
        <f t="shared" si="13"/>
        <v>0</v>
      </c>
    </row>
    <row r="165" spans="5:15" x14ac:dyDescent="0.25">
      <c r="E165" s="148">
        <v>40919</v>
      </c>
      <c r="F165" s="152" t="s">
        <v>54</v>
      </c>
      <c r="G165" s="152">
        <f t="shared" si="10"/>
        <v>112.22214740290001</v>
      </c>
      <c r="H165" s="152">
        <f t="shared" si="11"/>
        <v>103.0454533954</v>
      </c>
      <c r="I165" s="152">
        <v>76.900000000000006</v>
      </c>
      <c r="J165" s="148">
        <f t="shared" si="12"/>
        <v>41283</v>
      </c>
      <c r="K165" s="152">
        <v>0.1</v>
      </c>
      <c r="L165" s="152">
        <v>0.15</v>
      </c>
      <c r="M165" s="152">
        <v>1</v>
      </c>
      <c r="N165" s="10">
        <v>0.05</v>
      </c>
      <c r="O165" s="53">
        <f t="shared" si="13"/>
        <v>0</v>
      </c>
    </row>
    <row r="166" spans="5:15" x14ac:dyDescent="0.25">
      <c r="E166" s="148">
        <v>40920</v>
      </c>
      <c r="F166" s="152" t="s">
        <v>54</v>
      </c>
      <c r="G166" s="152">
        <f t="shared" si="10"/>
        <v>112.22214740290001</v>
      </c>
      <c r="H166" s="152">
        <f t="shared" si="11"/>
        <v>103.0454533954</v>
      </c>
      <c r="I166" s="152">
        <v>77.900000000000006</v>
      </c>
      <c r="J166" s="148">
        <f t="shared" si="12"/>
        <v>41284</v>
      </c>
      <c r="K166" s="152">
        <v>0.1</v>
      </c>
      <c r="L166" s="152">
        <v>0.15</v>
      </c>
      <c r="M166" s="152">
        <v>1</v>
      </c>
      <c r="N166" s="10">
        <v>0.05</v>
      </c>
      <c r="O166" s="53">
        <f t="shared" si="13"/>
        <v>0</v>
      </c>
    </row>
    <row r="167" spans="5:15" x14ac:dyDescent="0.25">
      <c r="E167" s="148">
        <v>40921</v>
      </c>
      <c r="F167" s="152" t="s">
        <v>54</v>
      </c>
      <c r="G167" s="152">
        <f t="shared" si="10"/>
        <v>112.22214740290001</v>
      </c>
      <c r="H167" s="152">
        <f t="shared" si="11"/>
        <v>103.0454533954</v>
      </c>
      <c r="I167" s="152">
        <v>78.900000000000006</v>
      </c>
      <c r="J167" s="148">
        <f t="shared" si="12"/>
        <v>41285</v>
      </c>
      <c r="K167" s="152">
        <v>0.1</v>
      </c>
      <c r="L167" s="152">
        <v>0.15</v>
      </c>
      <c r="M167" s="152">
        <v>1</v>
      </c>
      <c r="N167" s="10">
        <v>0.05</v>
      </c>
      <c r="O167" s="53">
        <f t="shared" si="13"/>
        <v>0</v>
      </c>
    </row>
    <row r="168" spans="5:15" x14ac:dyDescent="0.25">
      <c r="E168" s="148">
        <v>40922</v>
      </c>
      <c r="F168" s="152" t="s">
        <v>54</v>
      </c>
      <c r="G168" s="152">
        <f t="shared" si="10"/>
        <v>112.22214740290001</v>
      </c>
      <c r="H168" s="152">
        <f t="shared" si="11"/>
        <v>103.0454533954</v>
      </c>
      <c r="I168" s="152">
        <v>79.900000000000006</v>
      </c>
      <c r="J168" s="148">
        <f t="shared" si="12"/>
        <v>41286</v>
      </c>
      <c r="K168" s="152">
        <v>0.1</v>
      </c>
      <c r="L168" s="152">
        <v>0.15</v>
      </c>
      <c r="M168" s="152">
        <v>1</v>
      </c>
      <c r="N168" s="10">
        <v>0.05</v>
      </c>
      <c r="O168" s="53">
        <f t="shared" si="13"/>
        <v>0</v>
      </c>
    </row>
    <row r="169" spans="5:15" x14ac:dyDescent="0.25">
      <c r="E169" s="148">
        <v>40923</v>
      </c>
      <c r="F169" s="152" t="s">
        <v>54</v>
      </c>
      <c r="G169" s="152">
        <f t="shared" si="10"/>
        <v>112.22214740290001</v>
      </c>
      <c r="H169" s="152">
        <f t="shared" si="11"/>
        <v>103.0454533954</v>
      </c>
      <c r="I169" s="152">
        <v>80.900000000000006</v>
      </c>
      <c r="J169" s="148">
        <f t="shared" si="12"/>
        <v>41287</v>
      </c>
      <c r="K169" s="152">
        <v>0.1</v>
      </c>
      <c r="L169" s="152">
        <v>0.15</v>
      </c>
      <c r="M169" s="152">
        <v>1</v>
      </c>
      <c r="N169" s="10">
        <v>0.05</v>
      </c>
      <c r="O169" s="53">
        <f t="shared" si="13"/>
        <v>0</v>
      </c>
    </row>
    <row r="170" spans="5:15" x14ac:dyDescent="0.25">
      <c r="E170" s="148">
        <v>40924</v>
      </c>
      <c r="F170" s="152" t="s">
        <v>54</v>
      </c>
      <c r="G170" s="152">
        <f t="shared" si="10"/>
        <v>112.22214740290001</v>
      </c>
      <c r="H170" s="152">
        <f t="shared" si="11"/>
        <v>103.0454533954</v>
      </c>
      <c r="I170" s="152">
        <v>81.900000000000006</v>
      </c>
      <c r="J170" s="148">
        <f t="shared" si="12"/>
        <v>41288</v>
      </c>
      <c r="K170" s="152">
        <v>0.1</v>
      </c>
      <c r="L170" s="152">
        <v>0.15</v>
      </c>
      <c r="M170" s="152">
        <v>1</v>
      </c>
      <c r="N170" s="10">
        <v>0.05</v>
      </c>
      <c r="O170" s="53">
        <f t="shared" si="13"/>
        <v>0</v>
      </c>
    </row>
    <row r="171" spans="5:15" x14ac:dyDescent="0.25">
      <c r="E171" s="148">
        <v>40925</v>
      </c>
      <c r="F171" s="152" t="s">
        <v>54</v>
      </c>
      <c r="G171" s="152">
        <f t="shared" si="10"/>
        <v>112.22214740290001</v>
      </c>
      <c r="H171" s="152">
        <f t="shared" si="11"/>
        <v>103.0454533954</v>
      </c>
      <c r="I171" s="152">
        <v>82.9</v>
      </c>
      <c r="J171" s="148">
        <f t="shared" si="12"/>
        <v>41289</v>
      </c>
      <c r="K171" s="152">
        <v>0.1</v>
      </c>
      <c r="L171" s="152">
        <v>0.15</v>
      </c>
      <c r="M171" s="152">
        <v>1</v>
      </c>
      <c r="N171" s="10">
        <v>0.05</v>
      </c>
      <c r="O171" s="53">
        <f t="shared" si="13"/>
        <v>0</v>
      </c>
    </row>
    <row r="172" spans="5:15" x14ac:dyDescent="0.25">
      <c r="E172" s="148">
        <v>40926</v>
      </c>
      <c r="F172" s="152" t="s">
        <v>54</v>
      </c>
      <c r="G172" s="152">
        <f t="shared" si="10"/>
        <v>112.22214740290001</v>
      </c>
      <c r="H172" s="152">
        <f t="shared" si="11"/>
        <v>103.0454533954</v>
      </c>
      <c r="I172" s="152">
        <v>83.9</v>
      </c>
      <c r="J172" s="148">
        <f t="shared" si="12"/>
        <v>41290</v>
      </c>
      <c r="K172" s="152">
        <v>0.1</v>
      </c>
      <c r="L172" s="152">
        <v>0.15</v>
      </c>
      <c r="M172" s="152">
        <v>1</v>
      </c>
      <c r="N172" s="10">
        <v>0.05</v>
      </c>
      <c r="O172" s="53">
        <f t="shared" si="13"/>
        <v>0</v>
      </c>
    </row>
    <row r="173" spans="5:15" x14ac:dyDescent="0.25">
      <c r="E173" s="148">
        <v>40927</v>
      </c>
      <c r="F173" s="152" t="s">
        <v>54</v>
      </c>
      <c r="G173" s="152">
        <f t="shared" si="10"/>
        <v>112.22214740290001</v>
      </c>
      <c r="H173" s="152">
        <f t="shared" si="11"/>
        <v>103.0454533954</v>
      </c>
      <c r="I173" s="152">
        <v>84.9</v>
      </c>
      <c r="J173" s="148">
        <f t="shared" si="12"/>
        <v>41291</v>
      </c>
      <c r="K173" s="152">
        <v>0.1</v>
      </c>
      <c r="L173" s="152">
        <v>0.15</v>
      </c>
      <c r="M173" s="152">
        <v>1</v>
      </c>
      <c r="N173" s="10">
        <v>0.05</v>
      </c>
      <c r="O173" s="53">
        <f t="shared" si="13"/>
        <v>0</v>
      </c>
    </row>
    <row r="174" spans="5:15" x14ac:dyDescent="0.25">
      <c r="E174" s="148">
        <v>40928</v>
      </c>
      <c r="F174" s="152" t="s">
        <v>54</v>
      </c>
      <c r="G174" s="152">
        <f t="shared" si="10"/>
        <v>112.22214740290001</v>
      </c>
      <c r="H174" s="152">
        <f t="shared" si="11"/>
        <v>103.0454533954</v>
      </c>
      <c r="I174" s="152">
        <v>85.9</v>
      </c>
      <c r="J174" s="148">
        <f t="shared" si="12"/>
        <v>41292</v>
      </c>
      <c r="K174" s="152">
        <v>0.1</v>
      </c>
      <c r="L174" s="152">
        <v>0.15</v>
      </c>
      <c r="M174" s="152">
        <v>1</v>
      </c>
      <c r="N174" s="10">
        <v>0.05</v>
      </c>
      <c r="O174" s="53">
        <f t="shared" si="13"/>
        <v>0</v>
      </c>
    </row>
    <row r="175" spans="5:15" x14ac:dyDescent="0.25">
      <c r="E175" s="148">
        <v>40929</v>
      </c>
      <c r="F175" s="152" t="s">
        <v>54</v>
      </c>
      <c r="G175" s="152">
        <f t="shared" si="10"/>
        <v>112.22214740290001</v>
      </c>
      <c r="H175" s="152">
        <f t="shared" si="11"/>
        <v>103.0454533954</v>
      </c>
      <c r="I175" s="152">
        <v>86.9</v>
      </c>
      <c r="J175" s="148">
        <f t="shared" si="12"/>
        <v>41293</v>
      </c>
      <c r="K175" s="152">
        <v>0.1</v>
      </c>
      <c r="L175" s="152">
        <v>0.15</v>
      </c>
      <c r="M175" s="152">
        <v>1</v>
      </c>
      <c r="N175" s="10">
        <v>0.05</v>
      </c>
      <c r="O175" s="53">
        <f t="shared" si="13"/>
        <v>0</v>
      </c>
    </row>
    <row r="176" spans="5:15" x14ac:dyDescent="0.25">
      <c r="E176" s="148">
        <v>40930</v>
      </c>
      <c r="F176" s="152" t="s">
        <v>54</v>
      </c>
      <c r="G176" s="152">
        <f t="shared" si="10"/>
        <v>112.22214740290001</v>
      </c>
      <c r="H176" s="152">
        <f t="shared" si="11"/>
        <v>103.0454533954</v>
      </c>
      <c r="I176" s="152">
        <v>87.9</v>
      </c>
      <c r="J176" s="148">
        <f t="shared" si="12"/>
        <v>41294</v>
      </c>
      <c r="K176" s="152">
        <v>0.1</v>
      </c>
      <c r="L176" s="152">
        <v>0.15</v>
      </c>
      <c r="M176" s="152">
        <v>1</v>
      </c>
      <c r="N176" s="10">
        <v>0.05</v>
      </c>
      <c r="O176" s="53">
        <f t="shared" si="13"/>
        <v>0</v>
      </c>
    </row>
    <row r="177" spans="5:15" x14ac:dyDescent="0.25">
      <c r="E177" s="148">
        <v>40931</v>
      </c>
      <c r="F177" s="152" t="s">
        <v>54</v>
      </c>
      <c r="G177" s="152">
        <f t="shared" si="10"/>
        <v>112.22214740290001</v>
      </c>
      <c r="H177" s="152">
        <f t="shared" si="11"/>
        <v>103.0454533954</v>
      </c>
      <c r="I177" s="152">
        <v>88.9</v>
      </c>
      <c r="J177" s="148">
        <f t="shared" si="12"/>
        <v>41295</v>
      </c>
      <c r="K177" s="152">
        <v>0.1</v>
      </c>
      <c r="L177" s="152">
        <v>0.15</v>
      </c>
      <c r="M177" s="152">
        <v>1</v>
      </c>
      <c r="N177" s="10">
        <v>0.05</v>
      </c>
      <c r="O177" s="53">
        <f t="shared" si="13"/>
        <v>0</v>
      </c>
    </row>
    <row r="178" spans="5:15" x14ac:dyDescent="0.25">
      <c r="E178" s="148">
        <v>40932</v>
      </c>
      <c r="F178" s="152" t="s">
        <v>54</v>
      </c>
      <c r="G178" s="152">
        <f t="shared" si="10"/>
        <v>112.22214740290001</v>
      </c>
      <c r="H178" s="152">
        <f t="shared" si="11"/>
        <v>103.0454533954</v>
      </c>
      <c r="I178" s="152">
        <v>89.9</v>
      </c>
      <c r="J178" s="148">
        <f t="shared" si="12"/>
        <v>41296</v>
      </c>
      <c r="K178" s="152">
        <v>0.1</v>
      </c>
      <c r="L178" s="152">
        <v>0.15</v>
      </c>
      <c r="M178" s="152">
        <v>1</v>
      </c>
      <c r="N178" s="10">
        <v>0.05</v>
      </c>
      <c r="O178" s="53">
        <f t="shared" si="13"/>
        <v>0</v>
      </c>
    </row>
    <row r="179" spans="5:15" x14ac:dyDescent="0.25">
      <c r="E179" s="148">
        <v>40933</v>
      </c>
      <c r="F179" s="152" t="s">
        <v>54</v>
      </c>
      <c r="G179" s="152">
        <f t="shared" si="10"/>
        <v>112.22214740290001</v>
      </c>
      <c r="H179" s="152">
        <f t="shared" si="11"/>
        <v>103.0454533954</v>
      </c>
      <c r="I179" s="152">
        <v>90.9</v>
      </c>
      <c r="J179" s="148">
        <f t="shared" si="12"/>
        <v>41297</v>
      </c>
      <c r="K179" s="152">
        <v>0.1</v>
      </c>
      <c r="L179" s="152">
        <v>0.15</v>
      </c>
      <c r="M179" s="152">
        <v>1</v>
      </c>
      <c r="N179" s="10">
        <v>0.05</v>
      </c>
      <c r="O179" s="53">
        <f t="shared" si="13"/>
        <v>0</v>
      </c>
    </row>
    <row r="180" spans="5:15" x14ac:dyDescent="0.25">
      <c r="E180" s="148">
        <v>40934</v>
      </c>
      <c r="F180" s="152" t="s">
        <v>54</v>
      </c>
      <c r="G180" s="152">
        <f t="shared" si="10"/>
        <v>112.22214740290001</v>
      </c>
      <c r="H180" s="152">
        <f t="shared" si="11"/>
        <v>103.0454533954</v>
      </c>
      <c r="I180" s="152">
        <v>91.9</v>
      </c>
      <c r="J180" s="148">
        <f t="shared" si="12"/>
        <v>41298</v>
      </c>
      <c r="K180" s="152">
        <v>0.1</v>
      </c>
      <c r="L180" s="152">
        <v>0.15</v>
      </c>
      <c r="M180" s="152">
        <v>1</v>
      </c>
      <c r="N180" s="10">
        <v>0.05</v>
      </c>
      <c r="O180" s="53">
        <f t="shared" si="13"/>
        <v>0</v>
      </c>
    </row>
    <row r="181" spans="5:15" x14ac:dyDescent="0.25">
      <c r="E181" s="148">
        <v>40935</v>
      </c>
      <c r="F181" s="152" t="s">
        <v>54</v>
      </c>
      <c r="G181" s="152">
        <f t="shared" si="10"/>
        <v>112.22214740290001</v>
      </c>
      <c r="H181" s="152">
        <f t="shared" si="11"/>
        <v>103.0454533954</v>
      </c>
      <c r="I181" s="152">
        <v>92.9</v>
      </c>
      <c r="J181" s="148">
        <f t="shared" si="12"/>
        <v>41299</v>
      </c>
      <c r="K181" s="152">
        <v>0.1</v>
      </c>
      <c r="L181" s="152">
        <v>0.15</v>
      </c>
      <c r="M181" s="152">
        <v>1</v>
      </c>
      <c r="N181" s="10">
        <v>0.05</v>
      </c>
      <c r="O181" s="53">
        <f t="shared" si="13"/>
        <v>0</v>
      </c>
    </row>
    <row r="182" spans="5:15" x14ac:dyDescent="0.25">
      <c r="E182" s="148">
        <v>40936</v>
      </c>
      <c r="F182" s="152" t="s">
        <v>54</v>
      </c>
      <c r="G182" s="152">
        <f t="shared" si="10"/>
        <v>112.22214740290001</v>
      </c>
      <c r="H182" s="152">
        <f t="shared" si="11"/>
        <v>103.0454533954</v>
      </c>
      <c r="I182" s="152">
        <v>93.9</v>
      </c>
      <c r="J182" s="148">
        <f t="shared" si="12"/>
        <v>41300</v>
      </c>
      <c r="K182" s="152">
        <v>0.1</v>
      </c>
      <c r="L182" s="152">
        <v>0.15</v>
      </c>
      <c r="M182" s="152">
        <v>1</v>
      </c>
      <c r="N182" s="10">
        <v>0.05</v>
      </c>
      <c r="O182" s="53">
        <f t="shared" si="13"/>
        <v>0</v>
      </c>
    </row>
    <row r="183" spans="5:15" x14ac:dyDescent="0.25">
      <c r="E183" s="148">
        <v>40937</v>
      </c>
      <c r="F183" s="152" t="s">
        <v>54</v>
      </c>
      <c r="G183" s="152">
        <f t="shared" si="10"/>
        <v>112.22214740290001</v>
      </c>
      <c r="H183" s="152">
        <f t="shared" si="11"/>
        <v>103.0454533954</v>
      </c>
      <c r="I183" s="152">
        <v>94.9</v>
      </c>
      <c r="J183" s="148">
        <f t="shared" si="12"/>
        <v>41301</v>
      </c>
      <c r="K183" s="152">
        <v>0.1</v>
      </c>
      <c r="L183" s="152">
        <v>0.15</v>
      </c>
      <c r="M183" s="152">
        <v>1</v>
      </c>
      <c r="N183" s="10">
        <v>0.05</v>
      </c>
      <c r="O183" s="53">
        <f t="shared" si="13"/>
        <v>0</v>
      </c>
    </row>
    <row r="184" spans="5:15" x14ac:dyDescent="0.25">
      <c r="E184" s="148">
        <v>40938</v>
      </c>
      <c r="F184" s="152" t="s">
        <v>54</v>
      </c>
      <c r="G184" s="152">
        <f t="shared" si="10"/>
        <v>112.22214740290001</v>
      </c>
      <c r="H184" s="152">
        <f t="shared" si="11"/>
        <v>103.0454533954</v>
      </c>
      <c r="I184" s="152">
        <v>95.9</v>
      </c>
      <c r="J184" s="148">
        <f t="shared" si="12"/>
        <v>41302</v>
      </c>
      <c r="K184" s="152">
        <v>0.1</v>
      </c>
      <c r="L184" s="152">
        <v>0.15</v>
      </c>
      <c r="M184" s="152">
        <v>1</v>
      </c>
      <c r="N184" s="10">
        <v>0.05</v>
      </c>
      <c r="O184" s="53">
        <f t="shared" si="13"/>
        <v>0</v>
      </c>
    </row>
    <row r="185" spans="5:15" x14ac:dyDescent="0.25">
      <c r="E185" s="148">
        <v>40939</v>
      </c>
      <c r="F185" s="152" t="s">
        <v>54</v>
      </c>
      <c r="G185" s="152">
        <f t="shared" si="10"/>
        <v>112.22214740290001</v>
      </c>
      <c r="H185" s="152">
        <f t="shared" si="11"/>
        <v>103.0454533954</v>
      </c>
      <c r="I185" s="152">
        <v>96.9</v>
      </c>
      <c r="J185" s="148">
        <f t="shared" si="12"/>
        <v>41303</v>
      </c>
      <c r="K185" s="152">
        <v>0.1</v>
      </c>
      <c r="L185" s="152">
        <v>0.15</v>
      </c>
      <c r="M185" s="152">
        <v>1</v>
      </c>
      <c r="N185" s="10">
        <v>0.05</v>
      </c>
      <c r="O185" s="53">
        <f t="shared" si="13"/>
        <v>0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L42"/>
  <sheetViews>
    <sheetView workbookViewId="0">
      <selection activeCell="K7" sqref="K7:K42"/>
    </sheetView>
  </sheetViews>
  <sheetFormatPr defaultRowHeight="15" x14ac:dyDescent="0.25"/>
  <cols>
    <col min="8" max="8" width="10.85546875" customWidth="1"/>
    <col min="9" max="9" width="11" bestFit="1" customWidth="1"/>
    <col min="10" max="10" width="11.28515625" bestFit="1" customWidth="1"/>
    <col min="11" max="11" width="12.42578125" customWidth="1"/>
  </cols>
  <sheetData>
    <row r="2" spans="3:12" x14ac:dyDescent="0.25">
      <c r="E2" t="s">
        <v>200</v>
      </c>
      <c r="F2">
        <v>-25</v>
      </c>
    </row>
    <row r="3" spans="3:12" x14ac:dyDescent="0.25">
      <c r="E3" t="s">
        <v>301</v>
      </c>
      <c r="F3">
        <f>-F2</f>
        <v>25</v>
      </c>
    </row>
    <row r="6" spans="3:12" x14ac:dyDescent="0.25">
      <c r="C6" t="s">
        <v>198</v>
      </c>
      <c r="D6" t="s">
        <v>199</v>
      </c>
      <c r="E6" s="175" t="s">
        <v>201</v>
      </c>
      <c r="F6" t="s">
        <v>202</v>
      </c>
      <c r="G6" t="s">
        <v>203</v>
      </c>
      <c r="H6" t="s">
        <v>288</v>
      </c>
      <c r="I6" t="s">
        <v>287</v>
      </c>
      <c r="J6" t="s">
        <v>299</v>
      </c>
      <c r="K6" t="s">
        <v>302</v>
      </c>
    </row>
    <row r="7" spans="3:12" x14ac:dyDescent="0.25">
      <c r="C7">
        <f>-100</f>
        <v>-100</v>
      </c>
      <c r="D7">
        <f>-C7</f>
        <v>100</v>
      </c>
      <c r="E7" s="175">
        <f>MAX(C7-$F$2,0)</f>
        <v>0</v>
      </c>
      <c r="F7">
        <f>MAX($F$2-C7,0)</f>
        <v>75</v>
      </c>
      <c r="G7">
        <f>C7-$F$2</f>
        <v>-75</v>
      </c>
      <c r="H7" s="176">
        <f>F7+G7</f>
        <v>0</v>
      </c>
      <c r="I7" s="167">
        <f>MAX($F$3-D7,0)</f>
        <v>0</v>
      </c>
      <c r="J7">
        <f>MAX(D7-$F$3,0)</f>
        <v>75</v>
      </c>
      <c r="K7">
        <f>-(D7-$F$3)</f>
        <v>-75</v>
      </c>
      <c r="L7">
        <f>J7+K7</f>
        <v>0</v>
      </c>
    </row>
    <row r="8" spans="3:12" x14ac:dyDescent="0.25">
      <c r="C8">
        <v>-90</v>
      </c>
      <c r="D8" s="152">
        <f t="shared" ref="D8:D42" si="0">-C8</f>
        <v>90</v>
      </c>
      <c r="E8" s="175">
        <f t="shared" ref="E8:E42" si="1">MAX(C8-$F$2,0)</f>
        <v>0</v>
      </c>
      <c r="F8" s="152">
        <f t="shared" ref="F8:F42" si="2">MAX($F$2-C8,0)</f>
        <v>65</v>
      </c>
      <c r="G8" s="152">
        <f t="shared" ref="G8:G42" si="3">C8-$F$2</f>
        <v>-65</v>
      </c>
      <c r="H8" s="176">
        <f t="shared" ref="H8:H42" si="4">F8+G8</f>
        <v>0</v>
      </c>
      <c r="I8" s="167">
        <f t="shared" ref="I8:I42" si="5">MAX($F$3-D8,0)</f>
        <v>0</v>
      </c>
      <c r="J8" s="171">
        <f t="shared" ref="J8:J42" si="6">MAX(D8-$F$3,0)</f>
        <v>65</v>
      </c>
      <c r="K8" s="171">
        <f t="shared" ref="K8:K42" si="7">-(D8-$F$3)</f>
        <v>-65</v>
      </c>
      <c r="L8" s="171">
        <f>J8+K8</f>
        <v>0</v>
      </c>
    </row>
    <row r="9" spans="3:12" x14ac:dyDescent="0.25">
      <c r="C9" s="152">
        <f>C8+10</f>
        <v>-80</v>
      </c>
      <c r="D9" s="152">
        <f t="shared" si="0"/>
        <v>80</v>
      </c>
      <c r="E9" s="175">
        <f t="shared" si="1"/>
        <v>0</v>
      </c>
      <c r="F9" s="152">
        <f t="shared" si="2"/>
        <v>55</v>
      </c>
      <c r="G9" s="152">
        <f t="shared" si="3"/>
        <v>-55</v>
      </c>
      <c r="H9" s="176">
        <f t="shared" si="4"/>
        <v>0</v>
      </c>
      <c r="I9" s="167">
        <f t="shared" si="5"/>
        <v>0</v>
      </c>
      <c r="J9" s="171">
        <f t="shared" si="6"/>
        <v>55</v>
      </c>
      <c r="K9" s="171">
        <f t="shared" si="7"/>
        <v>-55</v>
      </c>
      <c r="L9" s="171">
        <f t="shared" ref="L9:L42" si="8">J9+K9</f>
        <v>0</v>
      </c>
    </row>
    <row r="10" spans="3:12" x14ac:dyDescent="0.25">
      <c r="C10" s="152">
        <f t="shared" ref="C10:C42" si="9">C9+10</f>
        <v>-70</v>
      </c>
      <c r="D10" s="152">
        <f t="shared" si="0"/>
        <v>70</v>
      </c>
      <c r="E10" s="175">
        <f t="shared" si="1"/>
        <v>0</v>
      </c>
      <c r="F10" s="152">
        <f t="shared" si="2"/>
        <v>45</v>
      </c>
      <c r="G10" s="152">
        <f t="shared" si="3"/>
        <v>-45</v>
      </c>
      <c r="H10" s="176">
        <f t="shared" si="4"/>
        <v>0</v>
      </c>
      <c r="I10" s="167">
        <f t="shared" si="5"/>
        <v>0</v>
      </c>
      <c r="J10" s="171">
        <f t="shared" si="6"/>
        <v>45</v>
      </c>
      <c r="K10" s="171">
        <f t="shared" si="7"/>
        <v>-45</v>
      </c>
      <c r="L10" s="171">
        <f t="shared" si="8"/>
        <v>0</v>
      </c>
    </row>
    <row r="11" spans="3:12" x14ac:dyDescent="0.25">
      <c r="C11" s="152">
        <f t="shared" si="9"/>
        <v>-60</v>
      </c>
      <c r="D11" s="152">
        <f t="shared" si="0"/>
        <v>60</v>
      </c>
      <c r="E11" s="175">
        <f t="shared" si="1"/>
        <v>0</v>
      </c>
      <c r="F11" s="152">
        <f t="shared" si="2"/>
        <v>35</v>
      </c>
      <c r="G11" s="152">
        <f t="shared" si="3"/>
        <v>-35</v>
      </c>
      <c r="H11" s="176">
        <f t="shared" si="4"/>
        <v>0</v>
      </c>
      <c r="I11" s="167">
        <f t="shared" si="5"/>
        <v>0</v>
      </c>
      <c r="J11" s="171">
        <f t="shared" si="6"/>
        <v>35</v>
      </c>
      <c r="K11" s="171">
        <f t="shared" si="7"/>
        <v>-35</v>
      </c>
      <c r="L11" s="171">
        <f t="shared" si="8"/>
        <v>0</v>
      </c>
    </row>
    <row r="12" spans="3:12" x14ac:dyDescent="0.25">
      <c r="C12" s="152">
        <f t="shared" si="9"/>
        <v>-50</v>
      </c>
      <c r="D12" s="152">
        <f t="shared" si="0"/>
        <v>50</v>
      </c>
      <c r="E12" s="175">
        <f t="shared" si="1"/>
        <v>0</v>
      </c>
      <c r="F12" s="152">
        <f t="shared" si="2"/>
        <v>25</v>
      </c>
      <c r="G12" s="152">
        <f t="shared" si="3"/>
        <v>-25</v>
      </c>
      <c r="H12" s="176">
        <f t="shared" si="4"/>
        <v>0</v>
      </c>
      <c r="I12" s="167">
        <f t="shared" si="5"/>
        <v>0</v>
      </c>
      <c r="J12" s="171">
        <f t="shared" si="6"/>
        <v>25</v>
      </c>
      <c r="K12" s="171">
        <f t="shared" si="7"/>
        <v>-25</v>
      </c>
      <c r="L12" s="171">
        <f t="shared" si="8"/>
        <v>0</v>
      </c>
    </row>
    <row r="13" spans="3:12" x14ac:dyDescent="0.25">
      <c r="C13" s="152">
        <f t="shared" si="9"/>
        <v>-40</v>
      </c>
      <c r="D13" s="152">
        <f t="shared" si="0"/>
        <v>40</v>
      </c>
      <c r="E13" s="175">
        <f t="shared" si="1"/>
        <v>0</v>
      </c>
      <c r="F13" s="152">
        <f t="shared" si="2"/>
        <v>15</v>
      </c>
      <c r="G13" s="152">
        <f t="shared" si="3"/>
        <v>-15</v>
      </c>
      <c r="H13" s="176">
        <f t="shared" si="4"/>
        <v>0</v>
      </c>
      <c r="I13" s="167">
        <f t="shared" si="5"/>
        <v>0</v>
      </c>
      <c r="J13" s="171">
        <f t="shared" si="6"/>
        <v>15</v>
      </c>
      <c r="K13" s="171">
        <f t="shared" si="7"/>
        <v>-15</v>
      </c>
      <c r="L13" s="171">
        <f t="shared" si="8"/>
        <v>0</v>
      </c>
    </row>
    <row r="14" spans="3:12" x14ac:dyDescent="0.25">
      <c r="C14" s="152">
        <f t="shared" si="9"/>
        <v>-30</v>
      </c>
      <c r="D14" s="152">
        <f t="shared" si="0"/>
        <v>30</v>
      </c>
      <c r="E14" s="175">
        <f t="shared" si="1"/>
        <v>0</v>
      </c>
      <c r="F14" s="152">
        <f t="shared" si="2"/>
        <v>5</v>
      </c>
      <c r="G14" s="152">
        <f t="shared" si="3"/>
        <v>-5</v>
      </c>
      <c r="H14" s="176">
        <f t="shared" si="4"/>
        <v>0</v>
      </c>
      <c r="I14" s="167">
        <f t="shared" si="5"/>
        <v>0</v>
      </c>
      <c r="J14" s="171">
        <f t="shared" si="6"/>
        <v>5</v>
      </c>
      <c r="K14" s="171">
        <f t="shared" si="7"/>
        <v>-5</v>
      </c>
      <c r="L14" s="171">
        <f t="shared" si="8"/>
        <v>0</v>
      </c>
    </row>
    <row r="15" spans="3:12" x14ac:dyDescent="0.25">
      <c r="C15" s="152">
        <f t="shared" si="9"/>
        <v>-20</v>
      </c>
      <c r="D15" s="152">
        <f t="shared" si="0"/>
        <v>20</v>
      </c>
      <c r="E15" s="175">
        <f t="shared" si="1"/>
        <v>5</v>
      </c>
      <c r="F15" s="152">
        <f t="shared" si="2"/>
        <v>0</v>
      </c>
      <c r="G15" s="152">
        <f t="shared" si="3"/>
        <v>5</v>
      </c>
      <c r="H15" s="176">
        <f t="shared" si="4"/>
        <v>5</v>
      </c>
      <c r="I15" s="167">
        <f t="shared" si="5"/>
        <v>5</v>
      </c>
      <c r="J15" s="171">
        <f t="shared" si="6"/>
        <v>0</v>
      </c>
      <c r="K15" s="171">
        <f t="shared" si="7"/>
        <v>5</v>
      </c>
      <c r="L15" s="171">
        <f t="shared" si="8"/>
        <v>5</v>
      </c>
    </row>
    <row r="16" spans="3:12" x14ac:dyDescent="0.25">
      <c r="C16" s="152">
        <f t="shared" si="9"/>
        <v>-10</v>
      </c>
      <c r="D16" s="152">
        <f t="shared" si="0"/>
        <v>10</v>
      </c>
      <c r="E16" s="175">
        <f t="shared" si="1"/>
        <v>15</v>
      </c>
      <c r="F16" s="152">
        <f t="shared" si="2"/>
        <v>0</v>
      </c>
      <c r="G16" s="152">
        <f t="shared" si="3"/>
        <v>15</v>
      </c>
      <c r="H16" s="176">
        <f t="shared" si="4"/>
        <v>15</v>
      </c>
      <c r="I16" s="167">
        <f t="shared" si="5"/>
        <v>15</v>
      </c>
      <c r="J16" s="171">
        <f t="shared" si="6"/>
        <v>0</v>
      </c>
      <c r="K16" s="171">
        <f t="shared" si="7"/>
        <v>15</v>
      </c>
      <c r="L16" s="171">
        <f t="shared" si="8"/>
        <v>15</v>
      </c>
    </row>
    <row r="17" spans="3:12" x14ac:dyDescent="0.25">
      <c r="C17" s="152">
        <f t="shared" si="9"/>
        <v>0</v>
      </c>
      <c r="D17" s="152">
        <f t="shared" si="0"/>
        <v>0</v>
      </c>
      <c r="E17" s="175">
        <f t="shared" si="1"/>
        <v>25</v>
      </c>
      <c r="F17" s="152">
        <f t="shared" si="2"/>
        <v>0</v>
      </c>
      <c r="G17" s="152">
        <f t="shared" si="3"/>
        <v>25</v>
      </c>
      <c r="H17" s="176">
        <f t="shared" si="4"/>
        <v>25</v>
      </c>
      <c r="I17" s="167">
        <f t="shared" si="5"/>
        <v>25</v>
      </c>
      <c r="J17" s="171">
        <f t="shared" si="6"/>
        <v>0</v>
      </c>
      <c r="K17" s="171">
        <f t="shared" si="7"/>
        <v>25</v>
      </c>
      <c r="L17" s="171">
        <f t="shared" si="8"/>
        <v>25</v>
      </c>
    </row>
    <row r="18" spans="3:12" x14ac:dyDescent="0.25">
      <c r="C18" s="152">
        <f t="shared" si="9"/>
        <v>10</v>
      </c>
      <c r="D18" s="152">
        <f t="shared" si="0"/>
        <v>-10</v>
      </c>
      <c r="E18" s="175">
        <f t="shared" si="1"/>
        <v>35</v>
      </c>
      <c r="F18" s="152">
        <f t="shared" si="2"/>
        <v>0</v>
      </c>
      <c r="G18" s="152">
        <f t="shared" si="3"/>
        <v>35</v>
      </c>
      <c r="H18" s="176">
        <f t="shared" si="4"/>
        <v>35</v>
      </c>
      <c r="I18" s="167">
        <f t="shared" si="5"/>
        <v>35</v>
      </c>
      <c r="J18" s="171">
        <f t="shared" si="6"/>
        <v>0</v>
      </c>
      <c r="K18" s="171">
        <f t="shared" si="7"/>
        <v>35</v>
      </c>
      <c r="L18" s="171">
        <f t="shared" si="8"/>
        <v>35</v>
      </c>
    </row>
    <row r="19" spans="3:12" x14ac:dyDescent="0.25">
      <c r="C19" s="152">
        <f t="shared" si="9"/>
        <v>20</v>
      </c>
      <c r="D19" s="152">
        <f t="shared" si="0"/>
        <v>-20</v>
      </c>
      <c r="E19" s="175">
        <f t="shared" si="1"/>
        <v>45</v>
      </c>
      <c r="F19" s="152">
        <f t="shared" si="2"/>
        <v>0</v>
      </c>
      <c r="G19" s="152">
        <f t="shared" si="3"/>
        <v>45</v>
      </c>
      <c r="H19" s="176">
        <f t="shared" si="4"/>
        <v>45</v>
      </c>
      <c r="I19" s="167">
        <f t="shared" si="5"/>
        <v>45</v>
      </c>
      <c r="J19" s="171">
        <f t="shared" si="6"/>
        <v>0</v>
      </c>
      <c r="K19" s="171">
        <f t="shared" si="7"/>
        <v>45</v>
      </c>
      <c r="L19" s="171">
        <f t="shared" si="8"/>
        <v>45</v>
      </c>
    </row>
    <row r="20" spans="3:12" x14ac:dyDescent="0.25">
      <c r="C20" s="152">
        <f t="shared" si="9"/>
        <v>30</v>
      </c>
      <c r="D20" s="152">
        <f t="shared" si="0"/>
        <v>-30</v>
      </c>
      <c r="E20" s="175">
        <f t="shared" si="1"/>
        <v>55</v>
      </c>
      <c r="F20" s="152">
        <f t="shared" si="2"/>
        <v>0</v>
      </c>
      <c r="G20" s="152">
        <f t="shared" si="3"/>
        <v>55</v>
      </c>
      <c r="H20" s="176">
        <f t="shared" si="4"/>
        <v>55</v>
      </c>
      <c r="I20" s="167">
        <f t="shared" si="5"/>
        <v>55</v>
      </c>
      <c r="J20" s="171">
        <f t="shared" si="6"/>
        <v>0</v>
      </c>
      <c r="K20" s="171">
        <f t="shared" si="7"/>
        <v>55</v>
      </c>
      <c r="L20" s="171">
        <f t="shared" si="8"/>
        <v>55</v>
      </c>
    </row>
    <row r="21" spans="3:12" x14ac:dyDescent="0.25">
      <c r="C21" s="152">
        <f t="shared" si="9"/>
        <v>40</v>
      </c>
      <c r="D21" s="152">
        <f t="shared" si="0"/>
        <v>-40</v>
      </c>
      <c r="E21" s="175">
        <f t="shared" si="1"/>
        <v>65</v>
      </c>
      <c r="F21" s="152">
        <f t="shared" si="2"/>
        <v>0</v>
      </c>
      <c r="G21" s="152">
        <f t="shared" si="3"/>
        <v>65</v>
      </c>
      <c r="H21" s="176">
        <f t="shared" si="4"/>
        <v>65</v>
      </c>
      <c r="I21" s="167">
        <f t="shared" si="5"/>
        <v>65</v>
      </c>
      <c r="J21" s="171">
        <f t="shared" si="6"/>
        <v>0</v>
      </c>
      <c r="K21" s="171">
        <f t="shared" si="7"/>
        <v>65</v>
      </c>
      <c r="L21" s="171">
        <f t="shared" si="8"/>
        <v>65</v>
      </c>
    </row>
    <row r="22" spans="3:12" x14ac:dyDescent="0.25">
      <c r="C22" s="152">
        <f t="shared" si="9"/>
        <v>50</v>
      </c>
      <c r="D22" s="152">
        <f t="shared" si="0"/>
        <v>-50</v>
      </c>
      <c r="E22" s="175">
        <f t="shared" si="1"/>
        <v>75</v>
      </c>
      <c r="F22" s="152">
        <f t="shared" si="2"/>
        <v>0</v>
      </c>
      <c r="G22" s="152">
        <f t="shared" si="3"/>
        <v>75</v>
      </c>
      <c r="H22" s="176">
        <f t="shared" si="4"/>
        <v>75</v>
      </c>
      <c r="I22" s="167">
        <f t="shared" si="5"/>
        <v>75</v>
      </c>
      <c r="J22" s="171">
        <f t="shared" si="6"/>
        <v>0</v>
      </c>
      <c r="K22" s="171">
        <f t="shared" si="7"/>
        <v>75</v>
      </c>
      <c r="L22" s="171">
        <f t="shared" si="8"/>
        <v>75</v>
      </c>
    </row>
    <row r="23" spans="3:12" x14ac:dyDescent="0.25">
      <c r="C23" s="152">
        <f t="shared" si="9"/>
        <v>60</v>
      </c>
      <c r="D23" s="152">
        <f t="shared" si="0"/>
        <v>-60</v>
      </c>
      <c r="E23" s="175">
        <f t="shared" si="1"/>
        <v>85</v>
      </c>
      <c r="F23" s="152">
        <f t="shared" si="2"/>
        <v>0</v>
      </c>
      <c r="G23" s="152">
        <f t="shared" si="3"/>
        <v>85</v>
      </c>
      <c r="H23" s="176">
        <f t="shared" si="4"/>
        <v>85</v>
      </c>
      <c r="I23" s="167">
        <f t="shared" si="5"/>
        <v>85</v>
      </c>
      <c r="J23" s="171">
        <f t="shared" si="6"/>
        <v>0</v>
      </c>
      <c r="K23" s="171">
        <f t="shared" si="7"/>
        <v>85</v>
      </c>
      <c r="L23" s="171">
        <f t="shared" si="8"/>
        <v>85</v>
      </c>
    </row>
    <row r="24" spans="3:12" x14ac:dyDescent="0.25">
      <c r="C24" s="152">
        <f t="shared" si="9"/>
        <v>70</v>
      </c>
      <c r="D24" s="152">
        <f t="shared" si="0"/>
        <v>-70</v>
      </c>
      <c r="E24" s="175">
        <f t="shared" si="1"/>
        <v>95</v>
      </c>
      <c r="F24" s="152">
        <f t="shared" si="2"/>
        <v>0</v>
      </c>
      <c r="G24" s="152">
        <f t="shared" si="3"/>
        <v>95</v>
      </c>
      <c r="H24" s="176">
        <f t="shared" si="4"/>
        <v>95</v>
      </c>
      <c r="I24" s="167">
        <f t="shared" si="5"/>
        <v>95</v>
      </c>
      <c r="J24" s="171">
        <f t="shared" si="6"/>
        <v>0</v>
      </c>
      <c r="K24" s="171">
        <f t="shared" si="7"/>
        <v>95</v>
      </c>
      <c r="L24" s="171">
        <f t="shared" si="8"/>
        <v>95</v>
      </c>
    </row>
    <row r="25" spans="3:12" x14ac:dyDescent="0.25">
      <c r="C25" s="152">
        <f t="shared" si="9"/>
        <v>80</v>
      </c>
      <c r="D25" s="152">
        <f t="shared" si="0"/>
        <v>-80</v>
      </c>
      <c r="E25" s="175">
        <f t="shared" si="1"/>
        <v>105</v>
      </c>
      <c r="F25" s="152">
        <f t="shared" si="2"/>
        <v>0</v>
      </c>
      <c r="G25" s="152">
        <f t="shared" si="3"/>
        <v>105</v>
      </c>
      <c r="H25" s="176">
        <f t="shared" si="4"/>
        <v>105</v>
      </c>
      <c r="I25" s="167">
        <f t="shared" si="5"/>
        <v>105</v>
      </c>
      <c r="J25" s="171">
        <f t="shared" si="6"/>
        <v>0</v>
      </c>
      <c r="K25" s="171">
        <f t="shared" si="7"/>
        <v>105</v>
      </c>
      <c r="L25" s="171">
        <f t="shared" si="8"/>
        <v>105</v>
      </c>
    </row>
    <row r="26" spans="3:12" x14ac:dyDescent="0.25">
      <c r="C26" s="152">
        <f t="shared" si="9"/>
        <v>90</v>
      </c>
      <c r="D26" s="152">
        <f t="shared" si="0"/>
        <v>-90</v>
      </c>
      <c r="E26" s="175">
        <f t="shared" si="1"/>
        <v>115</v>
      </c>
      <c r="F26" s="152">
        <f t="shared" si="2"/>
        <v>0</v>
      </c>
      <c r="G26" s="152">
        <f t="shared" si="3"/>
        <v>115</v>
      </c>
      <c r="H26" s="176">
        <f t="shared" si="4"/>
        <v>115</v>
      </c>
      <c r="I26" s="167">
        <f t="shared" si="5"/>
        <v>115</v>
      </c>
      <c r="J26" s="171">
        <f t="shared" si="6"/>
        <v>0</v>
      </c>
      <c r="K26" s="171">
        <f t="shared" si="7"/>
        <v>115</v>
      </c>
      <c r="L26" s="171">
        <f t="shared" si="8"/>
        <v>115</v>
      </c>
    </row>
    <row r="27" spans="3:12" x14ac:dyDescent="0.25">
      <c r="C27" s="152">
        <f t="shared" si="9"/>
        <v>100</v>
      </c>
      <c r="D27" s="152">
        <f t="shared" si="0"/>
        <v>-100</v>
      </c>
      <c r="E27" s="175">
        <f t="shared" si="1"/>
        <v>125</v>
      </c>
      <c r="F27" s="152">
        <f t="shared" si="2"/>
        <v>0</v>
      </c>
      <c r="G27" s="152">
        <f t="shared" si="3"/>
        <v>125</v>
      </c>
      <c r="H27" s="176">
        <f t="shared" si="4"/>
        <v>125</v>
      </c>
      <c r="I27" s="167">
        <f t="shared" si="5"/>
        <v>125</v>
      </c>
      <c r="J27" s="171">
        <f t="shared" si="6"/>
        <v>0</v>
      </c>
      <c r="K27" s="171">
        <f t="shared" si="7"/>
        <v>125</v>
      </c>
      <c r="L27" s="171">
        <f t="shared" si="8"/>
        <v>125</v>
      </c>
    </row>
    <row r="28" spans="3:12" x14ac:dyDescent="0.25">
      <c r="C28" s="152">
        <f t="shared" si="9"/>
        <v>110</v>
      </c>
      <c r="D28" s="152">
        <f t="shared" si="0"/>
        <v>-110</v>
      </c>
      <c r="E28" s="175">
        <f t="shared" si="1"/>
        <v>135</v>
      </c>
      <c r="F28" s="152">
        <f t="shared" si="2"/>
        <v>0</v>
      </c>
      <c r="G28" s="152">
        <f t="shared" si="3"/>
        <v>135</v>
      </c>
      <c r="H28" s="176">
        <f t="shared" si="4"/>
        <v>135</v>
      </c>
      <c r="I28" s="167">
        <f t="shared" si="5"/>
        <v>135</v>
      </c>
      <c r="J28" s="171">
        <f t="shared" si="6"/>
        <v>0</v>
      </c>
      <c r="K28" s="171">
        <f t="shared" si="7"/>
        <v>135</v>
      </c>
      <c r="L28" s="171">
        <f t="shared" si="8"/>
        <v>135</v>
      </c>
    </row>
    <row r="29" spans="3:12" x14ac:dyDescent="0.25">
      <c r="C29" s="152">
        <f t="shared" si="9"/>
        <v>120</v>
      </c>
      <c r="D29" s="152">
        <f t="shared" si="0"/>
        <v>-120</v>
      </c>
      <c r="E29" s="175">
        <f t="shared" si="1"/>
        <v>145</v>
      </c>
      <c r="F29" s="152">
        <f t="shared" si="2"/>
        <v>0</v>
      </c>
      <c r="G29" s="152">
        <f t="shared" si="3"/>
        <v>145</v>
      </c>
      <c r="H29" s="176">
        <f t="shared" si="4"/>
        <v>145</v>
      </c>
      <c r="I29" s="167">
        <f t="shared" si="5"/>
        <v>145</v>
      </c>
      <c r="J29" s="171">
        <f t="shared" si="6"/>
        <v>0</v>
      </c>
      <c r="K29" s="171">
        <f t="shared" si="7"/>
        <v>145</v>
      </c>
      <c r="L29" s="171">
        <f t="shared" si="8"/>
        <v>145</v>
      </c>
    </row>
    <row r="30" spans="3:12" x14ac:dyDescent="0.25">
      <c r="C30" s="152">
        <f t="shared" si="9"/>
        <v>130</v>
      </c>
      <c r="D30" s="152">
        <f t="shared" si="0"/>
        <v>-130</v>
      </c>
      <c r="E30" s="175">
        <f t="shared" si="1"/>
        <v>155</v>
      </c>
      <c r="F30" s="152">
        <f t="shared" si="2"/>
        <v>0</v>
      </c>
      <c r="G30" s="152">
        <f t="shared" si="3"/>
        <v>155</v>
      </c>
      <c r="H30" s="176">
        <f t="shared" si="4"/>
        <v>155</v>
      </c>
      <c r="I30" s="167">
        <f t="shared" si="5"/>
        <v>155</v>
      </c>
      <c r="J30" s="171">
        <f t="shared" si="6"/>
        <v>0</v>
      </c>
      <c r="K30" s="171">
        <f t="shared" si="7"/>
        <v>155</v>
      </c>
      <c r="L30" s="171">
        <f t="shared" si="8"/>
        <v>155</v>
      </c>
    </row>
    <row r="31" spans="3:12" x14ac:dyDescent="0.25">
      <c r="C31" s="152">
        <f t="shared" si="9"/>
        <v>140</v>
      </c>
      <c r="D31" s="152">
        <f t="shared" si="0"/>
        <v>-140</v>
      </c>
      <c r="E31" s="175">
        <f t="shared" si="1"/>
        <v>165</v>
      </c>
      <c r="F31" s="152">
        <f t="shared" si="2"/>
        <v>0</v>
      </c>
      <c r="G31" s="152">
        <f t="shared" si="3"/>
        <v>165</v>
      </c>
      <c r="H31" s="176">
        <f t="shared" si="4"/>
        <v>165</v>
      </c>
      <c r="I31" s="167">
        <f t="shared" si="5"/>
        <v>165</v>
      </c>
      <c r="J31" s="171">
        <f t="shared" si="6"/>
        <v>0</v>
      </c>
      <c r="K31" s="171">
        <f t="shared" si="7"/>
        <v>165</v>
      </c>
      <c r="L31" s="171">
        <f t="shared" si="8"/>
        <v>165</v>
      </c>
    </row>
    <row r="32" spans="3:12" x14ac:dyDescent="0.25">
      <c r="C32" s="152">
        <f t="shared" si="9"/>
        <v>150</v>
      </c>
      <c r="D32" s="152">
        <f t="shared" si="0"/>
        <v>-150</v>
      </c>
      <c r="E32" s="175">
        <f t="shared" si="1"/>
        <v>175</v>
      </c>
      <c r="F32" s="152">
        <f t="shared" si="2"/>
        <v>0</v>
      </c>
      <c r="G32" s="152">
        <f t="shared" si="3"/>
        <v>175</v>
      </c>
      <c r="H32" s="176">
        <f t="shared" si="4"/>
        <v>175</v>
      </c>
      <c r="I32" s="167">
        <f t="shared" si="5"/>
        <v>175</v>
      </c>
      <c r="J32" s="171">
        <f t="shared" si="6"/>
        <v>0</v>
      </c>
      <c r="K32" s="171">
        <f t="shared" si="7"/>
        <v>175</v>
      </c>
      <c r="L32" s="171">
        <f t="shared" si="8"/>
        <v>175</v>
      </c>
    </row>
    <row r="33" spans="3:12" x14ac:dyDescent="0.25">
      <c r="C33" s="152">
        <f t="shared" si="9"/>
        <v>160</v>
      </c>
      <c r="D33" s="152">
        <f t="shared" si="0"/>
        <v>-160</v>
      </c>
      <c r="E33" s="175">
        <f t="shared" si="1"/>
        <v>185</v>
      </c>
      <c r="F33" s="152">
        <f t="shared" si="2"/>
        <v>0</v>
      </c>
      <c r="G33" s="152">
        <f t="shared" si="3"/>
        <v>185</v>
      </c>
      <c r="H33" s="176">
        <f t="shared" si="4"/>
        <v>185</v>
      </c>
      <c r="I33" s="167">
        <f t="shared" si="5"/>
        <v>185</v>
      </c>
      <c r="J33" s="171">
        <f t="shared" si="6"/>
        <v>0</v>
      </c>
      <c r="K33" s="171">
        <f t="shared" si="7"/>
        <v>185</v>
      </c>
      <c r="L33" s="171">
        <f t="shared" si="8"/>
        <v>185</v>
      </c>
    </row>
    <row r="34" spans="3:12" x14ac:dyDescent="0.25">
      <c r="C34" s="152">
        <f t="shared" si="9"/>
        <v>170</v>
      </c>
      <c r="D34" s="152">
        <f t="shared" si="0"/>
        <v>-170</v>
      </c>
      <c r="E34" s="175">
        <f t="shared" si="1"/>
        <v>195</v>
      </c>
      <c r="F34" s="152">
        <f t="shared" si="2"/>
        <v>0</v>
      </c>
      <c r="G34" s="152">
        <f t="shared" si="3"/>
        <v>195</v>
      </c>
      <c r="H34" s="176">
        <f t="shared" si="4"/>
        <v>195</v>
      </c>
      <c r="I34" s="167">
        <f t="shared" si="5"/>
        <v>195</v>
      </c>
      <c r="J34" s="171">
        <f t="shared" si="6"/>
        <v>0</v>
      </c>
      <c r="K34" s="171">
        <f t="shared" si="7"/>
        <v>195</v>
      </c>
      <c r="L34" s="171">
        <f t="shared" si="8"/>
        <v>195</v>
      </c>
    </row>
    <row r="35" spans="3:12" x14ac:dyDescent="0.25">
      <c r="C35" s="152">
        <f t="shared" si="9"/>
        <v>180</v>
      </c>
      <c r="D35" s="152">
        <f t="shared" si="0"/>
        <v>-180</v>
      </c>
      <c r="E35" s="175">
        <f t="shared" si="1"/>
        <v>205</v>
      </c>
      <c r="F35" s="152">
        <f t="shared" si="2"/>
        <v>0</v>
      </c>
      <c r="G35" s="152">
        <f t="shared" si="3"/>
        <v>205</v>
      </c>
      <c r="H35" s="176">
        <f t="shared" si="4"/>
        <v>205</v>
      </c>
      <c r="I35" s="167">
        <f t="shared" si="5"/>
        <v>205</v>
      </c>
      <c r="J35" s="171">
        <f t="shared" si="6"/>
        <v>0</v>
      </c>
      <c r="K35" s="171">
        <f t="shared" si="7"/>
        <v>205</v>
      </c>
      <c r="L35" s="171">
        <f t="shared" si="8"/>
        <v>205</v>
      </c>
    </row>
    <row r="36" spans="3:12" x14ac:dyDescent="0.25">
      <c r="C36" s="152">
        <f t="shared" si="9"/>
        <v>190</v>
      </c>
      <c r="D36" s="152">
        <f t="shared" si="0"/>
        <v>-190</v>
      </c>
      <c r="E36" s="175">
        <f t="shared" si="1"/>
        <v>215</v>
      </c>
      <c r="F36" s="152">
        <f t="shared" si="2"/>
        <v>0</v>
      </c>
      <c r="G36" s="152">
        <f t="shared" si="3"/>
        <v>215</v>
      </c>
      <c r="H36" s="176">
        <f t="shared" si="4"/>
        <v>215</v>
      </c>
      <c r="I36" s="167">
        <f t="shared" si="5"/>
        <v>215</v>
      </c>
      <c r="J36" s="171">
        <f t="shared" si="6"/>
        <v>0</v>
      </c>
      <c r="K36" s="171">
        <f t="shared" si="7"/>
        <v>215</v>
      </c>
      <c r="L36" s="171">
        <f t="shared" si="8"/>
        <v>215</v>
      </c>
    </row>
    <row r="37" spans="3:12" x14ac:dyDescent="0.25">
      <c r="C37" s="152">
        <f t="shared" si="9"/>
        <v>200</v>
      </c>
      <c r="D37" s="152">
        <f t="shared" si="0"/>
        <v>-200</v>
      </c>
      <c r="E37" s="175">
        <f t="shared" si="1"/>
        <v>225</v>
      </c>
      <c r="F37" s="152">
        <f t="shared" si="2"/>
        <v>0</v>
      </c>
      <c r="G37" s="152">
        <f t="shared" si="3"/>
        <v>225</v>
      </c>
      <c r="H37" s="176">
        <f t="shared" si="4"/>
        <v>225</v>
      </c>
      <c r="I37" s="167">
        <f t="shared" si="5"/>
        <v>225</v>
      </c>
      <c r="J37" s="171">
        <f t="shared" si="6"/>
        <v>0</v>
      </c>
      <c r="K37" s="171">
        <f t="shared" si="7"/>
        <v>225</v>
      </c>
      <c r="L37" s="171">
        <f t="shared" si="8"/>
        <v>225</v>
      </c>
    </row>
    <row r="38" spans="3:12" x14ac:dyDescent="0.25">
      <c r="C38" s="152">
        <f t="shared" si="9"/>
        <v>210</v>
      </c>
      <c r="D38" s="152">
        <f t="shared" si="0"/>
        <v>-210</v>
      </c>
      <c r="E38" s="175">
        <f t="shared" si="1"/>
        <v>235</v>
      </c>
      <c r="F38" s="152">
        <f t="shared" si="2"/>
        <v>0</v>
      </c>
      <c r="G38" s="152">
        <f t="shared" si="3"/>
        <v>235</v>
      </c>
      <c r="H38" s="176">
        <f t="shared" si="4"/>
        <v>235</v>
      </c>
      <c r="I38" s="167">
        <f t="shared" si="5"/>
        <v>235</v>
      </c>
      <c r="J38" s="171">
        <f t="shared" si="6"/>
        <v>0</v>
      </c>
      <c r="K38" s="171">
        <f t="shared" si="7"/>
        <v>235</v>
      </c>
      <c r="L38" s="171">
        <f t="shared" si="8"/>
        <v>235</v>
      </c>
    </row>
    <row r="39" spans="3:12" x14ac:dyDescent="0.25">
      <c r="C39" s="152">
        <f t="shared" si="9"/>
        <v>220</v>
      </c>
      <c r="D39" s="152">
        <f t="shared" si="0"/>
        <v>-220</v>
      </c>
      <c r="E39" s="175">
        <f t="shared" si="1"/>
        <v>245</v>
      </c>
      <c r="F39" s="152">
        <f t="shared" si="2"/>
        <v>0</v>
      </c>
      <c r="G39" s="152">
        <f t="shared" si="3"/>
        <v>245</v>
      </c>
      <c r="H39" s="176">
        <f t="shared" si="4"/>
        <v>245</v>
      </c>
      <c r="I39" s="167">
        <f t="shared" si="5"/>
        <v>245</v>
      </c>
      <c r="J39" s="171">
        <f t="shared" si="6"/>
        <v>0</v>
      </c>
      <c r="K39" s="171">
        <f t="shared" si="7"/>
        <v>245</v>
      </c>
      <c r="L39" s="171">
        <f t="shared" si="8"/>
        <v>245</v>
      </c>
    </row>
    <row r="40" spans="3:12" x14ac:dyDescent="0.25">
      <c r="C40" s="152">
        <f t="shared" si="9"/>
        <v>230</v>
      </c>
      <c r="D40" s="152">
        <f t="shared" si="0"/>
        <v>-230</v>
      </c>
      <c r="E40" s="175">
        <f t="shared" si="1"/>
        <v>255</v>
      </c>
      <c r="F40" s="152">
        <f t="shared" si="2"/>
        <v>0</v>
      </c>
      <c r="G40" s="152">
        <f t="shared" si="3"/>
        <v>255</v>
      </c>
      <c r="H40" s="176">
        <f t="shared" si="4"/>
        <v>255</v>
      </c>
      <c r="I40" s="167">
        <f t="shared" si="5"/>
        <v>255</v>
      </c>
      <c r="J40" s="171">
        <f t="shared" si="6"/>
        <v>0</v>
      </c>
      <c r="K40" s="171">
        <f t="shared" si="7"/>
        <v>255</v>
      </c>
      <c r="L40" s="171">
        <f t="shared" si="8"/>
        <v>255</v>
      </c>
    </row>
    <row r="41" spans="3:12" x14ac:dyDescent="0.25">
      <c r="C41" s="152">
        <f t="shared" si="9"/>
        <v>240</v>
      </c>
      <c r="D41" s="152">
        <f t="shared" si="0"/>
        <v>-240</v>
      </c>
      <c r="E41" s="175">
        <f t="shared" si="1"/>
        <v>265</v>
      </c>
      <c r="F41" s="152">
        <f t="shared" si="2"/>
        <v>0</v>
      </c>
      <c r="G41" s="152">
        <f t="shared" si="3"/>
        <v>265</v>
      </c>
      <c r="H41" s="176">
        <f t="shared" si="4"/>
        <v>265</v>
      </c>
      <c r="I41" s="167">
        <f t="shared" si="5"/>
        <v>265</v>
      </c>
      <c r="J41" s="171">
        <f t="shared" si="6"/>
        <v>0</v>
      </c>
      <c r="K41" s="171">
        <f t="shared" si="7"/>
        <v>265</v>
      </c>
      <c r="L41" s="171">
        <f t="shared" si="8"/>
        <v>265</v>
      </c>
    </row>
    <row r="42" spans="3:12" x14ac:dyDescent="0.25">
      <c r="C42" s="152">
        <f t="shared" si="9"/>
        <v>250</v>
      </c>
      <c r="D42" s="152">
        <f t="shared" si="0"/>
        <v>-250</v>
      </c>
      <c r="E42" s="158">
        <f t="shared" si="1"/>
        <v>275</v>
      </c>
      <c r="F42" s="152">
        <f t="shared" si="2"/>
        <v>0</v>
      </c>
      <c r="G42" s="152">
        <f t="shared" si="3"/>
        <v>275</v>
      </c>
      <c r="H42" s="176">
        <f t="shared" si="4"/>
        <v>275</v>
      </c>
      <c r="I42" s="167">
        <f t="shared" si="5"/>
        <v>275</v>
      </c>
      <c r="J42" s="171">
        <f t="shared" si="6"/>
        <v>0</v>
      </c>
      <c r="K42" s="171">
        <f t="shared" si="7"/>
        <v>275</v>
      </c>
      <c r="L42" s="171">
        <f t="shared" si="8"/>
        <v>275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N31"/>
  <sheetViews>
    <sheetView workbookViewId="0">
      <selection activeCell="O30" sqref="O30"/>
    </sheetView>
  </sheetViews>
  <sheetFormatPr defaultRowHeight="15" x14ac:dyDescent="0.25"/>
  <cols>
    <col min="3" max="3" width="11.28515625" bestFit="1" customWidth="1"/>
    <col min="5" max="6" width="16.5703125" bestFit="1" customWidth="1"/>
    <col min="8" max="8" width="10.7109375" bestFit="1" customWidth="1"/>
    <col min="10" max="11" width="12.7109375" bestFit="1" customWidth="1"/>
    <col min="12" max="12" width="19" bestFit="1" customWidth="1"/>
    <col min="13" max="13" width="12.85546875" customWidth="1"/>
    <col min="14" max="14" width="16.42578125" bestFit="1" customWidth="1"/>
  </cols>
  <sheetData>
    <row r="2" spans="3:14" x14ac:dyDescent="0.25">
      <c r="C2" t="s">
        <v>205</v>
      </c>
      <c r="D2" t="s">
        <v>204</v>
      </c>
    </row>
    <row r="9" spans="3:14" x14ac:dyDescent="0.25">
      <c r="E9" s="159"/>
      <c r="F9" s="160"/>
    </row>
    <row r="10" spans="3:14" x14ac:dyDescent="0.25">
      <c r="G10">
        <v>40</v>
      </c>
    </row>
    <row r="12" spans="3:14" x14ac:dyDescent="0.25">
      <c r="C12" s="152" t="s">
        <v>197</v>
      </c>
      <c r="D12" s="152" t="s">
        <v>188</v>
      </c>
      <c r="E12" s="152" t="s">
        <v>189</v>
      </c>
      <c r="F12" s="152" t="s">
        <v>190</v>
      </c>
      <c r="G12" s="152" t="s">
        <v>191</v>
      </c>
      <c r="H12" s="152" t="s">
        <v>192</v>
      </c>
      <c r="I12" s="152" t="s">
        <v>193</v>
      </c>
      <c r="J12" s="152" t="s">
        <v>194</v>
      </c>
      <c r="K12" s="152" t="s">
        <v>195</v>
      </c>
      <c r="L12" s="152" t="s">
        <v>196</v>
      </c>
      <c r="M12" s="152" t="s">
        <v>49</v>
      </c>
    </row>
    <row r="13" spans="3:14" x14ac:dyDescent="0.25">
      <c r="C13" s="148">
        <v>40849</v>
      </c>
      <c r="D13" s="152" t="s">
        <v>54</v>
      </c>
      <c r="E13" s="160">
        <v>42.788048724954599</v>
      </c>
      <c r="F13" s="160">
        <v>43.7880487249545</v>
      </c>
      <c r="G13" s="152">
        <v>-100</v>
      </c>
      <c r="H13" s="148">
        <v>41274</v>
      </c>
      <c r="I13" s="162">
        <v>0.15273491613854201</v>
      </c>
      <c r="J13" s="161">
        <v>0.26778836790959898</v>
      </c>
      <c r="K13" s="152">
        <v>0.5</v>
      </c>
      <c r="L13" s="166">
        <v>2.0398514407887799E-2</v>
      </c>
      <c r="M13" s="163">
        <f>AsianSpread(C13,D13,E13,F13,G13,H13,I13,J13,K13,L13)</f>
        <v>96.670903714396985</v>
      </c>
    </row>
    <row r="14" spans="3:14" x14ac:dyDescent="0.25">
      <c r="E14" s="159"/>
      <c r="F14" s="159"/>
      <c r="N14" s="167">
        <v>98.623831939414501</v>
      </c>
    </row>
    <row r="15" spans="3:14" x14ac:dyDescent="0.25">
      <c r="E15" s="159"/>
      <c r="F15" s="160"/>
      <c r="L15" s="171">
        <v>1.1671232876395199</v>
      </c>
    </row>
    <row r="16" spans="3:14" x14ac:dyDescent="0.25">
      <c r="J16" t="s">
        <v>300</v>
      </c>
      <c r="K16">
        <v>100</v>
      </c>
      <c r="M16">
        <f>EXP(-L15*L13)</f>
        <v>0.97647358355855718</v>
      </c>
      <c r="N16" s="156">
        <f>(0-(E13-F13-K16)*M16)</f>
        <v>98.623831939414174</v>
      </c>
    </row>
    <row r="19" spans="8:10" x14ac:dyDescent="0.25">
      <c r="H19" s="166" t="s">
        <v>268</v>
      </c>
      <c r="I19" s="166" t="s">
        <v>269</v>
      </c>
    </row>
    <row r="20" spans="8:10" x14ac:dyDescent="0.25">
      <c r="H20" s="166" t="s">
        <v>270</v>
      </c>
      <c r="I20" s="166" t="s">
        <v>271</v>
      </c>
    </row>
    <row r="21" spans="8:10" x14ac:dyDescent="0.25">
      <c r="H21" s="166" t="s">
        <v>272</v>
      </c>
      <c r="I21" s="166">
        <v>42.788048724954301</v>
      </c>
      <c r="J21">
        <f>E13-I21</f>
        <v>2.9842794901924208E-13</v>
      </c>
    </row>
    <row r="22" spans="8:10" x14ac:dyDescent="0.25">
      <c r="H22" s="166" t="s">
        <v>273</v>
      </c>
      <c r="I22" s="166">
        <v>43.7880487249545</v>
      </c>
    </row>
    <row r="23" spans="8:10" x14ac:dyDescent="0.25">
      <c r="H23" s="166" t="s">
        <v>274</v>
      </c>
      <c r="I23" s="166" t="s">
        <v>275</v>
      </c>
    </row>
    <row r="24" spans="8:10" x14ac:dyDescent="0.25">
      <c r="H24" s="166" t="s">
        <v>276</v>
      </c>
      <c r="I24" s="166">
        <v>2.0398514407887799E-2</v>
      </c>
    </row>
    <row r="25" spans="8:10" x14ac:dyDescent="0.25">
      <c r="H25" s="166" t="s">
        <v>277</v>
      </c>
      <c r="I25" s="166">
        <v>1.1671232876395199</v>
      </c>
      <c r="J25">
        <v>1.1671232876712301</v>
      </c>
    </row>
    <row r="26" spans="8:10" x14ac:dyDescent="0.25">
      <c r="H26" s="166" t="s">
        <v>278</v>
      </c>
      <c r="I26" s="166">
        <v>0.15273491614061099</v>
      </c>
      <c r="J26">
        <f>I13-I26</f>
        <v>-2.0689838731158261E-12</v>
      </c>
    </row>
    <row r="27" spans="8:10" x14ac:dyDescent="0.25">
      <c r="H27" s="166" t="s">
        <v>279</v>
      </c>
      <c r="I27" s="166">
        <v>0.26778836791322802</v>
      </c>
      <c r="J27">
        <f>I27-J13</f>
        <v>3.6290415117434804E-12</v>
      </c>
    </row>
    <row r="28" spans="8:10" x14ac:dyDescent="0.25">
      <c r="H28" s="166" t="s">
        <v>280</v>
      </c>
      <c r="I28" s="166">
        <v>0.5</v>
      </c>
    </row>
    <row r="29" spans="8:10" x14ac:dyDescent="0.25">
      <c r="H29" s="166" t="s">
        <v>281</v>
      </c>
      <c r="I29" s="166" t="s">
        <v>282</v>
      </c>
    </row>
    <row r="30" spans="8:10" x14ac:dyDescent="0.25">
      <c r="H30" s="166" t="s">
        <v>283</v>
      </c>
      <c r="I30" s="166" t="s">
        <v>284</v>
      </c>
    </row>
    <row r="31" spans="8:10" x14ac:dyDescent="0.25">
      <c r="H31" s="166" t="s">
        <v>285</v>
      </c>
      <c r="I31" s="166" t="s">
        <v>286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AD69"/>
  <sheetViews>
    <sheetView tabSelected="1" topLeftCell="F4" workbookViewId="0">
      <selection activeCell="AB25" sqref="AB25"/>
    </sheetView>
  </sheetViews>
  <sheetFormatPr defaultRowHeight="15" x14ac:dyDescent="0.25"/>
  <cols>
    <col min="2" max="2" width="18.140625" bestFit="1" customWidth="1"/>
    <col min="3" max="3" width="24.85546875" bestFit="1" customWidth="1"/>
    <col min="4" max="4" width="10.7109375" bestFit="1" customWidth="1"/>
    <col min="5" max="5" width="18.140625" bestFit="1" customWidth="1"/>
    <col min="13" max="14" width="9.140625" style="166"/>
    <col min="15" max="15" width="11.5703125" style="166" bestFit="1" customWidth="1"/>
    <col min="16" max="16" width="11.5703125" style="166" customWidth="1"/>
    <col min="17" max="17" width="11.5703125" style="166" bestFit="1" customWidth="1"/>
    <col min="18" max="18" width="10.140625" customWidth="1"/>
    <col min="19" max="20" width="16.5703125" bestFit="1" customWidth="1"/>
    <col min="21" max="21" width="11.5703125" bestFit="1" customWidth="1"/>
    <col min="22" max="22" width="10.7109375" customWidth="1"/>
    <col min="23" max="23" width="11.140625" customWidth="1"/>
    <col min="25" max="25" width="9.5703125" bestFit="1" customWidth="1"/>
    <col min="27" max="27" width="9.5703125" bestFit="1" customWidth="1"/>
    <col min="28" max="28" width="17.42578125" customWidth="1"/>
  </cols>
  <sheetData>
    <row r="1" spans="3:19" s="162" customFormat="1" x14ac:dyDescent="0.25">
      <c r="M1" s="166"/>
      <c r="N1" s="166"/>
      <c r="O1" s="166"/>
      <c r="P1" s="166"/>
      <c r="Q1" s="166"/>
    </row>
    <row r="2" spans="3:19" s="162" customFormat="1" x14ac:dyDescent="0.25">
      <c r="C2" s="162" t="s">
        <v>197</v>
      </c>
      <c r="D2" s="148">
        <v>40849</v>
      </c>
      <c r="M2" s="166"/>
      <c r="N2" s="166"/>
      <c r="O2" s="166"/>
      <c r="P2" s="166"/>
      <c r="Q2" s="166"/>
    </row>
    <row r="3" spans="3:19" s="162" customFormat="1" x14ac:dyDescent="0.25">
      <c r="M3" s="166"/>
      <c r="N3" s="166"/>
      <c r="O3" s="166"/>
      <c r="P3" s="166"/>
      <c r="Q3" s="166"/>
    </row>
    <row r="4" spans="3:19" x14ac:dyDescent="0.25">
      <c r="E4">
        <v>1</v>
      </c>
      <c r="F4">
        <v>2</v>
      </c>
      <c r="G4" s="166">
        <v>3</v>
      </c>
      <c r="H4" s="166">
        <v>4</v>
      </c>
      <c r="I4" s="166">
        <v>5</v>
      </c>
      <c r="J4" s="166">
        <v>6</v>
      </c>
      <c r="K4" s="166">
        <v>7</v>
      </c>
      <c r="L4" s="166">
        <v>8</v>
      </c>
      <c r="M4" s="166">
        <v>9</v>
      </c>
      <c r="N4" s="166">
        <v>10</v>
      </c>
      <c r="O4" s="166">
        <v>11</v>
      </c>
    </row>
    <row r="5" spans="3:19" x14ac:dyDescent="0.25">
      <c r="F5" t="s">
        <v>247</v>
      </c>
      <c r="G5" t="s">
        <v>248</v>
      </c>
      <c r="H5" t="s">
        <v>249</v>
      </c>
      <c r="I5" s="162" t="s">
        <v>250</v>
      </c>
      <c r="J5" t="s">
        <v>264</v>
      </c>
      <c r="K5" t="s">
        <v>265</v>
      </c>
      <c r="L5" t="s">
        <v>267</v>
      </c>
      <c r="M5" s="166" t="s">
        <v>289</v>
      </c>
      <c r="N5" s="166" t="s">
        <v>290</v>
      </c>
      <c r="O5" s="166" t="s">
        <v>291</v>
      </c>
    </row>
    <row r="6" spans="3:19" x14ac:dyDescent="0.25">
      <c r="C6" t="s">
        <v>211</v>
      </c>
      <c r="D6" t="s">
        <v>206</v>
      </c>
      <c r="E6" t="str">
        <f>C6&amp;"-"&amp;D6</f>
        <v>SYOSL-M01-12</v>
      </c>
      <c r="F6" s="160">
        <v>46.33</v>
      </c>
      <c r="G6" s="160">
        <v>47.579999999999799</v>
      </c>
      <c r="J6" s="169">
        <v>0.357050297653487</v>
      </c>
      <c r="K6" s="170">
        <v>0.61316786053898098</v>
      </c>
      <c r="L6">
        <v>1.5854433846317999E-2</v>
      </c>
      <c r="M6" s="166">
        <v>744</v>
      </c>
      <c r="N6" s="166" t="s">
        <v>292</v>
      </c>
      <c r="O6" s="171" t="s">
        <v>292</v>
      </c>
      <c r="S6" s="166"/>
    </row>
    <row r="7" spans="3:19" x14ac:dyDescent="0.25">
      <c r="C7" s="162" t="s">
        <v>211</v>
      </c>
      <c r="D7" t="s">
        <v>207</v>
      </c>
      <c r="E7" s="162" t="str">
        <f t="shared" ref="E7:E11" si="0">C7&amp;"-"&amp;D7</f>
        <v>SYOSL-M03-11</v>
      </c>
      <c r="G7" s="162"/>
      <c r="J7" t="s">
        <v>292</v>
      </c>
      <c r="K7" t="s">
        <v>292</v>
      </c>
      <c r="L7" t="s">
        <v>292</v>
      </c>
      <c r="M7" s="166">
        <v>0</v>
      </c>
      <c r="N7" s="166">
        <v>65.323647375504706</v>
      </c>
      <c r="O7" s="166">
        <v>64.219044414535603</v>
      </c>
      <c r="P7" s="166">
        <f>N7-O7</f>
        <v>1.1046029609691033</v>
      </c>
    </row>
    <row r="8" spans="3:19" x14ac:dyDescent="0.25">
      <c r="C8" s="162" t="s">
        <v>211</v>
      </c>
      <c r="D8" t="s">
        <v>208</v>
      </c>
      <c r="E8" s="162" t="str">
        <f t="shared" si="0"/>
        <v>SYOSL-M11-11</v>
      </c>
      <c r="F8" s="160">
        <v>42.234310307560399</v>
      </c>
      <c r="G8" s="160">
        <v>44.506436182251797</v>
      </c>
      <c r="J8">
        <v>0.37034305597315198</v>
      </c>
      <c r="K8">
        <v>0.56509827738996798</v>
      </c>
      <c r="L8">
        <v>1.35750097058338E-2</v>
      </c>
      <c r="M8" s="166">
        <v>696</v>
      </c>
      <c r="N8" s="166">
        <v>39.171666666666702</v>
      </c>
      <c r="O8" s="166">
        <v>40.156666666666702</v>
      </c>
      <c r="P8" s="171">
        <f t="shared" ref="P8:P17" si="1">N8-O8</f>
        <v>-0.98499999999999943</v>
      </c>
    </row>
    <row r="9" spans="3:19" x14ac:dyDescent="0.25">
      <c r="C9" s="162" t="s">
        <v>211</v>
      </c>
      <c r="D9" t="s">
        <v>209</v>
      </c>
      <c r="E9" s="162" t="str">
        <f t="shared" si="0"/>
        <v>SYOSL-Y2010</v>
      </c>
      <c r="G9" s="162"/>
      <c r="J9" t="s">
        <v>292</v>
      </c>
      <c r="K9" t="s">
        <v>292</v>
      </c>
      <c r="L9" t="s">
        <v>292</v>
      </c>
      <c r="M9" s="166">
        <v>0</v>
      </c>
      <c r="N9" s="166">
        <v>54.250460045662301</v>
      </c>
      <c r="O9" s="166">
        <v>53.058896118721698</v>
      </c>
      <c r="P9" s="171">
        <f t="shared" si="1"/>
        <v>1.1915639269406029</v>
      </c>
    </row>
    <row r="10" spans="3:19" x14ac:dyDescent="0.25">
      <c r="C10" s="162" t="s">
        <v>211</v>
      </c>
      <c r="D10" t="s">
        <v>210</v>
      </c>
      <c r="E10" s="162" t="str">
        <f t="shared" si="0"/>
        <v>SYOSL-Y2011</v>
      </c>
      <c r="F10" s="160">
        <v>43.694249981987497</v>
      </c>
      <c r="G10" s="160">
        <v>45.567444154755101</v>
      </c>
      <c r="J10">
        <v>0.29556788590386501</v>
      </c>
      <c r="K10">
        <v>0.48268935539166202</v>
      </c>
      <c r="L10">
        <v>1.5016138784437E-2</v>
      </c>
      <c r="M10" s="166">
        <v>1440</v>
      </c>
      <c r="N10" s="166">
        <v>48.212135245901898</v>
      </c>
      <c r="O10" s="166">
        <v>48.952928961748803</v>
      </c>
      <c r="P10" s="171">
        <f t="shared" si="1"/>
        <v>-0.74079371584690534</v>
      </c>
    </row>
    <row r="11" spans="3:19" x14ac:dyDescent="0.25">
      <c r="C11" s="162" t="s">
        <v>211</v>
      </c>
      <c r="D11" t="s">
        <v>26</v>
      </c>
      <c r="E11" s="162" t="str">
        <f t="shared" si="0"/>
        <v>SYOSL-Y2012</v>
      </c>
      <c r="F11" s="160">
        <v>42.7880487249545</v>
      </c>
      <c r="G11" s="160">
        <v>43.788048724954599</v>
      </c>
      <c r="J11" s="162">
        <v>0.15273491613854201</v>
      </c>
      <c r="K11" s="162">
        <v>0.26778836790959898</v>
      </c>
      <c r="L11">
        <v>2.0398514407887799E-2</v>
      </c>
      <c r="M11" s="166">
        <v>8784</v>
      </c>
      <c r="N11" s="171" t="s">
        <v>292</v>
      </c>
      <c r="O11" s="171" t="s">
        <v>292</v>
      </c>
      <c r="P11" s="171" t="e">
        <f t="shared" si="1"/>
        <v>#VALUE!</v>
      </c>
      <c r="R11" s="165"/>
      <c r="S11" s="2"/>
    </row>
    <row r="12" spans="3:19" x14ac:dyDescent="0.25">
      <c r="C12" s="162" t="s">
        <v>216</v>
      </c>
      <c r="D12" s="162" t="s">
        <v>206</v>
      </c>
      <c r="E12" s="162" t="str">
        <f>C12&amp;"-"&amp;D12</f>
        <v>EEX-France-M01-12</v>
      </c>
      <c r="J12" s="171">
        <v>0.357050297653487</v>
      </c>
      <c r="K12" s="171">
        <v>0.357050297653487</v>
      </c>
      <c r="L12" s="171">
        <v>1.5854433846317999E-2</v>
      </c>
      <c r="M12" s="166">
        <v>744</v>
      </c>
      <c r="N12" s="171" t="s">
        <v>292</v>
      </c>
      <c r="O12" s="171" t="s">
        <v>292</v>
      </c>
      <c r="P12" s="171" t="e">
        <f t="shared" si="1"/>
        <v>#VALUE!</v>
      </c>
      <c r="R12" s="165"/>
    </row>
    <row r="13" spans="3:19" x14ac:dyDescent="0.25">
      <c r="C13" s="166" t="s">
        <v>216</v>
      </c>
      <c r="D13" s="162" t="s">
        <v>207</v>
      </c>
      <c r="E13" s="162" t="str">
        <f t="shared" ref="E13:E17" si="2">C13&amp;"-"&amp;D13</f>
        <v>EEX-France-M03-11</v>
      </c>
      <c r="J13" s="171" t="s">
        <v>292</v>
      </c>
      <c r="K13" s="171" t="s">
        <v>292</v>
      </c>
      <c r="L13" s="171" t="s">
        <v>292</v>
      </c>
      <c r="M13" s="166">
        <v>0</v>
      </c>
      <c r="N13" s="166">
        <v>54.476258411843901</v>
      </c>
      <c r="O13" s="148">
        <v>54.165942126514103</v>
      </c>
      <c r="P13" s="171">
        <f t="shared" si="1"/>
        <v>0.31031628532979738</v>
      </c>
      <c r="Q13" s="148"/>
    </row>
    <row r="14" spans="3:19" x14ac:dyDescent="0.25">
      <c r="C14" s="166" t="s">
        <v>216</v>
      </c>
      <c r="D14" s="162" t="s">
        <v>208</v>
      </c>
      <c r="E14" s="162" t="str">
        <f t="shared" si="2"/>
        <v>EEX-France-M11-11</v>
      </c>
      <c r="J14" s="171">
        <v>0.37034305597315198</v>
      </c>
      <c r="K14" s="171">
        <v>0.37034305597315198</v>
      </c>
      <c r="L14" s="171">
        <v>1.35750097058338E-2</v>
      </c>
      <c r="M14" s="166">
        <v>696</v>
      </c>
      <c r="N14" s="166">
        <v>51.529378415300499</v>
      </c>
      <c r="O14" s="166">
        <v>45.592041666666702</v>
      </c>
      <c r="P14" s="171">
        <f t="shared" si="1"/>
        <v>5.9373367486337969</v>
      </c>
    </row>
    <row r="15" spans="3:19" x14ac:dyDescent="0.25">
      <c r="C15" s="166" t="s">
        <v>216</v>
      </c>
      <c r="D15" s="162" t="s">
        <v>209</v>
      </c>
      <c r="E15" s="162" t="str">
        <f t="shared" si="2"/>
        <v>EEX-France-Y2010</v>
      </c>
      <c r="J15" s="171" t="s">
        <v>292</v>
      </c>
      <c r="K15" s="171" t="s">
        <v>292</v>
      </c>
      <c r="L15" s="171" t="s">
        <v>292</v>
      </c>
      <c r="M15" s="166">
        <v>0</v>
      </c>
      <c r="N15" s="166">
        <v>44.487889269406601</v>
      </c>
      <c r="O15" s="166">
        <v>47.4997098173517</v>
      </c>
      <c r="P15" s="171">
        <f t="shared" si="1"/>
        <v>-3.0118205479450992</v>
      </c>
    </row>
    <row r="16" spans="3:19" x14ac:dyDescent="0.25">
      <c r="C16" s="166" t="s">
        <v>216</v>
      </c>
      <c r="D16" s="162" t="s">
        <v>210</v>
      </c>
      <c r="E16" s="162" t="str">
        <f t="shared" si="2"/>
        <v>EEX-France-Y2011</v>
      </c>
      <c r="J16" s="171">
        <v>0.29556788590386501</v>
      </c>
      <c r="K16" s="171">
        <v>0.29556788590386501</v>
      </c>
      <c r="L16" s="171">
        <v>1.5016138784437E-2</v>
      </c>
      <c r="M16" s="166">
        <v>1440</v>
      </c>
      <c r="N16" s="166">
        <v>51.529378415300499</v>
      </c>
      <c r="O16" s="166">
        <v>48.623256284153001</v>
      </c>
      <c r="P16" s="171">
        <f t="shared" si="1"/>
        <v>2.9061221311474981</v>
      </c>
    </row>
    <row r="17" spans="1:30" x14ac:dyDescent="0.25">
      <c r="C17" s="166" t="s">
        <v>216</v>
      </c>
      <c r="D17" s="162" t="s">
        <v>26</v>
      </c>
      <c r="E17" s="162" t="str">
        <f t="shared" si="2"/>
        <v>EEX-France-Y2012</v>
      </c>
      <c r="J17" s="171">
        <v>0.15273491613854201</v>
      </c>
      <c r="K17" s="171">
        <v>0.15273491613854201</v>
      </c>
      <c r="L17" s="171">
        <v>2.0398514407887799E-2</v>
      </c>
      <c r="M17" s="166">
        <v>8784</v>
      </c>
      <c r="N17" s="171" t="s">
        <v>292</v>
      </c>
      <c r="O17" s="171" t="s">
        <v>292</v>
      </c>
      <c r="P17" s="171" t="e">
        <f t="shared" si="1"/>
        <v>#VALUE!</v>
      </c>
    </row>
    <row r="18" spans="1:30" x14ac:dyDescent="0.25">
      <c r="AA18" s="171"/>
    </row>
    <row r="19" spans="1:30" x14ac:dyDescent="0.25">
      <c r="K19" s="159"/>
      <c r="L19" s="159"/>
      <c r="M19" s="159"/>
      <c r="N19" s="159"/>
      <c r="O19" s="159"/>
      <c r="P19" s="159"/>
      <c r="Q19" s="159"/>
      <c r="Y19" s="163"/>
    </row>
    <row r="20" spans="1:30" x14ac:dyDescent="0.25">
      <c r="K20" s="159"/>
    </row>
    <row r="21" spans="1:30" x14ac:dyDescent="0.25">
      <c r="A21" s="167" t="s">
        <v>238</v>
      </c>
      <c r="B21" s="167" t="s">
        <v>251</v>
      </c>
      <c r="C21" s="167" t="s">
        <v>239</v>
      </c>
      <c r="D21" s="167" t="s">
        <v>240</v>
      </c>
      <c r="E21" s="167" t="s">
        <v>241</v>
      </c>
      <c r="F21" s="167" t="s">
        <v>11</v>
      </c>
      <c r="G21" s="167" t="s">
        <v>242</v>
      </c>
      <c r="H21" s="167" t="s">
        <v>243</v>
      </c>
      <c r="I21" s="167" t="s">
        <v>8</v>
      </c>
      <c r="J21" s="167" t="s">
        <v>244</v>
      </c>
      <c r="K21" s="159" t="s">
        <v>245</v>
      </c>
      <c r="L21" s="167" t="s">
        <v>246</v>
      </c>
      <c r="M21" s="166" t="s">
        <v>293</v>
      </c>
      <c r="N21" s="166" t="s">
        <v>289</v>
      </c>
      <c r="O21" s="166" t="s">
        <v>294</v>
      </c>
      <c r="P21" s="166" t="s">
        <v>295</v>
      </c>
      <c r="Q21" s="166" t="s">
        <v>290</v>
      </c>
      <c r="R21" s="166" t="s">
        <v>291</v>
      </c>
      <c r="S21" s="162" t="s">
        <v>188</v>
      </c>
      <c r="T21" s="162" t="s">
        <v>189</v>
      </c>
      <c r="U21" s="162" t="s">
        <v>190</v>
      </c>
      <c r="V21" s="162" t="s">
        <v>296</v>
      </c>
      <c r="W21" s="162" t="s">
        <v>192</v>
      </c>
      <c r="X21" s="162" t="s">
        <v>193</v>
      </c>
      <c r="Y21" s="162" t="s">
        <v>194</v>
      </c>
      <c r="Z21" s="162" t="s">
        <v>195</v>
      </c>
      <c r="AA21" s="162" t="s">
        <v>196</v>
      </c>
      <c r="AB21" s="162" t="s">
        <v>49</v>
      </c>
      <c r="AC21" t="s">
        <v>266</v>
      </c>
      <c r="AD21" t="s">
        <v>303</v>
      </c>
    </row>
    <row r="22" spans="1:30" x14ac:dyDescent="0.25">
      <c r="A22" s="167" t="s">
        <v>211</v>
      </c>
      <c r="B22" s="167" t="s">
        <v>252</v>
      </c>
      <c r="C22" s="167" t="s">
        <v>212</v>
      </c>
      <c r="D22" s="174">
        <v>40544</v>
      </c>
      <c r="E22" s="174">
        <v>40908</v>
      </c>
      <c r="F22" s="135">
        <v>-5</v>
      </c>
      <c r="G22" s="167" t="s">
        <v>18</v>
      </c>
      <c r="H22" s="167">
        <v>-20</v>
      </c>
      <c r="I22" s="168">
        <v>8760</v>
      </c>
      <c r="J22" s="159">
        <v>-3.43</v>
      </c>
      <c r="K22" s="159">
        <v>-600936</v>
      </c>
      <c r="L22" s="172">
        <v>7.9027776288650404</v>
      </c>
      <c r="M22" s="160">
        <f>I22</f>
        <v>8760</v>
      </c>
      <c r="N22" s="160">
        <f>VLOOKUP(B22,$E$5:$M$17,9,FALSE)</f>
        <v>1440</v>
      </c>
      <c r="O22" s="166">
        <f>M22-N22</f>
        <v>7320</v>
      </c>
      <c r="P22" s="166">
        <f>N22/M22</f>
        <v>0.16438356164383561</v>
      </c>
      <c r="Q22" s="160">
        <f t="shared" ref="Q22:Q69" si="3">VLOOKUP(B22,$E$5:$O$17,10,FALSE)</f>
        <v>48.212135245901898</v>
      </c>
      <c r="R22" s="160">
        <f t="shared" ref="R22:R69" si="4">VLOOKUP(B22,$E$5:$O$17,11,FALSE)</f>
        <v>48.952928961748803</v>
      </c>
      <c r="S22" s="162" t="str">
        <f t="shared" ref="S22:S69" si="5">RIGHT(LEFT(C22,4),1)</f>
        <v>C</v>
      </c>
      <c r="T22" s="160">
        <f>VLOOKUP(B22,$E$5:$I$17,2,FALSE)*P22</f>
        <v>7.1826164353952047</v>
      </c>
      <c r="U22" s="160">
        <f>VLOOKUP(B22,$E$5:$I$17,3,FALSE)*P22</f>
        <v>7.4905387651652218</v>
      </c>
      <c r="V22" s="57">
        <f>IF($D$2-1&gt;=D22,F22-(1-P22)*(Q22-R22),F22)</f>
        <v>-4.3809805936073802</v>
      </c>
      <c r="W22" s="164">
        <f t="shared" ref="W22:W69" si="6">E22</f>
        <v>40908</v>
      </c>
      <c r="X22" s="160">
        <f t="shared" ref="X22:X69" si="7">VLOOKUP(B22,$E$5:$K$17,6,FALSE)</f>
        <v>0.29556788590386501</v>
      </c>
      <c r="Y22" s="160">
        <f t="shared" ref="Y22:Y69" si="8">VLOOKUP(B22,$E$5:$K$17,7,FALSE)</f>
        <v>0.48268935539166202</v>
      </c>
      <c r="Z22" s="162">
        <v>0.5</v>
      </c>
      <c r="AA22" s="160">
        <f t="shared" ref="AA22:AA69" si="9">VLOOKUP(B22,$E$5:$L$17,8,FALSE)</f>
        <v>1.5016138784437E-2</v>
      </c>
      <c r="AB22" s="163">
        <f>IF(W22&gt;$D$2, AsianSpread($D$2,S22,T22,U22,V22,W22,X22,Y22,Z22,AA22),0)</f>
        <v>4.065824675464472</v>
      </c>
      <c r="AC22" s="171">
        <f>IF(AND(ROUND(AB22,8)=0,ROUND(L22,8)=0),0, AB22/L22-1)</f>
        <v>-0.48551953928021807</v>
      </c>
      <c r="AD22">
        <f>V22-F22</f>
        <v>0.61901940639261976</v>
      </c>
    </row>
    <row r="23" spans="1:30" x14ac:dyDescent="0.25">
      <c r="A23" s="167" t="s">
        <v>211</v>
      </c>
      <c r="B23" s="167" t="s">
        <v>252</v>
      </c>
      <c r="C23" s="167" t="s">
        <v>213</v>
      </c>
      <c r="D23" s="174">
        <v>40544</v>
      </c>
      <c r="E23" s="174">
        <v>40908</v>
      </c>
      <c r="F23" s="135">
        <v>5</v>
      </c>
      <c r="G23" s="167" t="s">
        <v>18</v>
      </c>
      <c r="H23" s="167">
        <v>-20</v>
      </c>
      <c r="I23" s="168">
        <v>8760</v>
      </c>
      <c r="J23" s="167">
        <v>-3.43</v>
      </c>
      <c r="K23" s="173">
        <v>-600936</v>
      </c>
      <c r="L23" s="135">
        <v>0</v>
      </c>
      <c r="M23" s="160">
        <f t="shared" ref="M23:M69" si="10">I23</f>
        <v>8760</v>
      </c>
      <c r="N23" s="160">
        <f t="shared" ref="N23:N69" si="11">VLOOKUP(B23,$E$5:$M$17,9,FALSE)</f>
        <v>1440</v>
      </c>
      <c r="O23" s="166">
        <f t="shared" ref="O23:O69" si="12">M23-N23</f>
        <v>7320</v>
      </c>
      <c r="P23" s="166">
        <f t="shared" ref="P23:P69" si="13">N23/M23</f>
        <v>0.16438356164383561</v>
      </c>
      <c r="Q23" s="160">
        <f t="shared" si="3"/>
        <v>48.212135245901898</v>
      </c>
      <c r="R23" s="160">
        <f t="shared" si="4"/>
        <v>48.952928961748803</v>
      </c>
      <c r="S23" s="162" t="str">
        <f t="shared" si="5"/>
        <v>C</v>
      </c>
      <c r="T23" s="160">
        <f t="shared" ref="T23:T69" si="14">VLOOKUP(B23,$E$5:$I$17,2,FALSE)*P23</f>
        <v>7.1826164353952047</v>
      </c>
      <c r="U23" s="160">
        <f t="shared" ref="U23:U69" si="15">VLOOKUP(B23,$E$5:$I$17,3,FALSE)*P23</f>
        <v>7.4905387651652218</v>
      </c>
      <c r="V23" s="57">
        <f t="shared" ref="V23:V69" si="16">IF($D$2-1&gt;=D23,F23-(1-P23)*(Q23-R23),F23)</f>
        <v>5.6190194063926198</v>
      </c>
      <c r="W23" s="164">
        <f t="shared" si="6"/>
        <v>40908</v>
      </c>
      <c r="X23" s="160">
        <f t="shared" si="7"/>
        <v>0.29556788590386501</v>
      </c>
      <c r="Y23" s="160">
        <f t="shared" si="8"/>
        <v>0.48268935539166202</v>
      </c>
      <c r="Z23" s="162">
        <v>0.5</v>
      </c>
      <c r="AA23" s="160">
        <f t="shared" si="9"/>
        <v>1.5016138784437E-2</v>
      </c>
      <c r="AB23" s="154">
        <f>IF(W23&gt;$D$2, AsianSpread($D$2,S23,T23,U23,V23,W23,X23,Y23,Z23,AA23),0)</f>
        <v>0</v>
      </c>
      <c r="AC23" s="171">
        <f>IF(AND(ROUND(AB23,8)=0,ROUND(L23,8)=0),0, AB23/L23-1)</f>
        <v>0</v>
      </c>
      <c r="AD23" s="171">
        <f t="shared" ref="AD23:AD69" si="17">V23-F23</f>
        <v>0.61901940639261976</v>
      </c>
    </row>
    <row r="24" spans="1:30" x14ac:dyDescent="0.25">
      <c r="A24" s="167" t="s">
        <v>211</v>
      </c>
      <c r="B24" s="167" t="s">
        <v>252</v>
      </c>
      <c r="C24" s="167" t="s">
        <v>214</v>
      </c>
      <c r="D24" s="174">
        <v>40544</v>
      </c>
      <c r="E24" s="174">
        <v>40908</v>
      </c>
      <c r="F24" s="135">
        <v>-5</v>
      </c>
      <c r="G24" s="167" t="s">
        <v>18</v>
      </c>
      <c r="H24" s="167">
        <v>-20</v>
      </c>
      <c r="I24" s="168">
        <v>8760</v>
      </c>
      <c r="J24" s="172">
        <v>-3.43</v>
      </c>
      <c r="K24" s="167">
        <v>-600936</v>
      </c>
      <c r="L24" s="167">
        <v>0</v>
      </c>
      <c r="M24" s="160">
        <f t="shared" si="10"/>
        <v>8760</v>
      </c>
      <c r="N24" s="160">
        <f t="shared" si="11"/>
        <v>1440</v>
      </c>
      <c r="O24" s="166">
        <f t="shared" si="12"/>
        <v>7320</v>
      </c>
      <c r="P24" s="166">
        <f t="shared" si="13"/>
        <v>0.16438356164383561</v>
      </c>
      <c r="Q24" s="160">
        <f t="shared" si="3"/>
        <v>48.212135245901898</v>
      </c>
      <c r="R24" s="160">
        <f t="shared" si="4"/>
        <v>48.952928961748803</v>
      </c>
      <c r="S24" s="162" t="str">
        <f t="shared" si="5"/>
        <v>P</v>
      </c>
      <c r="T24" s="160">
        <f t="shared" si="14"/>
        <v>7.1826164353952047</v>
      </c>
      <c r="U24" s="160">
        <f t="shared" si="15"/>
        <v>7.4905387651652218</v>
      </c>
      <c r="V24" s="57">
        <f t="shared" si="16"/>
        <v>-4.3809805936073802</v>
      </c>
      <c r="W24" s="164">
        <f t="shared" si="6"/>
        <v>40908</v>
      </c>
      <c r="X24" s="160">
        <f t="shared" si="7"/>
        <v>0.29556788590386501</v>
      </c>
      <c r="Y24" s="160">
        <f t="shared" si="8"/>
        <v>0.48268935539166202</v>
      </c>
      <c r="Z24" s="162">
        <v>0.5</v>
      </c>
      <c r="AA24" s="160">
        <f t="shared" si="9"/>
        <v>1.5016138784437E-2</v>
      </c>
      <c r="AB24" s="163">
        <f t="shared" ref="AB23:AB69" si="18">IF(W24&gt;$D$2, AsianSpread($D$2,S24,T24,U24,V24,W24,X24,Y24,Z24,AA24),0)</f>
        <v>2.8079761838300872E-3</v>
      </c>
      <c r="AC24" s="171" t="e">
        <f t="shared" ref="AC24:AC69" si="19">IF(AND(ROUND(AB24,8)=0,ROUND(L24,8)=0),0, AB24/L24-1)</f>
        <v>#DIV/0!</v>
      </c>
      <c r="AD24" s="171">
        <f t="shared" si="17"/>
        <v>0.61901940639261976</v>
      </c>
    </row>
    <row r="25" spans="1:30" x14ac:dyDescent="0.25">
      <c r="A25" s="167" t="s">
        <v>211</v>
      </c>
      <c r="B25" s="167" t="s">
        <v>252</v>
      </c>
      <c r="C25" s="167" t="s">
        <v>215</v>
      </c>
      <c r="D25" s="174">
        <v>40544</v>
      </c>
      <c r="E25" s="174">
        <v>40908</v>
      </c>
      <c r="F25" s="135">
        <v>5</v>
      </c>
      <c r="G25" s="167" t="s">
        <v>18</v>
      </c>
      <c r="H25" s="167">
        <v>-20</v>
      </c>
      <c r="I25" s="168">
        <v>8760</v>
      </c>
      <c r="J25" s="167">
        <v>-3.43</v>
      </c>
      <c r="K25" s="167">
        <v>-600936</v>
      </c>
      <c r="L25" s="167">
        <v>0.97188726892296295</v>
      </c>
      <c r="M25" s="160">
        <f t="shared" si="10"/>
        <v>8760</v>
      </c>
      <c r="N25" s="160">
        <f t="shared" si="11"/>
        <v>1440</v>
      </c>
      <c r="O25" s="166">
        <f t="shared" si="12"/>
        <v>7320</v>
      </c>
      <c r="P25" s="166">
        <f t="shared" si="13"/>
        <v>0.16438356164383561</v>
      </c>
      <c r="Q25" s="160">
        <f t="shared" si="3"/>
        <v>48.212135245901898</v>
      </c>
      <c r="R25" s="160">
        <f t="shared" si="4"/>
        <v>48.952928961748803</v>
      </c>
      <c r="S25" s="162" t="str">
        <f t="shared" si="5"/>
        <v>P</v>
      </c>
      <c r="T25" s="160">
        <f t="shared" si="14"/>
        <v>7.1826164353952047</v>
      </c>
      <c r="U25" s="160">
        <f t="shared" si="15"/>
        <v>7.4905387651652218</v>
      </c>
      <c r="V25" s="57">
        <f t="shared" si="16"/>
        <v>5.6190194063926198</v>
      </c>
      <c r="W25" s="164">
        <f t="shared" si="6"/>
        <v>40908</v>
      </c>
      <c r="X25" s="160">
        <f t="shared" si="7"/>
        <v>0.29556788590386501</v>
      </c>
      <c r="Y25" s="160">
        <f t="shared" si="8"/>
        <v>0.48268935539166202</v>
      </c>
      <c r="Z25" s="162">
        <v>0.5</v>
      </c>
      <c r="AA25" s="160">
        <f t="shared" si="9"/>
        <v>1.5016138784437E-2</v>
      </c>
      <c r="AB25" s="163">
        <f t="shared" si="18"/>
        <v>5.912329670698818</v>
      </c>
      <c r="AC25" s="171">
        <f t="shared" si="19"/>
        <v>5.0833492316972215</v>
      </c>
      <c r="AD25" s="171">
        <f t="shared" si="17"/>
        <v>0.61901940639261976</v>
      </c>
    </row>
    <row r="26" spans="1:30" hidden="1" x14ac:dyDescent="0.25">
      <c r="A26" s="167" t="s">
        <v>216</v>
      </c>
      <c r="B26" s="167" t="s">
        <v>253</v>
      </c>
      <c r="C26" s="167" t="s">
        <v>212</v>
      </c>
      <c r="D26" s="174">
        <v>40544</v>
      </c>
      <c r="E26" s="174">
        <v>40908</v>
      </c>
      <c r="F26" s="135">
        <v>-5</v>
      </c>
      <c r="G26" s="167" t="s">
        <v>18</v>
      </c>
      <c r="H26" s="167">
        <v>-20</v>
      </c>
      <c r="I26" s="168">
        <v>8760</v>
      </c>
      <c r="J26" s="172">
        <v>-3.43</v>
      </c>
      <c r="K26" s="167">
        <v>-600936</v>
      </c>
      <c r="L26" s="167">
        <v>10.495158585100301</v>
      </c>
      <c r="M26" s="160">
        <f t="shared" si="10"/>
        <v>8760</v>
      </c>
      <c r="N26" s="160">
        <f t="shared" si="11"/>
        <v>1440</v>
      </c>
      <c r="O26" s="166">
        <f t="shared" si="12"/>
        <v>7320</v>
      </c>
      <c r="P26" s="166">
        <f t="shared" si="13"/>
        <v>0.16438356164383561</v>
      </c>
      <c r="Q26" s="160">
        <f t="shared" si="3"/>
        <v>51.529378415300499</v>
      </c>
      <c r="R26" s="160">
        <f t="shared" si="4"/>
        <v>48.623256284153001</v>
      </c>
      <c r="S26" s="162" t="str">
        <f t="shared" si="5"/>
        <v>C</v>
      </c>
      <c r="T26" s="160">
        <f t="shared" si="14"/>
        <v>0</v>
      </c>
      <c r="U26" s="160">
        <f t="shared" si="15"/>
        <v>0</v>
      </c>
      <c r="V26" s="57">
        <f t="shared" si="16"/>
        <v>-7.4284034246574979</v>
      </c>
      <c r="W26" s="164">
        <f t="shared" si="6"/>
        <v>40908</v>
      </c>
      <c r="X26" s="160">
        <f t="shared" si="7"/>
        <v>0.29556788590386501</v>
      </c>
      <c r="Y26" s="160">
        <f t="shared" si="8"/>
        <v>0.29556788590386501</v>
      </c>
      <c r="Z26" s="162">
        <v>0.5</v>
      </c>
      <c r="AA26" s="160">
        <f t="shared" si="9"/>
        <v>1.5016138784437E-2</v>
      </c>
      <c r="AB26" s="163" t="e">
        <f t="shared" si="18"/>
        <v>#VALUE!</v>
      </c>
      <c r="AC26" s="171" t="e">
        <f t="shared" si="19"/>
        <v>#VALUE!</v>
      </c>
      <c r="AD26" s="171">
        <f t="shared" si="17"/>
        <v>-2.4284034246574979</v>
      </c>
    </row>
    <row r="27" spans="1:30" hidden="1" x14ac:dyDescent="0.25">
      <c r="A27" s="167" t="s">
        <v>216</v>
      </c>
      <c r="B27" s="167" t="s">
        <v>253</v>
      </c>
      <c r="C27" s="167" t="s">
        <v>213</v>
      </c>
      <c r="D27" s="174">
        <v>40544</v>
      </c>
      <c r="E27" s="174">
        <v>40908</v>
      </c>
      <c r="F27" s="135">
        <v>5</v>
      </c>
      <c r="G27" s="167" t="s">
        <v>18</v>
      </c>
      <c r="H27" s="167">
        <v>-20</v>
      </c>
      <c r="I27" s="168">
        <v>8760</v>
      </c>
      <c r="J27" s="172">
        <v>-3.43</v>
      </c>
      <c r="K27" s="167">
        <v>-600936</v>
      </c>
      <c r="L27" s="167">
        <v>2.19716595807153E-2</v>
      </c>
      <c r="M27" s="160">
        <f t="shared" si="10"/>
        <v>8760</v>
      </c>
      <c r="N27" s="160">
        <f t="shared" si="11"/>
        <v>1440</v>
      </c>
      <c r="O27" s="166">
        <f t="shared" si="12"/>
        <v>7320</v>
      </c>
      <c r="P27" s="166">
        <f t="shared" si="13"/>
        <v>0.16438356164383561</v>
      </c>
      <c r="Q27" s="160">
        <f t="shared" si="3"/>
        <v>51.529378415300499</v>
      </c>
      <c r="R27" s="160">
        <f t="shared" si="4"/>
        <v>48.623256284153001</v>
      </c>
      <c r="S27" s="162" t="str">
        <f t="shared" si="5"/>
        <v>C</v>
      </c>
      <c r="T27" s="160">
        <f t="shared" si="14"/>
        <v>0</v>
      </c>
      <c r="U27" s="160">
        <f t="shared" si="15"/>
        <v>0</v>
      </c>
      <c r="V27" s="57">
        <f t="shared" si="16"/>
        <v>2.5715965753425016</v>
      </c>
      <c r="W27" s="164">
        <f t="shared" si="6"/>
        <v>40908</v>
      </c>
      <c r="X27" s="160">
        <f t="shared" si="7"/>
        <v>0.29556788590386501</v>
      </c>
      <c r="Y27" s="160">
        <f t="shared" si="8"/>
        <v>0.29556788590386501</v>
      </c>
      <c r="Z27" s="162">
        <v>0.5</v>
      </c>
      <c r="AA27" s="160">
        <f t="shared" si="9"/>
        <v>1.5016138784437E-2</v>
      </c>
      <c r="AB27" s="163" t="e">
        <f t="shared" si="18"/>
        <v>#VALUE!</v>
      </c>
      <c r="AC27" s="171" t="e">
        <f t="shared" si="19"/>
        <v>#VALUE!</v>
      </c>
      <c r="AD27" s="171">
        <f t="shared" si="17"/>
        <v>-2.4284034246574984</v>
      </c>
    </row>
    <row r="28" spans="1:30" hidden="1" x14ac:dyDescent="0.25">
      <c r="A28" s="167" t="s">
        <v>216</v>
      </c>
      <c r="B28" s="167" t="s">
        <v>253</v>
      </c>
      <c r="C28" s="167" t="s">
        <v>214</v>
      </c>
      <c r="D28" s="174">
        <v>40544</v>
      </c>
      <c r="E28" s="174">
        <v>40908</v>
      </c>
      <c r="F28" s="135">
        <v>-5</v>
      </c>
      <c r="G28" s="167" t="s">
        <v>18</v>
      </c>
      <c r="H28" s="167">
        <v>-20</v>
      </c>
      <c r="I28" s="168">
        <v>8760</v>
      </c>
      <c r="J28" s="172">
        <v>-3.43</v>
      </c>
      <c r="K28" s="167">
        <v>-600936</v>
      </c>
      <c r="L28" s="167">
        <v>0</v>
      </c>
      <c r="M28" s="160">
        <f t="shared" si="10"/>
        <v>8760</v>
      </c>
      <c r="N28" s="160">
        <f t="shared" si="11"/>
        <v>1440</v>
      </c>
      <c r="O28" s="166">
        <f t="shared" si="12"/>
        <v>7320</v>
      </c>
      <c r="P28" s="166">
        <f t="shared" si="13"/>
        <v>0.16438356164383561</v>
      </c>
      <c r="Q28" s="160">
        <f t="shared" si="3"/>
        <v>51.529378415300499</v>
      </c>
      <c r="R28" s="160">
        <f t="shared" si="4"/>
        <v>48.623256284153001</v>
      </c>
      <c r="S28" s="162" t="str">
        <f t="shared" si="5"/>
        <v>P</v>
      </c>
      <c r="T28" s="160">
        <f t="shared" si="14"/>
        <v>0</v>
      </c>
      <c r="U28" s="160">
        <f t="shared" si="15"/>
        <v>0</v>
      </c>
      <c r="V28" s="57">
        <f t="shared" si="16"/>
        <v>-7.4284034246574979</v>
      </c>
      <c r="W28" s="164">
        <f t="shared" si="6"/>
        <v>40908</v>
      </c>
      <c r="X28" s="160">
        <f t="shared" si="7"/>
        <v>0.29556788590386501</v>
      </c>
      <c r="Y28" s="160">
        <f t="shared" si="8"/>
        <v>0.29556788590386501</v>
      </c>
      <c r="Z28" s="162">
        <v>0.5</v>
      </c>
      <c r="AA28" s="160">
        <f t="shared" si="9"/>
        <v>1.5016138784437E-2</v>
      </c>
      <c r="AB28" s="163" t="e">
        <f t="shared" si="18"/>
        <v>#VALUE!</v>
      </c>
      <c r="AC28" s="171" t="e">
        <f t="shared" si="19"/>
        <v>#VALUE!</v>
      </c>
      <c r="AD28" s="171">
        <f t="shared" si="17"/>
        <v>-2.4284034246574979</v>
      </c>
    </row>
    <row r="29" spans="1:30" hidden="1" x14ac:dyDescent="0.25">
      <c r="A29" s="167" t="s">
        <v>216</v>
      </c>
      <c r="B29" s="167" t="s">
        <v>253</v>
      </c>
      <c r="C29" s="167" t="s">
        <v>215</v>
      </c>
      <c r="D29" s="174">
        <v>40544</v>
      </c>
      <c r="E29" s="174">
        <v>40908</v>
      </c>
      <c r="F29" s="135">
        <v>5</v>
      </c>
      <c r="G29" s="167" t="s">
        <v>18</v>
      </c>
      <c r="H29" s="167">
        <v>-20</v>
      </c>
      <c r="I29" s="168">
        <v>8760</v>
      </c>
      <c r="J29" s="172">
        <v>-3.43</v>
      </c>
      <c r="K29" s="167">
        <v>-600936</v>
      </c>
      <c r="L29" s="167">
        <v>0.15184211221981</v>
      </c>
      <c r="M29" s="160">
        <f t="shared" si="10"/>
        <v>8760</v>
      </c>
      <c r="N29" s="160">
        <f t="shared" si="11"/>
        <v>1440</v>
      </c>
      <c r="O29" s="166">
        <f t="shared" si="12"/>
        <v>7320</v>
      </c>
      <c r="P29" s="166">
        <f t="shared" si="13"/>
        <v>0.16438356164383561</v>
      </c>
      <c r="Q29" s="160">
        <f t="shared" si="3"/>
        <v>51.529378415300499</v>
      </c>
      <c r="R29" s="160">
        <f t="shared" si="4"/>
        <v>48.623256284153001</v>
      </c>
      <c r="S29" s="162" t="str">
        <f t="shared" si="5"/>
        <v>P</v>
      </c>
      <c r="T29" s="160">
        <f t="shared" si="14"/>
        <v>0</v>
      </c>
      <c r="U29" s="160">
        <f t="shared" si="15"/>
        <v>0</v>
      </c>
      <c r="V29" s="57">
        <f t="shared" si="16"/>
        <v>2.5715965753425016</v>
      </c>
      <c r="W29" s="164">
        <f t="shared" si="6"/>
        <v>40908</v>
      </c>
      <c r="X29" s="160">
        <f t="shared" si="7"/>
        <v>0.29556788590386501</v>
      </c>
      <c r="Y29" s="160">
        <f t="shared" si="8"/>
        <v>0.29556788590386501</v>
      </c>
      <c r="Z29" s="162">
        <v>0.5</v>
      </c>
      <c r="AA29" s="160">
        <f t="shared" si="9"/>
        <v>1.5016138784437E-2</v>
      </c>
      <c r="AB29" s="163" t="e">
        <f t="shared" si="18"/>
        <v>#VALUE!</v>
      </c>
      <c r="AC29" s="171" t="e">
        <f t="shared" si="19"/>
        <v>#VALUE!</v>
      </c>
      <c r="AD29" s="171">
        <f t="shared" si="17"/>
        <v>-2.4284034246574984</v>
      </c>
    </row>
    <row r="30" spans="1:30" hidden="1" x14ac:dyDescent="0.25">
      <c r="A30" s="167" t="s">
        <v>211</v>
      </c>
      <c r="B30" s="167" t="s">
        <v>254</v>
      </c>
      <c r="C30" s="167" t="s">
        <v>217</v>
      </c>
      <c r="D30" s="174">
        <v>40848</v>
      </c>
      <c r="E30" s="174">
        <v>40877</v>
      </c>
      <c r="F30" s="135">
        <v>-5</v>
      </c>
      <c r="G30" s="167" t="s">
        <v>18</v>
      </c>
      <c r="H30" s="167">
        <v>-20</v>
      </c>
      <c r="I30" s="168">
        <v>720</v>
      </c>
      <c r="J30" s="172">
        <v>-3.43</v>
      </c>
      <c r="K30" s="167">
        <v>-49392</v>
      </c>
      <c r="L30" s="167">
        <v>45.628094408417901</v>
      </c>
      <c r="M30" s="160">
        <f t="shared" si="10"/>
        <v>720</v>
      </c>
      <c r="N30" s="160">
        <f t="shared" si="11"/>
        <v>696</v>
      </c>
      <c r="O30" s="166">
        <f t="shared" si="12"/>
        <v>24</v>
      </c>
      <c r="P30" s="166">
        <f t="shared" si="13"/>
        <v>0.96666666666666667</v>
      </c>
      <c r="Q30" s="160">
        <f t="shared" si="3"/>
        <v>39.171666666666702</v>
      </c>
      <c r="R30" s="160">
        <f t="shared" si="4"/>
        <v>40.156666666666702</v>
      </c>
      <c r="S30" s="162" t="str">
        <f t="shared" si="5"/>
        <v>C</v>
      </c>
      <c r="T30" s="160">
        <f t="shared" si="14"/>
        <v>40.826499963975053</v>
      </c>
      <c r="U30" s="160">
        <f t="shared" si="15"/>
        <v>43.022888309510073</v>
      </c>
      <c r="V30" s="57">
        <f t="shared" si="16"/>
        <v>-4.9671666666666665</v>
      </c>
      <c r="W30" s="164">
        <f t="shared" si="6"/>
        <v>40877</v>
      </c>
      <c r="X30" s="160">
        <f t="shared" si="7"/>
        <v>0.37034305597315198</v>
      </c>
      <c r="Y30" s="160">
        <f t="shared" si="8"/>
        <v>0.56509827738996798</v>
      </c>
      <c r="Z30" s="162">
        <v>0.5</v>
      </c>
      <c r="AA30" s="160">
        <f t="shared" si="9"/>
        <v>1.35750097058338E-2</v>
      </c>
      <c r="AB30" s="163">
        <f t="shared" si="18"/>
        <v>4.0785751750197221</v>
      </c>
      <c r="AC30" s="171">
        <f t="shared" si="19"/>
        <v>-0.91061263399447889</v>
      </c>
      <c r="AD30" s="171">
        <f t="shared" si="17"/>
        <v>3.2833333333333492E-2</v>
      </c>
    </row>
    <row r="31" spans="1:30" hidden="1" x14ac:dyDescent="0.25">
      <c r="A31" s="167" t="s">
        <v>211</v>
      </c>
      <c r="B31" s="167" t="s">
        <v>254</v>
      </c>
      <c r="C31" s="167" t="s">
        <v>218</v>
      </c>
      <c r="D31" s="174">
        <v>40848</v>
      </c>
      <c r="E31" s="174">
        <v>40877</v>
      </c>
      <c r="F31" s="135">
        <v>5</v>
      </c>
      <c r="G31" s="167" t="s">
        <v>18</v>
      </c>
      <c r="H31" s="167">
        <v>-20</v>
      </c>
      <c r="I31" s="168">
        <v>720</v>
      </c>
      <c r="J31" s="172">
        <v>-3.43</v>
      </c>
      <c r="K31" s="167">
        <v>-49392</v>
      </c>
      <c r="L31" s="167">
        <v>0.25594594764953998</v>
      </c>
      <c r="M31" s="160">
        <f t="shared" si="10"/>
        <v>720</v>
      </c>
      <c r="N31" s="160">
        <f t="shared" si="11"/>
        <v>696</v>
      </c>
      <c r="O31" s="166">
        <f t="shared" si="12"/>
        <v>24</v>
      </c>
      <c r="P31" s="166">
        <f t="shared" si="13"/>
        <v>0.96666666666666667</v>
      </c>
      <c r="Q31" s="160">
        <f t="shared" si="3"/>
        <v>39.171666666666702</v>
      </c>
      <c r="R31" s="160">
        <f t="shared" si="4"/>
        <v>40.156666666666702</v>
      </c>
      <c r="S31" s="162" t="str">
        <f t="shared" si="5"/>
        <v>C</v>
      </c>
      <c r="T31" s="160">
        <f t="shared" si="14"/>
        <v>40.826499963975053</v>
      </c>
      <c r="U31" s="160">
        <f t="shared" si="15"/>
        <v>43.022888309510073</v>
      </c>
      <c r="V31" s="57">
        <f t="shared" si="16"/>
        <v>5.0328333333333335</v>
      </c>
      <c r="W31" s="164">
        <f t="shared" si="6"/>
        <v>40877</v>
      </c>
      <c r="X31" s="160">
        <f t="shared" si="7"/>
        <v>0.37034305597315198</v>
      </c>
      <c r="Y31" s="160">
        <f t="shared" si="8"/>
        <v>0.56509827738996798</v>
      </c>
      <c r="Z31" s="162">
        <v>0.5</v>
      </c>
      <c r="AA31" s="160">
        <f t="shared" si="9"/>
        <v>1.35750097058338E-2</v>
      </c>
      <c r="AB31" s="163">
        <f t="shared" si="18"/>
        <v>0.26477245617685258</v>
      </c>
      <c r="AC31" s="171">
        <f t="shared" si="19"/>
        <v>3.4485830341797419E-2</v>
      </c>
      <c r="AD31" s="171">
        <f t="shared" si="17"/>
        <v>3.2833333333333492E-2</v>
      </c>
    </row>
    <row r="32" spans="1:30" hidden="1" x14ac:dyDescent="0.25">
      <c r="A32" s="167" t="s">
        <v>211</v>
      </c>
      <c r="B32" s="167" t="s">
        <v>254</v>
      </c>
      <c r="C32" s="167" t="s">
        <v>219</v>
      </c>
      <c r="D32" s="174">
        <v>40848</v>
      </c>
      <c r="E32" s="174">
        <v>40877</v>
      </c>
      <c r="F32" s="135">
        <v>-5</v>
      </c>
      <c r="G32" s="167" t="s">
        <v>18</v>
      </c>
      <c r="H32" s="167">
        <v>-20</v>
      </c>
      <c r="I32" s="168">
        <v>720</v>
      </c>
      <c r="J32" s="172">
        <v>-3.43</v>
      </c>
      <c r="K32" s="167">
        <v>-49392</v>
      </c>
      <c r="L32" s="167">
        <v>0</v>
      </c>
      <c r="M32" s="160">
        <f t="shared" si="10"/>
        <v>720</v>
      </c>
      <c r="N32" s="160">
        <f t="shared" si="11"/>
        <v>696</v>
      </c>
      <c r="O32" s="166">
        <f t="shared" si="12"/>
        <v>24</v>
      </c>
      <c r="P32" s="166">
        <f t="shared" si="13"/>
        <v>0.96666666666666667</v>
      </c>
      <c r="Q32" s="160">
        <f t="shared" si="3"/>
        <v>39.171666666666702</v>
      </c>
      <c r="R32" s="160">
        <f t="shared" si="4"/>
        <v>40.156666666666702</v>
      </c>
      <c r="S32" s="162" t="str">
        <f t="shared" si="5"/>
        <v>P</v>
      </c>
      <c r="T32" s="160">
        <f t="shared" si="14"/>
        <v>40.826499963975053</v>
      </c>
      <c r="U32" s="160">
        <f t="shared" si="15"/>
        <v>43.022888309510073</v>
      </c>
      <c r="V32" s="57">
        <f t="shared" si="16"/>
        <v>-4.9671666666666665</v>
      </c>
      <c r="W32" s="164">
        <f t="shared" si="6"/>
        <v>40877</v>
      </c>
      <c r="X32" s="160">
        <f t="shared" si="7"/>
        <v>0.37034305597315198</v>
      </c>
      <c r="Y32" s="160">
        <f t="shared" si="8"/>
        <v>0.56509827738996798</v>
      </c>
      <c r="Z32" s="162">
        <v>0.5</v>
      </c>
      <c r="AA32" s="160">
        <f t="shared" si="9"/>
        <v>1.35750097058338E-2</v>
      </c>
      <c r="AB32" s="163">
        <f t="shared" si="18"/>
        <v>1.3107837002058629</v>
      </c>
      <c r="AC32" s="171" t="e">
        <f t="shared" si="19"/>
        <v>#DIV/0!</v>
      </c>
      <c r="AD32" s="171">
        <f t="shared" si="17"/>
        <v>3.2833333333333492E-2</v>
      </c>
    </row>
    <row r="33" spans="1:30" hidden="1" x14ac:dyDescent="0.25">
      <c r="A33" s="167" t="s">
        <v>211</v>
      </c>
      <c r="B33" s="167" t="s">
        <v>254</v>
      </c>
      <c r="C33" s="167" t="s">
        <v>220</v>
      </c>
      <c r="D33" s="174">
        <v>40848</v>
      </c>
      <c r="E33" s="174">
        <v>40877</v>
      </c>
      <c r="F33" s="135">
        <v>5</v>
      </c>
      <c r="G33" s="167" t="s">
        <v>18</v>
      </c>
      <c r="H33" s="167">
        <v>-20</v>
      </c>
      <c r="I33" s="168">
        <v>720</v>
      </c>
      <c r="J33" s="172">
        <v>-3.43</v>
      </c>
      <c r="K33" s="167">
        <v>-49392</v>
      </c>
      <c r="L33" s="167">
        <v>7.2366396446071004</v>
      </c>
      <c r="M33" s="160">
        <f t="shared" si="10"/>
        <v>720</v>
      </c>
      <c r="N33" s="160">
        <f t="shared" si="11"/>
        <v>696</v>
      </c>
      <c r="O33" s="166">
        <f t="shared" si="12"/>
        <v>24</v>
      </c>
      <c r="P33" s="166">
        <f t="shared" si="13"/>
        <v>0.96666666666666667</v>
      </c>
      <c r="Q33" s="160">
        <f t="shared" si="3"/>
        <v>39.171666666666702</v>
      </c>
      <c r="R33" s="160">
        <f t="shared" si="4"/>
        <v>40.156666666666702</v>
      </c>
      <c r="S33" s="162" t="str">
        <f t="shared" si="5"/>
        <v>P</v>
      </c>
      <c r="T33" s="160">
        <f t="shared" si="14"/>
        <v>40.826499963975053</v>
      </c>
      <c r="U33" s="160">
        <f t="shared" si="15"/>
        <v>43.022888309510073</v>
      </c>
      <c r="V33" s="57">
        <f t="shared" si="16"/>
        <v>5.0328333333333335</v>
      </c>
      <c r="W33" s="164">
        <f t="shared" si="6"/>
        <v>40877</v>
      </c>
      <c r="X33" s="160">
        <f t="shared" si="7"/>
        <v>0.37034305597315198</v>
      </c>
      <c r="Y33" s="160">
        <f t="shared" si="8"/>
        <v>0.56509827738996798</v>
      </c>
      <c r="Z33" s="162">
        <v>0.5</v>
      </c>
      <c r="AA33" s="160">
        <f t="shared" si="9"/>
        <v>1.35750097058338E-2</v>
      </c>
      <c r="AB33" s="163">
        <f t="shared" si="18"/>
        <v>7.4862011716069849</v>
      </c>
      <c r="AC33" s="171">
        <f t="shared" si="19"/>
        <v>3.4485830337823042E-2</v>
      </c>
      <c r="AD33" s="171">
        <f t="shared" si="17"/>
        <v>3.2833333333333492E-2</v>
      </c>
    </row>
    <row r="34" spans="1:30" hidden="1" x14ac:dyDescent="0.25">
      <c r="A34" s="167" t="s">
        <v>216</v>
      </c>
      <c r="B34" s="167" t="s">
        <v>255</v>
      </c>
      <c r="C34" s="167" t="s">
        <v>217</v>
      </c>
      <c r="D34" s="174">
        <v>40848</v>
      </c>
      <c r="E34" s="174">
        <v>40877</v>
      </c>
      <c r="F34" s="135">
        <v>-5</v>
      </c>
      <c r="G34" s="167" t="s">
        <v>18</v>
      </c>
      <c r="H34" s="167">
        <v>-20</v>
      </c>
      <c r="I34" s="168">
        <v>720</v>
      </c>
      <c r="J34" s="172">
        <v>-3.43</v>
      </c>
      <c r="K34" s="167">
        <v>-49392</v>
      </c>
      <c r="L34" s="167">
        <v>58.731624444443597</v>
      </c>
      <c r="M34" s="160">
        <f t="shared" si="10"/>
        <v>720</v>
      </c>
      <c r="N34" s="160">
        <f t="shared" si="11"/>
        <v>696</v>
      </c>
      <c r="O34" s="166">
        <f t="shared" si="12"/>
        <v>24</v>
      </c>
      <c r="P34" s="166">
        <f t="shared" si="13"/>
        <v>0.96666666666666667</v>
      </c>
      <c r="Q34" s="160">
        <f t="shared" si="3"/>
        <v>51.529378415300499</v>
      </c>
      <c r="R34" s="160">
        <f t="shared" si="4"/>
        <v>45.592041666666702</v>
      </c>
      <c r="S34" s="162" t="str">
        <f t="shared" si="5"/>
        <v>C</v>
      </c>
      <c r="T34" s="160">
        <f t="shared" si="14"/>
        <v>0</v>
      </c>
      <c r="U34" s="160">
        <f t="shared" si="15"/>
        <v>0</v>
      </c>
      <c r="V34" s="57">
        <f t="shared" si="16"/>
        <v>-5.1979112249544599</v>
      </c>
      <c r="W34" s="164">
        <f t="shared" si="6"/>
        <v>40877</v>
      </c>
      <c r="X34" s="160">
        <f t="shared" si="7"/>
        <v>0.37034305597315198</v>
      </c>
      <c r="Y34" s="160">
        <f t="shared" si="8"/>
        <v>0.37034305597315198</v>
      </c>
      <c r="Z34" s="162">
        <v>0.5</v>
      </c>
      <c r="AA34" s="160">
        <f t="shared" si="9"/>
        <v>1.35750097058338E-2</v>
      </c>
      <c r="AB34" s="163" t="e">
        <f t="shared" si="18"/>
        <v>#VALUE!</v>
      </c>
      <c r="AC34" s="171" t="e">
        <f t="shared" si="19"/>
        <v>#VALUE!</v>
      </c>
      <c r="AD34" s="171">
        <f t="shared" si="17"/>
        <v>-0.1979112249544599</v>
      </c>
    </row>
    <row r="35" spans="1:30" hidden="1" x14ac:dyDescent="0.25">
      <c r="A35" s="167" t="s">
        <v>216</v>
      </c>
      <c r="B35" s="167" t="s">
        <v>255</v>
      </c>
      <c r="C35" s="167" t="s">
        <v>218</v>
      </c>
      <c r="D35" s="174">
        <v>40848</v>
      </c>
      <c r="E35" s="174">
        <v>40877</v>
      </c>
      <c r="F35" s="135">
        <v>5</v>
      </c>
      <c r="G35" s="167" t="s">
        <v>18</v>
      </c>
      <c r="H35" s="167">
        <v>-20</v>
      </c>
      <c r="I35" s="135">
        <v>720</v>
      </c>
      <c r="J35" s="167">
        <v>-3.43</v>
      </c>
      <c r="K35" s="167">
        <v>-49392</v>
      </c>
      <c r="L35" s="167">
        <v>5.1200221275819997</v>
      </c>
      <c r="M35" s="160">
        <f t="shared" si="10"/>
        <v>720</v>
      </c>
      <c r="N35" s="160">
        <f t="shared" si="11"/>
        <v>696</v>
      </c>
      <c r="O35" s="166">
        <f t="shared" si="12"/>
        <v>24</v>
      </c>
      <c r="P35" s="166">
        <f t="shared" si="13"/>
        <v>0.96666666666666667</v>
      </c>
      <c r="Q35" s="160">
        <f t="shared" si="3"/>
        <v>51.529378415300499</v>
      </c>
      <c r="R35" s="160">
        <f t="shared" si="4"/>
        <v>45.592041666666702</v>
      </c>
      <c r="S35" s="162" t="str">
        <f t="shared" si="5"/>
        <v>C</v>
      </c>
      <c r="T35" s="160">
        <f t="shared" si="14"/>
        <v>0</v>
      </c>
      <c r="U35" s="160">
        <f t="shared" si="15"/>
        <v>0</v>
      </c>
      <c r="V35" s="57">
        <f t="shared" si="16"/>
        <v>4.8020887750455401</v>
      </c>
      <c r="W35" s="164">
        <f t="shared" si="6"/>
        <v>40877</v>
      </c>
      <c r="X35" s="160">
        <f t="shared" si="7"/>
        <v>0.37034305597315198</v>
      </c>
      <c r="Y35" s="160">
        <f t="shared" si="8"/>
        <v>0.37034305597315198</v>
      </c>
      <c r="Z35" s="162">
        <v>0.5</v>
      </c>
      <c r="AA35" s="160">
        <f t="shared" si="9"/>
        <v>1.35750097058338E-2</v>
      </c>
      <c r="AB35" s="163" t="e">
        <f t="shared" si="18"/>
        <v>#VALUE!</v>
      </c>
      <c r="AC35" s="171" t="e">
        <f t="shared" si="19"/>
        <v>#VALUE!</v>
      </c>
      <c r="AD35" s="171">
        <f t="shared" si="17"/>
        <v>-0.1979112249544599</v>
      </c>
    </row>
    <row r="36" spans="1:30" hidden="1" x14ac:dyDescent="0.25">
      <c r="A36" s="167" t="s">
        <v>216</v>
      </c>
      <c r="B36" s="167" t="s">
        <v>255</v>
      </c>
      <c r="C36" s="167" t="s">
        <v>219</v>
      </c>
      <c r="D36" s="174">
        <v>40848</v>
      </c>
      <c r="E36" s="174">
        <v>40877</v>
      </c>
      <c r="F36" s="135">
        <v>-5</v>
      </c>
      <c r="G36" s="167" t="s">
        <v>18</v>
      </c>
      <c r="H36" s="167">
        <v>-20</v>
      </c>
      <c r="I36" s="135">
        <v>720</v>
      </c>
      <c r="J36" s="167">
        <v>-3.43</v>
      </c>
      <c r="K36" s="167">
        <v>-49392</v>
      </c>
      <c r="L36" s="167">
        <v>0</v>
      </c>
      <c r="M36" s="160">
        <f t="shared" si="10"/>
        <v>720</v>
      </c>
      <c r="N36" s="160">
        <f t="shared" si="11"/>
        <v>696</v>
      </c>
      <c r="O36" s="166">
        <f t="shared" si="12"/>
        <v>24</v>
      </c>
      <c r="P36" s="166">
        <f t="shared" si="13"/>
        <v>0.96666666666666667</v>
      </c>
      <c r="Q36" s="160">
        <f t="shared" si="3"/>
        <v>51.529378415300499</v>
      </c>
      <c r="R36" s="160">
        <f t="shared" si="4"/>
        <v>45.592041666666702</v>
      </c>
      <c r="S36" s="162" t="str">
        <f t="shared" si="5"/>
        <v>P</v>
      </c>
      <c r="T36" s="160">
        <f t="shared" si="14"/>
        <v>0</v>
      </c>
      <c r="U36" s="160">
        <f t="shared" si="15"/>
        <v>0</v>
      </c>
      <c r="V36" s="57">
        <f t="shared" si="16"/>
        <v>-5.1979112249544599</v>
      </c>
      <c r="W36" s="164">
        <f t="shared" si="6"/>
        <v>40877</v>
      </c>
      <c r="X36" s="160">
        <f t="shared" si="7"/>
        <v>0.37034305597315198</v>
      </c>
      <c r="Y36" s="160">
        <f t="shared" si="8"/>
        <v>0.37034305597315198</v>
      </c>
      <c r="Z36" s="162">
        <v>0.5</v>
      </c>
      <c r="AA36" s="160">
        <f t="shared" si="9"/>
        <v>1.35750097058338E-2</v>
      </c>
      <c r="AB36" s="163" t="e">
        <f t="shared" si="18"/>
        <v>#VALUE!</v>
      </c>
      <c r="AC36" s="171" t="e">
        <f t="shared" si="19"/>
        <v>#VALUE!</v>
      </c>
      <c r="AD36" s="171">
        <f t="shared" si="17"/>
        <v>-0.1979112249544599</v>
      </c>
    </row>
    <row r="37" spans="1:30" hidden="1" x14ac:dyDescent="0.25">
      <c r="A37" s="167" t="s">
        <v>216</v>
      </c>
      <c r="B37" s="167" t="s">
        <v>255</v>
      </c>
      <c r="C37" s="167" t="s">
        <v>220</v>
      </c>
      <c r="D37" s="174">
        <v>40848</v>
      </c>
      <c r="E37" s="174">
        <v>40877</v>
      </c>
      <c r="F37" s="135">
        <v>5</v>
      </c>
      <c r="G37" s="167" t="s">
        <v>18</v>
      </c>
      <c r="H37" s="167">
        <v>-20</v>
      </c>
      <c r="I37" s="135">
        <v>720</v>
      </c>
      <c r="J37" s="167">
        <v>-3.43</v>
      </c>
      <c r="K37" s="167">
        <v>-49392</v>
      </c>
      <c r="L37" s="167">
        <v>0.458000313060276</v>
      </c>
      <c r="M37" s="160">
        <f t="shared" si="10"/>
        <v>720</v>
      </c>
      <c r="N37" s="160">
        <f t="shared" si="11"/>
        <v>696</v>
      </c>
      <c r="O37" s="166">
        <f t="shared" si="12"/>
        <v>24</v>
      </c>
      <c r="P37" s="166">
        <f t="shared" si="13"/>
        <v>0.96666666666666667</v>
      </c>
      <c r="Q37" s="160">
        <f t="shared" si="3"/>
        <v>51.529378415300499</v>
      </c>
      <c r="R37" s="160">
        <f t="shared" si="4"/>
        <v>45.592041666666702</v>
      </c>
      <c r="S37" s="162" t="str">
        <f t="shared" si="5"/>
        <v>P</v>
      </c>
      <c r="T37" s="160">
        <f t="shared" si="14"/>
        <v>0</v>
      </c>
      <c r="U37" s="160">
        <f t="shared" si="15"/>
        <v>0</v>
      </c>
      <c r="V37" s="57">
        <f t="shared" si="16"/>
        <v>4.8020887750455401</v>
      </c>
      <c r="W37" s="164">
        <f t="shared" si="6"/>
        <v>40877</v>
      </c>
      <c r="X37" s="160">
        <f t="shared" si="7"/>
        <v>0.37034305597315198</v>
      </c>
      <c r="Y37" s="160">
        <f t="shared" si="8"/>
        <v>0.37034305597315198</v>
      </c>
      <c r="Z37" s="162">
        <v>0.5</v>
      </c>
      <c r="AA37" s="160">
        <f t="shared" si="9"/>
        <v>1.35750097058338E-2</v>
      </c>
      <c r="AB37" s="163" t="e">
        <f t="shared" si="18"/>
        <v>#VALUE!</v>
      </c>
      <c r="AC37" s="171" t="e">
        <f t="shared" si="19"/>
        <v>#VALUE!</v>
      </c>
      <c r="AD37" s="171">
        <f t="shared" si="17"/>
        <v>-0.1979112249544599</v>
      </c>
    </row>
    <row r="38" spans="1:30" hidden="1" x14ac:dyDescent="0.25">
      <c r="A38" s="167" t="s">
        <v>211</v>
      </c>
      <c r="B38" s="167" t="s">
        <v>256</v>
      </c>
      <c r="C38" s="167" t="s">
        <v>221</v>
      </c>
      <c r="D38" s="174">
        <v>40909</v>
      </c>
      <c r="E38" s="174">
        <v>40939</v>
      </c>
      <c r="F38" s="135">
        <v>-5</v>
      </c>
      <c r="G38" s="167" t="s">
        <v>18</v>
      </c>
      <c r="H38" s="167">
        <v>-20</v>
      </c>
      <c r="I38" s="135">
        <v>744</v>
      </c>
      <c r="J38" s="167">
        <v>-3.43</v>
      </c>
      <c r="K38" s="167">
        <v>-51038.400000000001</v>
      </c>
      <c r="L38" s="167">
        <v>7.2749691939301204</v>
      </c>
      <c r="M38" s="160">
        <f t="shared" si="10"/>
        <v>744</v>
      </c>
      <c r="N38" s="160">
        <f t="shared" si="11"/>
        <v>744</v>
      </c>
      <c r="O38" s="166">
        <f t="shared" si="12"/>
        <v>0</v>
      </c>
      <c r="P38" s="166">
        <f t="shared" si="13"/>
        <v>1</v>
      </c>
      <c r="Q38" s="160" t="str">
        <f t="shared" si="3"/>
        <v>N/A</v>
      </c>
      <c r="R38" s="160" t="str">
        <f t="shared" si="4"/>
        <v>N/A</v>
      </c>
      <c r="S38" s="162" t="str">
        <f t="shared" si="5"/>
        <v>C</v>
      </c>
      <c r="T38" s="160">
        <f t="shared" si="14"/>
        <v>46.33</v>
      </c>
      <c r="U38" s="160">
        <f t="shared" si="15"/>
        <v>47.579999999999799</v>
      </c>
      <c r="V38" s="57">
        <f t="shared" si="16"/>
        <v>-5</v>
      </c>
      <c r="W38" s="164">
        <f t="shared" si="6"/>
        <v>40939</v>
      </c>
      <c r="X38" s="160">
        <f t="shared" si="7"/>
        <v>0.357050297653487</v>
      </c>
      <c r="Y38" s="160">
        <f t="shared" si="8"/>
        <v>0.61316786053898098</v>
      </c>
      <c r="Z38" s="162">
        <v>0.5</v>
      </c>
      <c r="AA38" s="160">
        <f t="shared" si="9"/>
        <v>1.5854433846317999E-2</v>
      </c>
      <c r="AB38" s="163">
        <f t="shared" si="18"/>
        <v>7.2749904228748221</v>
      </c>
      <c r="AC38" s="171">
        <f t="shared" si="19"/>
        <v>2.9180803569062164E-6</v>
      </c>
      <c r="AD38" s="171">
        <f t="shared" si="17"/>
        <v>0</v>
      </c>
    </row>
    <row r="39" spans="1:30" hidden="1" x14ac:dyDescent="0.25">
      <c r="A39" s="167" t="s">
        <v>211</v>
      </c>
      <c r="B39" s="167" t="s">
        <v>256</v>
      </c>
      <c r="C39" s="167" t="s">
        <v>222</v>
      </c>
      <c r="D39" s="174">
        <v>40909</v>
      </c>
      <c r="E39" s="174">
        <v>40939</v>
      </c>
      <c r="F39" s="135">
        <v>5</v>
      </c>
      <c r="G39" s="167" t="s">
        <v>18</v>
      </c>
      <c r="H39" s="167">
        <v>-20</v>
      </c>
      <c r="I39" s="135">
        <v>744</v>
      </c>
      <c r="J39" s="167">
        <v>-3.43</v>
      </c>
      <c r="K39" s="167">
        <v>-51038.400000000001</v>
      </c>
      <c r="L39" s="167">
        <v>2.2575334925667598</v>
      </c>
      <c r="M39" s="160">
        <f t="shared" si="10"/>
        <v>744</v>
      </c>
      <c r="N39" s="160">
        <f t="shared" si="11"/>
        <v>744</v>
      </c>
      <c r="O39" s="166">
        <f t="shared" si="12"/>
        <v>0</v>
      </c>
      <c r="P39" s="166">
        <f t="shared" si="13"/>
        <v>1</v>
      </c>
      <c r="Q39" s="160" t="str">
        <f t="shared" si="3"/>
        <v>N/A</v>
      </c>
      <c r="R39" s="160" t="str">
        <f t="shared" si="4"/>
        <v>N/A</v>
      </c>
      <c r="S39" s="162" t="str">
        <f t="shared" si="5"/>
        <v>C</v>
      </c>
      <c r="T39" s="160">
        <f t="shared" si="14"/>
        <v>46.33</v>
      </c>
      <c r="U39" s="160">
        <f t="shared" si="15"/>
        <v>47.579999999999799</v>
      </c>
      <c r="V39" s="57">
        <f t="shared" si="16"/>
        <v>5</v>
      </c>
      <c r="W39" s="164">
        <f t="shared" si="6"/>
        <v>40939</v>
      </c>
      <c r="X39" s="160">
        <f t="shared" si="7"/>
        <v>0.357050297653487</v>
      </c>
      <c r="Y39" s="160">
        <f t="shared" si="8"/>
        <v>0.61316786053898098</v>
      </c>
      <c r="Z39" s="162">
        <v>0.5</v>
      </c>
      <c r="AA39" s="160">
        <f t="shared" si="9"/>
        <v>1.5854433846317999E-2</v>
      </c>
      <c r="AB39" s="163">
        <f t="shared" si="18"/>
        <v>2.2575400806529036</v>
      </c>
      <c r="AC39" s="171">
        <f t="shared" si="19"/>
        <v>2.918267288265497E-6</v>
      </c>
      <c r="AD39" s="171">
        <f t="shared" si="17"/>
        <v>0</v>
      </c>
    </row>
    <row r="40" spans="1:30" hidden="1" x14ac:dyDescent="0.25">
      <c r="A40" s="167" t="s">
        <v>211</v>
      </c>
      <c r="B40" s="167" t="s">
        <v>256</v>
      </c>
      <c r="C40" s="167" t="s">
        <v>223</v>
      </c>
      <c r="D40" s="174">
        <v>40909</v>
      </c>
      <c r="E40" s="174">
        <v>40939</v>
      </c>
      <c r="F40" s="135">
        <v>-5</v>
      </c>
      <c r="G40" s="167" t="s">
        <v>18</v>
      </c>
      <c r="H40" s="167">
        <v>-20</v>
      </c>
      <c r="I40" s="135">
        <v>744</v>
      </c>
      <c r="J40" s="167">
        <v>-3.43</v>
      </c>
      <c r="K40" s="167">
        <v>-51038.400000000001</v>
      </c>
      <c r="L40" s="167">
        <v>3.5397736463829501</v>
      </c>
      <c r="M40" s="160">
        <f t="shared" si="10"/>
        <v>744</v>
      </c>
      <c r="N40" s="160">
        <f t="shared" si="11"/>
        <v>744</v>
      </c>
      <c r="O40" s="166">
        <f t="shared" si="12"/>
        <v>0</v>
      </c>
      <c r="P40" s="166">
        <f t="shared" si="13"/>
        <v>1</v>
      </c>
      <c r="Q40" s="160" t="str">
        <f t="shared" si="3"/>
        <v>N/A</v>
      </c>
      <c r="R40" s="160" t="str">
        <f t="shared" si="4"/>
        <v>N/A</v>
      </c>
      <c r="S40" s="162" t="str">
        <f t="shared" si="5"/>
        <v>P</v>
      </c>
      <c r="T40" s="160">
        <f t="shared" si="14"/>
        <v>46.33</v>
      </c>
      <c r="U40" s="160">
        <f t="shared" si="15"/>
        <v>47.579999999999799</v>
      </c>
      <c r="V40" s="57">
        <f t="shared" si="16"/>
        <v>-5</v>
      </c>
      <c r="W40" s="164">
        <f t="shared" si="6"/>
        <v>40939</v>
      </c>
      <c r="X40" s="160">
        <f t="shared" si="7"/>
        <v>0.357050297653487</v>
      </c>
      <c r="Y40" s="160">
        <f t="shared" si="8"/>
        <v>0.61316786053898098</v>
      </c>
      <c r="Z40" s="162">
        <v>0.5</v>
      </c>
      <c r="AA40" s="160">
        <f t="shared" si="9"/>
        <v>1.5854433846317999E-2</v>
      </c>
      <c r="AB40" s="163">
        <f t="shared" si="18"/>
        <v>3.539783975736758</v>
      </c>
      <c r="AC40" s="171">
        <f t="shared" si="19"/>
        <v>2.918083143121919E-6</v>
      </c>
      <c r="AD40" s="171">
        <f t="shared" si="17"/>
        <v>0</v>
      </c>
    </row>
    <row r="41" spans="1:30" hidden="1" x14ac:dyDescent="0.25">
      <c r="A41" s="167" t="s">
        <v>211</v>
      </c>
      <c r="B41" s="167" t="s">
        <v>256</v>
      </c>
      <c r="C41" s="167" t="s">
        <v>224</v>
      </c>
      <c r="D41" s="174">
        <v>40909</v>
      </c>
      <c r="E41" s="174">
        <v>40939</v>
      </c>
      <c r="F41" s="135">
        <v>5</v>
      </c>
      <c r="G41" s="167" t="s">
        <v>18</v>
      </c>
      <c r="H41" s="167">
        <v>-20</v>
      </c>
      <c r="I41" s="135">
        <v>744</v>
      </c>
      <c r="J41" s="167">
        <v>-3.43</v>
      </c>
      <c r="K41" s="167">
        <v>-51038.400000000001</v>
      </c>
      <c r="L41" s="167">
        <v>8.4828594051485204</v>
      </c>
      <c r="M41" s="160">
        <f t="shared" si="10"/>
        <v>744</v>
      </c>
      <c r="N41" s="160">
        <f t="shared" si="11"/>
        <v>744</v>
      </c>
      <c r="O41" s="166">
        <f t="shared" si="12"/>
        <v>0</v>
      </c>
      <c r="P41" s="166">
        <f t="shared" si="13"/>
        <v>1</v>
      </c>
      <c r="Q41" s="160" t="str">
        <f t="shared" si="3"/>
        <v>N/A</v>
      </c>
      <c r="R41" s="160" t="str">
        <f t="shared" si="4"/>
        <v>N/A</v>
      </c>
      <c r="S41" s="162" t="str">
        <f t="shared" si="5"/>
        <v>P</v>
      </c>
      <c r="T41" s="160">
        <f t="shared" si="14"/>
        <v>46.33</v>
      </c>
      <c r="U41" s="160">
        <f t="shared" si="15"/>
        <v>47.579999999999799</v>
      </c>
      <c r="V41" s="57">
        <f t="shared" si="16"/>
        <v>5</v>
      </c>
      <c r="W41" s="164">
        <f t="shared" si="6"/>
        <v>40939</v>
      </c>
      <c r="X41" s="160">
        <f t="shared" si="7"/>
        <v>0.357050297653487</v>
      </c>
      <c r="Y41" s="160">
        <f t="shared" si="8"/>
        <v>0.61316786053898098</v>
      </c>
      <c r="Z41" s="162">
        <v>0.5</v>
      </c>
      <c r="AA41" s="160">
        <f t="shared" si="9"/>
        <v>1.5854433846317999E-2</v>
      </c>
      <c r="AB41" s="163">
        <f t="shared" si="18"/>
        <v>8.482884159215816</v>
      </c>
      <c r="AC41" s="171">
        <f t="shared" si="19"/>
        <v>2.91812773411948E-6</v>
      </c>
      <c r="AD41" s="171">
        <f t="shared" si="17"/>
        <v>0</v>
      </c>
    </row>
    <row r="42" spans="1:30" hidden="1" x14ac:dyDescent="0.25">
      <c r="A42" s="167" t="s">
        <v>216</v>
      </c>
      <c r="B42" s="167" t="s">
        <v>257</v>
      </c>
      <c r="C42" s="167" t="s">
        <v>221</v>
      </c>
      <c r="D42" s="174">
        <v>40909</v>
      </c>
      <c r="E42" s="174">
        <v>40939</v>
      </c>
      <c r="F42" s="135">
        <v>-5</v>
      </c>
      <c r="G42" s="167" t="s">
        <v>18</v>
      </c>
      <c r="H42" s="167">
        <v>-20</v>
      </c>
      <c r="I42" s="135">
        <v>744</v>
      </c>
      <c r="J42" s="167">
        <v>-3.43</v>
      </c>
      <c r="K42" s="167">
        <v>-51038.400000000001</v>
      </c>
      <c r="L42" s="167">
        <v>19.210208520474399</v>
      </c>
      <c r="M42" s="160">
        <f t="shared" si="10"/>
        <v>744</v>
      </c>
      <c r="N42" s="160">
        <f t="shared" si="11"/>
        <v>744</v>
      </c>
      <c r="O42" s="166">
        <f t="shared" si="12"/>
        <v>0</v>
      </c>
      <c r="P42" s="166">
        <f t="shared" si="13"/>
        <v>1</v>
      </c>
      <c r="Q42" s="160" t="str">
        <f t="shared" si="3"/>
        <v>N/A</v>
      </c>
      <c r="R42" s="160" t="str">
        <f t="shared" si="4"/>
        <v>N/A</v>
      </c>
      <c r="S42" s="162" t="str">
        <f t="shared" si="5"/>
        <v>C</v>
      </c>
      <c r="T42" s="160">
        <f t="shared" si="14"/>
        <v>0</v>
      </c>
      <c r="U42" s="160">
        <f t="shared" si="15"/>
        <v>0</v>
      </c>
      <c r="V42" s="57">
        <f t="shared" si="16"/>
        <v>-5</v>
      </c>
      <c r="W42" s="164">
        <f t="shared" si="6"/>
        <v>40939</v>
      </c>
      <c r="X42" s="160">
        <f t="shared" si="7"/>
        <v>0.357050297653487</v>
      </c>
      <c r="Y42" s="160">
        <f t="shared" si="8"/>
        <v>0.357050297653487</v>
      </c>
      <c r="Z42" s="162">
        <v>0.5</v>
      </c>
      <c r="AA42" s="160">
        <f t="shared" si="9"/>
        <v>1.5854433846317999E-2</v>
      </c>
      <c r="AB42" s="163" t="e">
        <f t="shared" si="18"/>
        <v>#VALUE!</v>
      </c>
      <c r="AC42" s="171" t="e">
        <f t="shared" si="19"/>
        <v>#VALUE!</v>
      </c>
      <c r="AD42" s="171">
        <f t="shared" si="17"/>
        <v>0</v>
      </c>
    </row>
    <row r="43" spans="1:30" hidden="1" x14ac:dyDescent="0.25">
      <c r="A43" s="167" t="s">
        <v>216</v>
      </c>
      <c r="B43" s="167" t="s">
        <v>257</v>
      </c>
      <c r="C43" s="167" t="s">
        <v>222</v>
      </c>
      <c r="D43" s="174">
        <v>40909</v>
      </c>
      <c r="E43" s="174">
        <v>40939</v>
      </c>
      <c r="F43" s="135">
        <v>5</v>
      </c>
      <c r="G43" s="167" t="s">
        <v>18</v>
      </c>
      <c r="H43" s="167">
        <v>-20</v>
      </c>
      <c r="I43" s="135">
        <v>744</v>
      </c>
      <c r="J43" s="167">
        <v>-3.43</v>
      </c>
      <c r="K43" s="167">
        <v>-51038.400000000001</v>
      </c>
      <c r="L43" s="167">
        <v>9.9840028285287996</v>
      </c>
      <c r="M43" s="160">
        <f t="shared" si="10"/>
        <v>744</v>
      </c>
      <c r="N43" s="160">
        <f t="shared" si="11"/>
        <v>744</v>
      </c>
      <c r="O43" s="166">
        <f t="shared" si="12"/>
        <v>0</v>
      </c>
      <c r="P43" s="166">
        <f t="shared" si="13"/>
        <v>1</v>
      </c>
      <c r="Q43" s="160" t="str">
        <f t="shared" si="3"/>
        <v>N/A</v>
      </c>
      <c r="R43" s="160" t="str">
        <f t="shared" si="4"/>
        <v>N/A</v>
      </c>
      <c r="S43" s="162" t="str">
        <f t="shared" si="5"/>
        <v>C</v>
      </c>
      <c r="T43" s="160">
        <f t="shared" si="14"/>
        <v>0</v>
      </c>
      <c r="U43" s="160">
        <f t="shared" si="15"/>
        <v>0</v>
      </c>
      <c r="V43" s="57">
        <f t="shared" si="16"/>
        <v>5</v>
      </c>
      <c r="W43" s="164">
        <f t="shared" si="6"/>
        <v>40939</v>
      </c>
      <c r="X43" s="160">
        <f t="shared" si="7"/>
        <v>0.357050297653487</v>
      </c>
      <c r="Y43" s="160">
        <f t="shared" si="8"/>
        <v>0.357050297653487</v>
      </c>
      <c r="Z43" s="162">
        <v>0.5</v>
      </c>
      <c r="AA43" s="160">
        <f t="shared" si="9"/>
        <v>1.5854433846317999E-2</v>
      </c>
      <c r="AB43" s="163" t="e">
        <f t="shared" si="18"/>
        <v>#VALUE!</v>
      </c>
      <c r="AC43" s="171" t="e">
        <f t="shared" si="19"/>
        <v>#VALUE!</v>
      </c>
      <c r="AD43" s="171">
        <f t="shared" si="17"/>
        <v>0</v>
      </c>
    </row>
    <row r="44" spans="1:30" hidden="1" x14ac:dyDescent="0.25">
      <c r="A44" s="167" t="s">
        <v>216</v>
      </c>
      <c r="B44" s="167" t="s">
        <v>257</v>
      </c>
      <c r="C44" s="167" t="s">
        <v>223</v>
      </c>
      <c r="D44" s="174">
        <v>40909</v>
      </c>
      <c r="E44" s="174">
        <v>40939</v>
      </c>
      <c r="F44" s="135">
        <v>-5</v>
      </c>
      <c r="G44" s="167" t="s">
        <v>18</v>
      </c>
      <c r="H44" s="167">
        <v>-20</v>
      </c>
      <c r="I44" s="135">
        <v>744</v>
      </c>
      <c r="J44" s="167">
        <v>-3.43</v>
      </c>
      <c r="K44" s="167">
        <v>-51038.400000000001</v>
      </c>
      <c r="L44" s="167">
        <v>6.8078378398098105E-2</v>
      </c>
      <c r="M44" s="160">
        <f t="shared" si="10"/>
        <v>744</v>
      </c>
      <c r="N44" s="160">
        <f t="shared" si="11"/>
        <v>744</v>
      </c>
      <c r="O44" s="166">
        <f t="shared" si="12"/>
        <v>0</v>
      </c>
      <c r="P44" s="166">
        <f t="shared" si="13"/>
        <v>1</v>
      </c>
      <c r="Q44" s="160" t="str">
        <f t="shared" si="3"/>
        <v>N/A</v>
      </c>
      <c r="R44" s="160" t="str">
        <f t="shared" si="4"/>
        <v>N/A</v>
      </c>
      <c r="S44" s="162" t="str">
        <f t="shared" si="5"/>
        <v>P</v>
      </c>
      <c r="T44" s="160">
        <f t="shared" si="14"/>
        <v>0</v>
      </c>
      <c r="U44" s="160">
        <f t="shared" si="15"/>
        <v>0</v>
      </c>
      <c r="V44" s="57">
        <f t="shared" si="16"/>
        <v>-5</v>
      </c>
      <c r="W44" s="164">
        <f t="shared" si="6"/>
        <v>40939</v>
      </c>
      <c r="X44" s="160">
        <f t="shared" si="7"/>
        <v>0.357050297653487</v>
      </c>
      <c r="Y44" s="160">
        <f t="shared" si="8"/>
        <v>0.357050297653487</v>
      </c>
      <c r="Z44" s="162">
        <v>0.5</v>
      </c>
      <c r="AA44" s="160">
        <f t="shared" si="9"/>
        <v>1.5854433846317999E-2</v>
      </c>
      <c r="AB44" s="163" t="e">
        <f t="shared" si="18"/>
        <v>#VALUE!</v>
      </c>
      <c r="AC44" s="171" t="e">
        <f t="shared" si="19"/>
        <v>#VALUE!</v>
      </c>
      <c r="AD44" s="171">
        <f t="shared" si="17"/>
        <v>0</v>
      </c>
    </row>
    <row r="45" spans="1:30" hidden="1" x14ac:dyDescent="0.25">
      <c r="A45" s="167" t="s">
        <v>216</v>
      </c>
      <c r="B45" s="167" t="s">
        <v>257</v>
      </c>
      <c r="C45" s="167" t="s">
        <v>224</v>
      </c>
      <c r="D45" s="174">
        <v>40909</v>
      </c>
      <c r="E45" s="174">
        <v>40939</v>
      </c>
      <c r="F45" s="135">
        <v>5</v>
      </c>
      <c r="G45" s="167" t="s">
        <v>18</v>
      </c>
      <c r="H45" s="167">
        <v>-20</v>
      </c>
      <c r="I45" s="135">
        <v>744</v>
      </c>
      <c r="J45" s="167">
        <v>-3.43</v>
      </c>
      <c r="K45" s="167">
        <v>-51038.400000000001</v>
      </c>
      <c r="L45" s="167">
        <v>0.80239414658143104</v>
      </c>
      <c r="M45" s="160">
        <f t="shared" si="10"/>
        <v>744</v>
      </c>
      <c r="N45" s="160">
        <f t="shared" si="11"/>
        <v>744</v>
      </c>
      <c r="O45" s="166">
        <f t="shared" si="12"/>
        <v>0</v>
      </c>
      <c r="P45" s="166">
        <f t="shared" si="13"/>
        <v>1</v>
      </c>
      <c r="Q45" s="160" t="str">
        <f t="shared" si="3"/>
        <v>N/A</v>
      </c>
      <c r="R45" s="160" t="str">
        <f t="shared" si="4"/>
        <v>N/A</v>
      </c>
      <c r="S45" s="162" t="str">
        <f t="shared" si="5"/>
        <v>P</v>
      </c>
      <c r="T45" s="160">
        <f t="shared" si="14"/>
        <v>0</v>
      </c>
      <c r="U45" s="160">
        <f t="shared" si="15"/>
        <v>0</v>
      </c>
      <c r="V45" s="57">
        <f t="shared" si="16"/>
        <v>5</v>
      </c>
      <c r="W45" s="164">
        <f t="shared" si="6"/>
        <v>40939</v>
      </c>
      <c r="X45" s="160">
        <f t="shared" si="7"/>
        <v>0.357050297653487</v>
      </c>
      <c r="Y45" s="160">
        <f t="shared" si="8"/>
        <v>0.357050297653487</v>
      </c>
      <c r="Z45" s="162">
        <v>0.5</v>
      </c>
      <c r="AA45" s="160">
        <f t="shared" si="9"/>
        <v>1.5854433846317999E-2</v>
      </c>
      <c r="AB45" s="163" t="e">
        <f t="shared" si="18"/>
        <v>#VALUE!</v>
      </c>
      <c r="AC45" s="171" t="e">
        <f t="shared" si="19"/>
        <v>#VALUE!</v>
      </c>
      <c r="AD45" s="171">
        <f t="shared" si="17"/>
        <v>0</v>
      </c>
    </row>
    <row r="46" spans="1:30" hidden="1" x14ac:dyDescent="0.25">
      <c r="A46" s="167" t="s">
        <v>211</v>
      </c>
      <c r="B46" s="167" t="s">
        <v>258</v>
      </c>
      <c r="C46" s="167" t="s">
        <v>297</v>
      </c>
      <c r="D46" s="174">
        <v>40909</v>
      </c>
      <c r="E46" s="174">
        <v>41274</v>
      </c>
      <c r="F46" s="135">
        <v>-100</v>
      </c>
      <c r="G46" s="167" t="s">
        <v>18</v>
      </c>
      <c r="H46" s="167">
        <v>-20</v>
      </c>
      <c r="I46" s="135">
        <v>8784</v>
      </c>
      <c r="J46" s="167">
        <v>-3.43</v>
      </c>
      <c r="K46" s="167">
        <v>-602582.4</v>
      </c>
      <c r="L46" s="167">
        <v>96.6709037144592</v>
      </c>
      <c r="M46" s="160">
        <f t="shared" si="10"/>
        <v>8784</v>
      </c>
      <c r="N46" s="160">
        <f t="shared" si="11"/>
        <v>8784</v>
      </c>
      <c r="O46" s="166">
        <f t="shared" si="12"/>
        <v>0</v>
      </c>
      <c r="P46" s="166">
        <f t="shared" si="13"/>
        <v>1</v>
      </c>
      <c r="Q46" s="160" t="str">
        <f t="shared" si="3"/>
        <v>N/A</v>
      </c>
      <c r="R46" s="160" t="str">
        <f t="shared" si="4"/>
        <v>N/A</v>
      </c>
      <c r="S46" s="162" t="str">
        <f t="shared" si="5"/>
        <v>C</v>
      </c>
      <c r="T46" s="160">
        <f t="shared" si="14"/>
        <v>42.7880487249545</v>
      </c>
      <c r="U46" s="160">
        <f t="shared" si="15"/>
        <v>43.788048724954599</v>
      </c>
      <c r="V46" s="57">
        <f t="shared" si="16"/>
        <v>-100</v>
      </c>
      <c r="W46" s="164">
        <f t="shared" si="6"/>
        <v>41274</v>
      </c>
      <c r="X46" s="160">
        <f t="shared" si="7"/>
        <v>0.15273491613854201</v>
      </c>
      <c r="Y46" s="160">
        <f t="shared" si="8"/>
        <v>0.26778836790959898</v>
      </c>
      <c r="Z46" s="162">
        <v>0.5</v>
      </c>
      <c r="AA46" s="160">
        <f t="shared" si="9"/>
        <v>2.0398514407887799E-2</v>
      </c>
      <c r="AB46" s="163">
        <f t="shared" si="18"/>
        <v>96.6709037143968</v>
      </c>
      <c r="AC46" s="171">
        <f t="shared" si="19"/>
        <v>-6.4548366651706601E-13</v>
      </c>
      <c r="AD46" s="171">
        <f t="shared" si="17"/>
        <v>0</v>
      </c>
    </row>
    <row r="47" spans="1:30" hidden="1" x14ac:dyDescent="0.25">
      <c r="A47" s="167" t="s">
        <v>211</v>
      </c>
      <c r="B47" s="167" t="s">
        <v>258</v>
      </c>
      <c r="C47" s="167" t="s">
        <v>298</v>
      </c>
      <c r="D47" s="174">
        <v>40909</v>
      </c>
      <c r="E47" s="174">
        <v>41274</v>
      </c>
      <c r="F47" s="135">
        <v>40</v>
      </c>
      <c r="G47" s="167" t="s">
        <v>18</v>
      </c>
      <c r="H47" s="167">
        <v>-20</v>
      </c>
      <c r="I47" s="135">
        <v>8784</v>
      </c>
      <c r="J47" s="167">
        <v>-3.43</v>
      </c>
      <c r="K47" s="167">
        <v>-602582.4</v>
      </c>
      <c r="L47" s="167">
        <v>0</v>
      </c>
      <c r="M47" s="160">
        <f t="shared" si="10"/>
        <v>8784</v>
      </c>
      <c r="N47" s="160">
        <f t="shared" si="11"/>
        <v>8784</v>
      </c>
      <c r="O47" s="166">
        <f t="shared" si="12"/>
        <v>0</v>
      </c>
      <c r="P47" s="166">
        <f t="shared" si="13"/>
        <v>1</v>
      </c>
      <c r="Q47" s="160" t="str">
        <f t="shared" si="3"/>
        <v>N/A</v>
      </c>
      <c r="R47" s="160" t="str">
        <f t="shared" si="4"/>
        <v>N/A</v>
      </c>
      <c r="S47" s="162" t="str">
        <f t="shared" si="5"/>
        <v>C</v>
      </c>
      <c r="T47" s="160">
        <f t="shared" si="14"/>
        <v>42.7880487249545</v>
      </c>
      <c r="U47" s="160">
        <f t="shared" si="15"/>
        <v>43.788048724954599</v>
      </c>
      <c r="V47" s="57">
        <f t="shared" si="16"/>
        <v>40</v>
      </c>
      <c r="W47" s="164">
        <f t="shared" si="6"/>
        <v>41274</v>
      </c>
      <c r="X47" s="160">
        <f t="shared" si="7"/>
        <v>0.15273491613854201</v>
      </c>
      <c r="Y47" s="160">
        <f t="shared" si="8"/>
        <v>0.26778836790959898</v>
      </c>
      <c r="Z47" s="162">
        <v>0.5</v>
      </c>
      <c r="AA47" s="160">
        <f t="shared" si="9"/>
        <v>2.0398514407887799E-2</v>
      </c>
      <c r="AB47" s="163">
        <f t="shared" si="18"/>
        <v>0</v>
      </c>
      <c r="AC47" s="171">
        <f t="shared" si="19"/>
        <v>0</v>
      </c>
      <c r="AD47" s="171">
        <f t="shared" si="17"/>
        <v>0</v>
      </c>
    </row>
    <row r="48" spans="1:30" hidden="1" x14ac:dyDescent="0.25">
      <c r="A48" s="167" t="s">
        <v>211</v>
      </c>
      <c r="B48" s="167" t="s">
        <v>258</v>
      </c>
      <c r="C48" s="167" t="s">
        <v>227</v>
      </c>
      <c r="D48" s="174">
        <v>40909</v>
      </c>
      <c r="E48" s="174">
        <v>41274</v>
      </c>
      <c r="F48" s="135">
        <v>-5</v>
      </c>
      <c r="G48" s="167" t="s">
        <v>18</v>
      </c>
      <c r="H48" s="167">
        <v>-20</v>
      </c>
      <c r="I48" s="135">
        <v>8784</v>
      </c>
      <c r="J48" s="167">
        <v>-3.43</v>
      </c>
      <c r="K48" s="167">
        <v>-602582.4</v>
      </c>
      <c r="L48" s="167">
        <v>2.7716002519474401</v>
      </c>
      <c r="M48" s="160">
        <f t="shared" si="10"/>
        <v>8784</v>
      </c>
      <c r="N48" s="160">
        <f t="shared" si="11"/>
        <v>8784</v>
      </c>
      <c r="O48" s="166">
        <f t="shared" si="12"/>
        <v>0</v>
      </c>
      <c r="P48" s="166">
        <f t="shared" si="13"/>
        <v>1</v>
      </c>
      <c r="Q48" s="160" t="str">
        <f t="shared" si="3"/>
        <v>N/A</v>
      </c>
      <c r="R48" s="160" t="str">
        <f t="shared" si="4"/>
        <v>N/A</v>
      </c>
      <c r="S48" s="162" t="str">
        <f t="shared" si="5"/>
        <v>P</v>
      </c>
      <c r="T48" s="160">
        <f t="shared" si="14"/>
        <v>42.7880487249545</v>
      </c>
      <c r="U48" s="160">
        <f t="shared" si="15"/>
        <v>43.788048724954599</v>
      </c>
      <c r="V48" s="57">
        <f t="shared" si="16"/>
        <v>-5</v>
      </c>
      <c r="W48" s="164">
        <f t="shared" si="6"/>
        <v>41274</v>
      </c>
      <c r="X48" s="160">
        <f t="shared" si="7"/>
        <v>0.15273491613854201</v>
      </c>
      <c r="Y48" s="160">
        <f t="shared" si="8"/>
        <v>0.26778836790959898</v>
      </c>
      <c r="Z48" s="162">
        <v>0.5</v>
      </c>
      <c r="AA48" s="160">
        <f t="shared" si="9"/>
        <v>2.0398514407887799E-2</v>
      </c>
      <c r="AB48" s="163">
        <f t="shared" si="18"/>
        <v>2.771600252059601</v>
      </c>
      <c r="AC48" s="171">
        <f t="shared" si="19"/>
        <v>4.0467851292191881E-11</v>
      </c>
      <c r="AD48" s="171">
        <f t="shared" si="17"/>
        <v>0</v>
      </c>
    </row>
    <row r="49" spans="1:30" hidden="1" x14ac:dyDescent="0.25">
      <c r="A49" s="167" t="s">
        <v>211</v>
      </c>
      <c r="B49" s="167" t="s">
        <v>258</v>
      </c>
      <c r="C49" s="167" t="s">
        <v>228</v>
      </c>
      <c r="D49" s="174">
        <v>40909</v>
      </c>
      <c r="E49" s="174">
        <v>41274</v>
      </c>
      <c r="F49" s="135">
        <v>5</v>
      </c>
      <c r="G49" s="167" t="s">
        <v>18</v>
      </c>
      <c r="H49" s="167">
        <v>-20</v>
      </c>
      <c r="I49" s="135">
        <v>8784</v>
      </c>
      <c r="J49" s="167">
        <v>-3.43</v>
      </c>
      <c r="K49" s="167">
        <v>-602582.4</v>
      </c>
      <c r="L49" s="167">
        <v>7.6088493200762004</v>
      </c>
      <c r="M49" s="160">
        <f t="shared" si="10"/>
        <v>8784</v>
      </c>
      <c r="N49" s="160">
        <f t="shared" si="11"/>
        <v>8784</v>
      </c>
      <c r="O49" s="166">
        <f t="shared" si="12"/>
        <v>0</v>
      </c>
      <c r="P49" s="166">
        <f t="shared" si="13"/>
        <v>1</v>
      </c>
      <c r="Q49" s="160" t="str">
        <f t="shared" si="3"/>
        <v>N/A</v>
      </c>
      <c r="R49" s="160" t="str">
        <f t="shared" si="4"/>
        <v>N/A</v>
      </c>
      <c r="S49" s="162" t="str">
        <f t="shared" si="5"/>
        <v>P</v>
      </c>
      <c r="T49" s="160">
        <f t="shared" si="14"/>
        <v>42.7880487249545</v>
      </c>
      <c r="U49" s="160">
        <f t="shared" si="15"/>
        <v>43.788048724954599</v>
      </c>
      <c r="V49" s="57">
        <f t="shared" si="16"/>
        <v>5</v>
      </c>
      <c r="W49" s="164">
        <f t="shared" si="6"/>
        <v>41274</v>
      </c>
      <c r="X49" s="160">
        <f t="shared" si="7"/>
        <v>0.15273491613854201</v>
      </c>
      <c r="Y49" s="160">
        <f t="shared" si="8"/>
        <v>0.26778836790959898</v>
      </c>
      <c r="Z49" s="162">
        <v>0.5</v>
      </c>
      <c r="AA49" s="160">
        <f t="shared" si="9"/>
        <v>2.0398514407887799E-2</v>
      </c>
      <c r="AB49" s="163">
        <f t="shared" si="18"/>
        <v>7.6088493212855575</v>
      </c>
      <c r="AC49" s="171">
        <f t="shared" si="19"/>
        <v>1.5894086047296696E-10</v>
      </c>
      <c r="AD49" s="171">
        <f t="shared" si="17"/>
        <v>0</v>
      </c>
    </row>
    <row r="50" spans="1:30" hidden="1" x14ac:dyDescent="0.25">
      <c r="A50" s="167" t="s">
        <v>216</v>
      </c>
      <c r="B50" s="167" t="s">
        <v>259</v>
      </c>
      <c r="C50" s="167" t="s">
        <v>227</v>
      </c>
      <c r="D50" s="174">
        <v>40909</v>
      </c>
      <c r="E50" s="174">
        <v>41274</v>
      </c>
      <c r="F50" s="135">
        <v>-5</v>
      </c>
      <c r="G50" s="167" t="s">
        <v>18</v>
      </c>
      <c r="H50" s="167">
        <v>-20</v>
      </c>
      <c r="I50" s="135">
        <v>8784</v>
      </c>
      <c r="J50" s="167">
        <v>-3.43</v>
      </c>
      <c r="K50" s="167">
        <v>-602582.4</v>
      </c>
      <c r="L50" s="167">
        <v>0.15338486010671001</v>
      </c>
      <c r="M50" s="160">
        <f t="shared" si="10"/>
        <v>8784</v>
      </c>
      <c r="N50" s="160">
        <f t="shared" si="11"/>
        <v>8784</v>
      </c>
      <c r="O50" s="166">
        <f t="shared" si="12"/>
        <v>0</v>
      </c>
      <c r="P50" s="166">
        <f t="shared" si="13"/>
        <v>1</v>
      </c>
      <c r="Q50" s="160" t="str">
        <f t="shared" si="3"/>
        <v>N/A</v>
      </c>
      <c r="R50" s="160" t="str">
        <f t="shared" si="4"/>
        <v>N/A</v>
      </c>
      <c r="S50" s="162" t="str">
        <f t="shared" si="5"/>
        <v>P</v>
      </c>
      <c r="T50" s="160">
        <f t="shared" si="14"/>
        <v>0</v>
      </c>
      <c r="U50" s="160">
        <f t="shared" si="15"/>
        <v>0</v>
      </c>
      <c r="V50" s="57">
        <f t="shared" si="16"/>
        <v>-5</v>
      </c>
      <c r="W50" s="164">
        <f t="shared" si="6"/>
        <v>41274</v>
      </c>
      <c r="X50" s="160">
        <f t="shared" si="7"/>
        <v>0.15273491613854201</v>
      </c>
      <c r="Y50" s="160">
        <f t="shared" si="8"/>
        <v>0.15273491613854201</v>
      </c>
      <c r="Z50" s="162">
        <v>0.5</v>
      </c>
      <c r="AA50" s="160">
        <f t="shared" si="9"/>
        <v>2.0398514407887799E-2</v>
      </c>
      <c r="AB50" s="163" t="e">
        <f t="shared" si="18"/>
        <v>#VALUE!</v>
      </c>
      <c r="AC50" s="171" t="e">
        <f t="shared" si="19"/>
        <v>#VALUE!</v>
      </c>
      <c r="AD50" s="171">
        <f t="shared" si="17"/>
        <v>0</v>
      </c>
    </row>
    <row r="51" spans="1:30" hidden="1" x14ac:dyDescent="0.25">
      <c r="A51" s="167" t="s">
        <v>216</v>
      </c>
      <c r="B51" s="167" t="s">
        <v>259</v>
      </c>
      <c r="C51" s="167" t="s">
        <v>228</v>
      </c>
      <c r="D51" s="174">
        <v>40909</v>
      </c>
      <c r="E51" s="174">
        <v>41274</v>
      </c>
      <c r="F51" s="135">
        <v>5</v>
      </c>
      <c r="G51" s="167" t="s">
        <v>18</v>
      </c>
      <c r="H51" s="167">
        <v>-20</v>
      </c>
      <c r="I51" s="135">
        <v>8784</v>
      </c>
      <c r="J51" s="167">
        <v>-3.43</v>
      </c>
      <c r="K51" s="167">
        <v>-602582.4</v>
      </c>
      <c r="L51" s="167">
        <v>1.6697631838246201</v>
      </c>
      <c r="M51" s="160">
        <f t="shared" si="10"/>
        <v>8784</v>
      </c>
      <c r="N51" s="160">
        <f t="shared" si="11"/>
        <v>8784</v>
      </c>
      <c r="O51" s="166">
        <f t="shared" si="12"/>
        <v>0</v>
      </c>
      <c r="P51" s="166">
        <f t="shared" si="13"/>
        <v>1</v>
      </c>
      <c r="Q51" s="160" t="str">
        <f t="shared" si="3"/>
        <v>N/A</v>
      </c>
      <c r="R51" s="160" t="str">
        <f t="shared" si="4"/>
        <v>N/A</v>
      </c>
      <c r="S51" s="162" t="str">
        <f t="shared" si="5"/>
        <v>P</v>
      </c>
      <c r="T51" s="160">
        <f t="shared" si="14"/>
        <v>0</v>
      </c>
      <c r="U51" s="160">
        <f t="shared" si="15"/>
        <v>0</v>
      </c>
      <c r="V51" s="57">
        <f t="shared" si="16"/>
        <v>5</v>
      </c>
      <c r="W51" s="164">
        <f t="shared" si="6"/>
        <v>41274</v>
      </c>
      <c r="X51" s="160">
        <f t="shared" si="7"/>
        <v>0.15273491613854201</v>
      </c>
      <c r="Y51" s="160">
        <f t="shared" si="8"/>
        <v>0.15273491613854201</v>
      </c>
      <c r="Z51" s="162">
        <v>0.5</v>
      </c>
      <c r="AA51" s="160">
        <f t="shared" si="9"/>
        <v>2.0398514407887799E-2</v>
      </c>
      <c r="AB51" s="163" t="e">
        <f t="shared" si="18"/>
        <v>#VALUE!</v>
      </c>
      <c r="AC51" s="171" t="e">
        <f t="shared" si="19"/>
        <v>#VALUE!</v>
      </c>
      <c r="AD51" s="171">
        <f t="shared" si="17"/>
        <v>0</v>
      </c>
    </row>
    <row r="52" spans="1:30" hidden="1" x14ac:dyDescent="0.25">
      <c r="A52" s="167" t="s">
        <v>216</v>
      </c>
      <c r="B52" s="167" t="s">
        <v>259</v>
      </c>
      <c r="C52" s="167" t="s">
        <v>225</v>
      </c>
      <c r="D52" s="174">
        <v>40909</v>
      </c>
      <c r="E52" s="174">
        <v>41274</v>
      </c>
      <c r="F52" s="135">
        <v>-5</v>
      </c>
      <c r="G52" s="167" t="s">
        <v>18</v>
      </c>
      <c r="H52" s="167">
        <v>-20</v>
      </c>
      <c r="I52" s="135">
        <v>8784</v>
      </c>
      <c r="J52" s="167">
        <v>-3.43</v>
      </c>
      <c r="K52" s="167">
        <v>-602582.4</v>
      </c>
      <c r="L52" s="167">
        <v>13.720816312529299</v>
      </c>
      <c r="M52" s="160">
        <f t="shared" si="10"/>
        <v>8784</v>
      </c>
      <c r="N52" s="160">
        <f t="shared" si="11"/>
        <v>8784</v>
      </c>
      <c r="O52" s="166">
        <f t="shared" si="12"/>
        <v>0</v>
      </c>
      <c r="P52" s="166">
        <f t="shared" si="13"/>
        <v>1</v>
      </c>
      <c r="Q52" s="160" t="str">
        <f t="shared" si="3"/>
        <v>N/A</v>
      </c>
      <c r="R52" s="160" t="str">
        <f t="shared" si="4"/>
        <v>N/A</v>
      </c>
      <c r="S52" s="162" t="str">
        <f t="shared" si="5"/>
        <v>C</v>
      </c>
      <c r="T52" s="160">
        <f t="shared" si="14"/>
        <v>0</v>
      </c>
      <c r="U52" s="160">
        <f t="shared" si="15"/>
        <v>0</v>
      </c>
      <c r="V52" s="57">
        <f t="shared" si="16"/>
        <v>-5</v>
      </c>
      <c r="W52" s="164">
        <f t="shared" si="6"/>
        <v>41274</v>
      </c>
      <c r="X52" s="160">
        <f t="shared" si="7"/>
        <v>0.15273491613854201</v>
      </c>
      <c r="Y52" s="160">
        <f t="shared" si="8"/>
        <v>0.15273491613854201</v>
      </c>
      <c r="Z52" s="162">
        <v>0.5</v>
      </c>
      <c r="AA52" s="160">
        <f t="shared" si="9"/>
        <v>2.0398514407887799E-2</v>
      </c>
      <c r="AB52" s="163" t="e">
        <f t="shared" si="18"/>
        <v>#VALUE!</v>
      </c>
      <c r="AC52" s="171" t="e">
        <f t="shared" si="19"/>
        <v>#VALUE!</v>
      </c>
      <c r="AD52" s="171">
        <f t="shared" si="17"/>
        <v>0</v>
      </c>
    </row>
    <row r="53" spans="1:30" hidden="1" x14ac:dyDescent="0.25">
      <c r="A53" s="167" t="s">
        <v>216</v>
      </c>
      <c r="B53" s="167" t="s">
        <v>259</v>
      </c>
      <c r="C53" s="167" t="s">
        <v>226</v>
      </c>
      <c r="D53" s="174">
        <v>40909</v>
      </c>
      <c r="E53" s="174">
        <v>41274</v>
      </c>
      <c r="F53" s="135">
        <v>5</v>
      </c>
      <c r="G53" s="167" t="s">
        <v>18</v>
      </c>
      <c r="H53" s="167">
        <v>-20</v>
      </c>
      <c r="I53" s="135">
        <v>8784</v>
      </c>
      <c r="J53" s="167">
        <v>-3.43</v>
      </c>
      <c r="K53" s="167">
        <v>-602582.4</v>
      </c>
      <c r="L53" s="167">
        <v>5.4724588006616202</v>
      </c>
      <c r="M53" s="160">
        <f t="shared" si="10"/>
        <v>8784</v>
      </c>
      <c r="N53" s="160">
        <f t="shared" si="11"/>
        <v>8784</v>
      </c>
      <c r="O53" s="166">
        <f t="shared" si="12"/>
        <v>0</v>
      </c>
      <c r="P53" s="166">
        <f t="shared" si="13"/>
        <v>1</v>
      </c>
      <c r="Q53" s="160" t="str">
        <f t="shared" si="3"/>
        <v>N/A</v>
      </c>
      <c r="R53" s="160" t="str">
        <f t="shared" si="4"/>
        <v>N/A</v>
      </c>
      <c r="S53" s="162" t="str">
        <f t="shared" si="5"/>
        <v>C</v>
      </c>
      <c r="T53" s="160">
        <f t="shared" si="14"/>
        <v>0</v>
      </c>
      <c r="U53" s="160">
        <f t="shared" si="15"/>
        <v>0</v>
      </c>
      <c r="V53" s="57">
        <f t="shared" si="16"/>
        <v>5</v>
      </c>
      <c r="W53" s="164">
        <f t="shared" si="6"/>
        <v>41274</v>
      </c>
      <c r="X53" s="160">
        <f t="shared" si="7"/>
        <v>0.15273491613854201</v>
      </c>
      <c r="Y53" s="160">
        <f t="shared" si="8"/>
        <v>0.15273491613854201</v>
      </c>
      <c r="Z53" s="162">
        <v>0.5</v>
      </c>
      <c r="AA53" s="160">
        <f t="shared" si="9"/>
        <v>2.0398514407887799E-2</v>
      </c>
      <c r="AB53" s="163" t="e">
        <f t="shared" si="18"/>
        <v>#VALUE!</v>
      </c>
      <c r="AC53" s="171" t="e">
        <f t="shared" si="19"/>
        <v>#VALUE!</v>
      </c>
      <c r="AD53" s="171">
        <f t="shared" si="17"/>
        <v>0</v>
      </c>
    </row>
    <row r="54" spans="1:30" hidden="1" x14ac:dyDescent="0.25">
      <c r="A54" s="167" t="s">
        <v>211</v>
      </c>
      <c r="B54" s="167" t="s">
        <v>260</v>
      </c>
      <c r="C54" s="167" t="s">
        <v>229</v>
      </c>
      <c r="D54" s="174">
        <v>40179</v>
      </c>
      <c r="E54" s="174">
        <v>40543</v>
      </c>
      <c r="F54" s="135">
        <v>-5</v>
      </c>
      <c r="G54" s="167" t="s">
        <v>230</v>
      </c>
      <c r="H54" s="167">
        <v>-20</v>
      </c>
      <c r="I54" s="135">
        <v>8760</v>
      </c>
      <c r="J54" s="167">
        <v>-3.43</v>
      </c>
      <c r="K54" s="167">
        <v>-600936</v>
      </c>
      <c r="L54" s="167">
        <v>0</v>
      </c>
      <c r="M54" s="160">
        <f t="shared" si="10"/>
        <v>8760</v>
      </c>
      <c r="N54" s="160">
        <f t="shared" si="11"/>
        <v>0</v>
      </c>
      <c r="O54" s="166">
        <f t="shared" si="12"/>
        <v>8760</v>
      </c>
      <c r="P54" s="166">
        <f t="shared" si="13"/>
        <v>0</v>
      </c>
      <c r="Q54" s="160">
        <f t="shared" si="3"/>
        <v>54.250460045662301</v>
      </c>
      <c r="R54" s="160">
        <f t="shared" si="4"/>
        <v>53.058896118721698</v>
      </c>
      <c r="S54" s="162" t="str">
        <f t="shared" si="5"/>
        <v>C</v>
      </c>
      <c r="T54" s="160">
        <f t="shared" si="14"/>
        <v>0</v>
      </c>
      <c r="U54" s="160">
        <f t="shared" si="15"/>
        <v>0</v>
      </c>
      <c r="V54" s="57">
        <f t="shared" si="16"/>
        <v>-6.1915639269406029</v>
      </c>
      <c r="W54" s="164">
        <f t="shared" si="6"/>
        <v>40543</v>
      </c>
      <c r="X54" s="160" t="str">
        <f t="shared" si="7"/>
        <v>N/A</v>
      </c>
      <c r="Y54" s="160" t="str">
        <f t="shared" si="8"/>
        <v>N/A</v>
      </c>
      <c r="Z54" s="162">
        <v>0.5</v>
      </c>
      <c r="AA54" s="160" t="str">
        <f t="shared" si="9"/>
        <v>N/A</v>
      </c>
      <c r="AB54" s="163">
        <f t="shared" si="18"/>
        <v>0</v>
      </c>
      <c r="AC54" s="171">
        <f t="shared" si="19"/>
        <v>0</v>
      </c>
      <c r="AD54" s="171">
        <f t="shared" si="17"/>
        <v>-1.1915639269406029</v>
      </c>
    </row>
    <row r="55" spans="1:30" hidden="1" x14ac:dyDescent="0.25">
      <c r="A55" s="167" t="s">
        <v>211</v>
      </c>
      <c r="B55" s="167" t="s">
        <v>260</v>
      </c>
      <c r="C55" s="167" t="s">
        <v>231</v>
      </c>
      <c r="D55" s="174">
        <v>40179</v>
      </c>
      <c r="E55" s="174">
        <v>40543</v>
      </c>
      <c r="F55" s="135">
        <v>5</v>
      </c>
      <c r="G55" s="167" t="s">
        <v>230</v>
      </c>
      <c r="H55" s="167">
        <v>-20</v>
      </c>
      <c r="I55" s="135">
        <v>8760</v>
      </c>
      <c r="J55" s="167">
        <v>-3.43</v>
      </c>
      <c r="K55" s="167">
        <v>-600936</v>
      </c>
      <c r="L55" s="167">
        <v>0</v>
      </c>
      <c r="M55" s="160">
        <f t="shared" si="10"/>
        <v>8760</v>
      </c>
      <c r="N55" s="160">
        <f t="shared" si="11"/>
        <v>0</v>
      </c>
      <c r="O55" s="166">
        <f t="shared" si="12"/>
        <v>8760</v>
      </c>
      <c r="P55" s="166">
        <f t="shared" si="13"/>
        <v>0</v>
      </c>
      <c r="Q55" s="160">
        <f t="shared" si="3"/>
        <v>54.250460045662301</v>
      </c>
      <c r="R55" s="160">
        <f t="shared" si="4"/>
        <v>53.058896118721698</v>
      </c>
      <c r="S55" s="162" t="str">
        <f t="shared" si="5"/>
        <v>C</v>
      </c>
      <c r="T55" s="160">
        <f t="shared" si="14"/>
        <v>0</v>
      </c>
      <c r="U55" s="160">
        <f t="shared" si="15"/>
        <v>0</v>
      </c>
      <c r="V55" s="57">
        <f t="shared" si="16"/>
        <v>3.8084360730593971</v>
      </c>
      <c r="W55" s="164">
        <f t="shared" si="6"/>
        <v>40543</v>
      </c>
      <c r="X55" s="160" t="str">
        <f t="shared" si="7"/>
        <v>N/A</v>
      </c>
      <c r="Y55" s="160" t="str">
        <f t="shared" si="8"/>
        <v>N/A</v>
      </c>
      <c r="Z55" s="162">
        <v>0.5</v>
      </c>
      <c r="AA55" s="160" t="str">
        <f t="shared" si="9"/>
        <v>N/A</v>
      </c>
      <c r="AB55" s="163">
        <f t="shared" si="18"/>
        <v>0</v>
      </c>
      <c r="AC55" s="171">
        <f t="shared" si="19"/>
        <v>0</v>
      </c>
      <c r="AD55" s="171">
        <f t="shared" si="17"/>
        <v>-1.1915639269406029</v>
      </c>
    </row>
    <row r="56" spans="1:30" hidden="1" x14ac:dyDescent="0.25">
      <c r="A56" s="167" t="s">
        <v>211</v>
      </c>
      <c r="B56" s="167" t="s">
        <v>260</v>
      </c>
      <c r="C56" s="167" t="s">
        <v>232</v>
      </c>
      <c r="D56" s="174">
        <v>40179</v>
      </c>
      <c r="E56" s="174">
        <v>40543</v>
      </c>
      <c r="F56" s="135">
        <v>-5</v>
      </c>
      <c r="G56" s="167" t="s">
        <v>230</v>
      </c>
      <c r="H56" s="167">
        <v>-20</v>
      </c>
      <c r="I56" s="135">
        <v>8760</v>
      </c>
      <c r="J56" s="167">
        <v>-3.43</v>
      </c>
      <c r="K56" s="167">
        <v>-600936</v>
      </c>
      <c r="L56" s="167">
        <v>0</v>
      </c>
      <c r="M56" s="160">
        <f t="shared" si="10"/>
        <v>8760</v>
      </c>
      <c r="N56" s="160">
        <f t="shared" si="11"/>
        <v>0</v>
      </c>
      <c r="O56" s="166">
        <f t="shared" si="12"/>
        <v>8760</v>
      </c>
      <c r="P56" s="166">
        <f t="shared" si="13"/>
        <v>0</v>
      </c>
      <c r="Q56" s="160">
        <f t="shared" si="3"/>
        <v>54.250460045662301</v>
      </c>
      <c r="R56" s="160">
        <f t="shared" si="4"/>
        <v>53.058896118721698</v>
      </c>
      <c r="S56" s="162" t="str">
        <f t="shared" si="5"/>
        <v>P</v>
      </c>
      <c r="T56" s="160">
        <f t="shared" si="14"/>
        <v>0</v>
      </c>
      <c r="U56" s="160">
        <f t="shared" si="15"/>
        <v>0</v>
      </c>
      <c r="V56" s="57">
        <f t="shared" si="16"/>
        <v>-6.1915639269406029</v>
      </c>
      <c r="W56" s="164">
        <f t="shared" si="6"/>
        <v>40543</v>
      </c>
      <c r="X56" s="160" t="str">
        <f t="shared" si="7"/>
        <v>N/A</v>
      </c>
      <c r="Y56" s="160" t="str">
        <f t="shared" si="8"/>
        <v>N/A</v>
      </c>
      <c r="Z56" s="162">
        <v>0.5</v>
      </c>
      <c r="AA56" s="160" t="str">
        <f t="shared" si="9"/>
        <v>N/A</v>
      </c>
      <c r="AB56" s="163">
        <f t="shared" si="18"/>
        <v>0</v>
      </c>
      <c r="AC56" s="171">
        <f t="shared" si="19"/>
        <v>0</v>
      </c>
      <c r="AD56" s="171">
        <f t="shared" si="17"/>
        <v>-1.1915639269406029</v>
      </c>
    </row>
    <row r="57" spans="1:30" hidden="1" x14ac:dyDescent="0.25">
      <c r="A57" s="167" t="s">
        <v>211</v>
      </c>
      <c r="B57" s="167" t="s">
        <v>260</v>
      </c>
      <c r="C57" s="167" t="s">
        <v>233</v>
      </c>
      <c r="D57" s="174">
        <v>40179</v>
      </c>
      <c r="E57" s="174">
        <v>40543</v>
      </c>
      <c r="F57" s="135">
        <v>5</v>
      </c>
      <c r="G57" s="167" t="s">
        <v>230</v>
      </c>
      <c r="H57" s="167">
        <v>-20</v>
      </c>
      <c r="I57" s="135">
        <v>8760</v>
      </c>
      <c r="J57" s="167">
        <v>-3.43</v>
      </c>
      <c r="K57" s="167">
        <v>-600936</v>
      </c>
      <c r="L57" s="167">
        <v>0</v>
      </c>
      <c r="M57" s="160">
        <f t="shared" si="10"/>
        <v>8760</v>
      </c>
      <c r="N57" s="160">
        <f t="shared" si="11"/>
        <v>0</v>
      </c>
      <c r="O57" s="166">
        <f t="shared" si="12"/>
        <v>8760</v>
      </c>
      <c r="P57" s="166">
        <f t="shared" si="13"/>
        <v>0</v>
      </c>
      <c r="Q57" s="160">
        <f t="shared" si="3"/>
        <v>54.250460045662301</v>
      </c>
      <c r="R57" s="160">
        <f t="shared" si="4"/>
        <v>53.058896118721698</v>
      </c>
      <c r="S57" s="162" t="str">
        <f t="shared" si="5"/>
        <v>P</v>
      </c>
      <c r="T57" s="160">
        <f t="shared" si="14"/>
        <v>0</v>
      </c>
      <c r="U57" s="160">
        <f t="shared" si="15"/>
        <v>0</v>
      </c>
      <c r="V57" s="57">
        <f t="shared" si="16"/>
        <v>3.8084360730593971</v>
      </c>
      <c r="W57" s="164">
        <f t="shared" si="6"/>
        <v>40543</v>
      </c>
      <c r="X57" s="160" t="str">
        <f t="shared" si="7"/>
        <v>N/A</v>
      </c>
      <c r="Y57" s="160" t="str">
        <f t="shared" si="8"/>
        <v>N/A</v>
      </c>
      <c r="Z57" s="162">
        <v>0.5</v>
      </c>
      <c r="AA57" s="160" t="str">
        <f t="shared" si="9"/>
        <v>N/A</v>
      </c>
      <c r="AB57" s="163">
        <f t="shared" si="18"/>
        <v>0</v>
      </c>
      <c r="AC57" s="171">
        <f t="shared" si="19"/>
        <v>0</v>
      </c>
      <c r="AD57" s="171">
        <f t="shared" si="17"/>
        <v>-1.1915639269406029</v>
      </c>
    </row>
    <row r="58" spans="1:30" hidden="1" x14ac:dyDescent="0.25">
      <c r="A58" s="167" t="s">
        <v>216</v>
      </c>
      <c r="B58" s="167" t="s">
        <v>261</v>
      </c>
      <c r="C58" s="167" t="s">
        <v>229</v>
      </c>
      <c r="D58" s="174">
        <v>40179</v>
      </c>
      <c r="E58" s="174">
        <v>40543</v>
      </c>
      <c r="F58" s="135">
        <v>-5</v>
      </c>
      <c r="G58" s="167" t="s">
        <v>230</v>
      </c>
      <c r="H58" s="167">
        <v>-20</v>
      </c>
      <c r="I58" s="135">
        <v>8760</v>
      </c>
      <c r="J58" s="167">
        <v>-3.43</v>
      </c>
      <c r="K58" s="167">
        <v>-600936</v>
      </c>
      <c r="L58" s="167">
        <v>0</v>
      </c>
      <c r="M58" s="160">
        <f t="shared" si="10"/>
        <v>8760</v>
      </c>
      <c r="N58" s="160">
        <f t="shared" si="11"/>
        <v>0</v>
      </c>
      <c r="O58" s="166">
        <f t="shared" si="12"/>
        <v>8760</v>
      </c>
      <c r="P58" s="166">
        <f t="shared" si="13"/>
        <v>0</v>
      </c>
      <c r="Q58" s="160">
        <f t="shared" si="3"/>
        <v>44.487889269406601</v>
      </c>
      <c r="R58" s="160">
        <f t="shared" si="4"/>
        <v>47.4997098173517</v>
      </c>
      <c r="S58" s="162" t="str">
        <f t="shared" si="5"/>
        <v>C</v>
      </c>
      <c r="T58" s="160">
        <f t="shared" si="14"/>
        <v>0</v>
      </c>
      <c r="U58" s="160">
        <f t="shared" si="15"/>
        <v>0</v>
      </c>
      <c r="V58" s="57">
        <f t="shared" si="16"/>
        <v>-1.9881794520549008</v>
      </c>
      <c r="W58" s="164">
        <f t="shared" si="6"/>
        <v>40543</v>
      </c>
      <c r="X58" s="160" t="str">
        <f t="shared" si="7"/>
        <v>N/A</v>
      </c>
      <c r="Y58" s="160" t="str">
        <f t="shared" si="8"/>
        <v>N/A</v>
      </c>
      <c r="Z58" s="162">
        <v>0.5</v>
      </c>
      <c r="AA58" s="160" t="str">
        <f t="shared" si="9"/>
        <v>N/A</v>
      </c>
      <c r="AB58" s="163">
        <f t="shared" si="18"/>
        <v>0</v>
      </c>
      <c r="AC58" s="171">
        <f t="shared" si="19"/>
        <v>0</v>
      </c>
      <c r="AD58" s="171">
        <f t="shared" si="17"/>
        <v>3.0118205479450992</v>
      </c>
    </row>
    <row r="59" spans="1:30" hidden="1" x14ac:dyDescent="0.25">
      <c r="A59" s="167" t="s">
        <v>216</v>
      </c>
      <c r="B59" s="167" t="s">
        <v>261</v>
      </c>
      <c r="C59" s="167" t="s">
        <v>231</v>
      </c>
      <c r="D59" s="174">
        <v>40179</v>
      </c>
      <c r="E59" s="174">
        <v>40543</v>
      </c>
      <c r="F59" s="135">
        <v>5</v>
      </c>
      <c r="G59" s="167" t="s">
        <v>230</v>
      </c>
      <c r="H59" s="167">
        <v>-20</v>
      </c>
      <c r="I59" s="135">
        <v>8760</v>
      </c>
      <c r="J59" s="167">
        <v>-3.43</v>
      </c>
      <c r="K59" s="167">
        <v>-600936</v>
      </c>
      <c r="L59" s="167">
        <v>0</v>
      </c>
      <c r="M59" s="160">
        <f t="shared" si="10"/>
        <v>8760</v>
      </c>
      <c r="N59" s="160">
        <f t="shared" si="11"/>
        <v>0</v>
      </c>
      <c r="O59" s="166">
        <f t="shared" si="12"/>
        <v>8760</v>
      </c>
      <c r="P59" s="166">
        <f t="shared" si="13"/>
        <v>0</v>
      </c>
      <c r="Q59" s="160">
        <f t="shared" si="3"/>
        <v>44.487889269406601</v>
      </c>
      <c r="R59" s="160">
        <f t="shared" si="4"/>
        <v>47.4997098173517</v>
      </c>
      <c r="S59" s="162" t="str">
        <f t="shared" si="5"/>
        <v>C</v>
      </c>
      <c r="T59" s="160">
        <f t="shared" si="14"/>
        <v>0</v>
      </c>
      <c r="U59" s="160">
        <f t="shared" si="15"/>
        <v>0</v>
      </c>
      <c r="V59" s="57">
        <f t="shared" si="16"/>
        <v>8.0118205479450992</v>
      </c>
      <c r="W59" s="164">
        <f t="shared" si="6"/>
        <v>40543</v>
      </c>
      <c r="X59" s="160" t="str">
        <f t="shared" si="7"/>
        <v>N/A</v>
      </c>
      <c r="Y59" s="160" t="str">
        <f t="shared" si="8"/>
        <v>N/A</v>
      </c>
      <c r="Z59" s="162">
        <v>0.5</v>
      </c>
      <c r="AA59" s="160" t="str">
        <f t="shared" si="9"/>
        <v>N/A</v>
      </c>
      <c r="AB59" s="163">
        <f t="shared" si="18"/>
        <v>0</v>
      </c>
      <c r="AC59" s="171">
        <f t="shared" si="19"/>
        <v>0</v>
      </c>
      <c r="AD59" s="171">
        <f t="shared" si="17"/>
        <v>3.0118205479450992</v>
      </c>
    </row>
    <row r="60" spans="1:30" hidden="1" x14ac:dyDescent="0.25">
      <c r="A60" s="167" t="s">
        <v>216</v>
      </c>
      <c r="B60" s="167" t="s">
        <v>261</v>
      </c>
      <c r="C60" s="167" t="s">
        <v>232</v>
      </c>
      <c r="D60" s="174">
        <v>40179</v>
      </c>
      <c r="E60" s="174">
        <v>40543</v>
      </c>
      <c r="F60" s="135">
        <v>-5</v>
      </c>
      <c r="G60" s="167" t="s">
        <v>230</v>
      </c>
      <c r="H60" s="167">
        <v>-20</v>
      </c>
      <c r="I60" s="135">
        <v>8760</v>
      </c>
      <c r="J60" s="167">
        <v>-3.43</v>
      </c>
      <c r="K60" s="167">
        <v>-600936</v>
      </c>
      <c r="L60" s="167">
        <v>0</v>
      </c>
      <c r="M60" s="160">
        <f t="shared" si="10"/>
        <v>8760</v>
      </c>
      <c r="N60" s="160">
        <f t="shared" si="11"/>
        <v>0</v>
      </c>
      <c r="O60" s="166">
        <f t="shared" si="12"/>
        <v>8760</v>
      </c>
      <c r="P60" s="166">
        <f t="shared" si="13"/>
        <v>0</v>
      </c>
      <c r="Q60" s="160">
        <f t="shared" si="3"/>
        <v>44.487889269406601</v>
      </c>
      <c r="R60" s="160">
        <f t="shared" si="4"/>
        <v>47.4997098173517</v>
      </c>
      <c r="S60" s="162" t="str">
        <f t="shared" si="5"/>
        <v>P</v>
      </c>
      <c r="T60" s="160">
        <f t="shared" si="14"/>
        <v>0</v>
      </c>
      <c r="U60" s="160">
        <f t="shared" si="15"/>
        <v>0</v>
      </c>
      <c r="V60" s="57">
        <f t="shared" si="16"/>
        <v>-1.9881794520549008</v>
      </c>
      <c r="W60" s="164">
        <f t="shared" si="6"/>
        <v>40543</v>
      </c>
      <c r="X60" s="160" t="str">
        <f t="shared" si="7"/>
        <v>N/A</v>
      </c>
      <c r="Y60" s="160" t="str">
        <f t="shared" si="8"/>
        <v>N/A</v>
      </c>
      <c r="Z60" s="162">
        <v>0.5</v>
      </c>
      <c r="AA60" s="160" t="str">
        <f t="shared" si="9"/>
        <v>N/A</v>
      </c>
      <c r="AB60" s="163">
        <f t="shared" si="18"/>
        <v>0</v>
      </c>
      <c r="AC60" s="171">
        <f t="shared" si="19"/>
        <v>0</v>
      </c>
      <c r="AD60" s="171">
        <f t="shared" si="17"/>
        <v>3.0118205479450992</v>
      </c>
    </row>
    <row r="61" spans="1:30" hidden="1" x14ac:dyDescent="0.25">
      <c r="A61" s="167" t="s">
        <v>216</v>
      </c>
      <c r="B61" s="167" t="s">
        <v>261</v>
      </c>
      <c r="C61" s="167" t="s">
        <v>233</v>
      </c>
      <c r="D61" s="174">
        <v>40179</v>
      </c>
      <c r="E61" s="174">
        <v>40543</v>
      </c>
      <c r="F61" s="135">
        <v>5</v>
      </c>
      <c r="G61" s="167" t="s">
        <v>230</v>
      </c>
      <c r="H61" s="167">
        <v>-20</v>
      </c>
      <c r="I61" s="135">
        <v>8760</v>
      </c>
      <c r="J61" s="167">
        <v>-3.43</v>
      </c>
      <c r="K61" s="167">
        <v>-600936</v>
      </c>
      <c r="L61" s="167">
        <v>0</v>
      </c>
      <c r="M61" s="160">
        <f t="shared" si="10"/>
        <v>8760</v>
      </c>
      <c r="N61" s="160">
        <f t="shared" si="11"/>
        <v>0</v>
      </c>
      <c r="O61" s="166">
        <f t="shared" si="12"/>
        <v>8760</v>
      </c>
      <c r="P61" s="166">
        <f t="shared" si="13"/>
        <v>0</v>
      </c>
      <c r="Q61" s="160">
        <f t="shared" si="3"/>
        <v>44.487889269406601</v>
      </c>
      <c r="R61" s="160">
        <f t="shared" si="4"/>
        <v>47.4997098173517</v>
      </c>
      <c r="S61" s="162" t="str">
        <f t="shared" si="5"/>
        <v>P</v>
      </c>
      <c r="T61" s="160">
        <f t="shared" si="14"/>
        <v>0</v>
      </c>
      <c r="U61" s="160">
        <f t="shared" si="15"/>
        <v>0</v>
      </c>
      <c r="V61" s="57">
        <f t="shared" si="16"/>
        <v>8.0118205479450992</v>
      </c>
      <c r="W61" s="164">
        <f t="shared" si="6"/>
        <v>40543</v>
      </c>
      <c r="X61" s="160" t="str">
        <f t="shared" si="7"/>
        <v>N/A</v>
      </c>
      <c r="Y61" s="160" t="str">
        <f t="shared" si="8"/>
        <v>N/A</v>
      </c>
      <c r="Z61" s="162">
        <v>0.5</v>
      </c>
      <c r="AA61" s="160" t="str">
        <f t="shared" si="9"/>
        <v>N/A</v>
      </c>
      <c r="AB61" s="163">
        <f t="shared" si="18"/>
        <v>0</v>
      </c>
      <c r="AC61" s="171">
        <f t="shared" si="19"/>
        <v>0</v>
      </c>
      <c r="AD61" s="171">
        <f t="shared" si="17"/>
        <v>3.0118205479450992</v>
      </c>
    </row>
    <row r="62" spans="1:30" hidden="1" x14ac:dyDescent="0.25">
      <c r="A62" s="167" t="s">
        <v>211</v>
      </c>
      <c r="B62" s="167" t="s">
        <v>262</v>
      </c>
      <c r="C62" s="167" t="s">
        <v>234</v>
      </c>
      <c r="D62" s="174">
        <v>40603</v>
      </c>
      <c r="E62" s="174">
        <v>40633</v>
      </c>
      <c r="F62" s="135">
        <v>-5</v>
      </c>
      <c r="G62" s="167" t="s">
        <v>230</v>
      </c>
      <c r="H62" s="167">
        <v>-20</v>
      </c>
      <c r="I62" s="135">
        <v>743</v>
      </c>
      <c r="J62" s="167">
        <v>-3.43</v>
      </c>
      <c r="K62" s="167">
        <v>-50969.8</v>
      </c>
      <c r="L62" s="167">
        <v>0</v>
      </c>
      <c r="M62" s="160">
        <f t="shared" si="10"/>
        <v>743</v>
      </c>
      <c r="N62" s="160">
        <f t="shared" si="11"/>
        <v>0</v>
      </c>
      <c r="O62" s="166">
        <f t="shared" si="12"/>
        <v>743</v>
      </c>
      <c r="P62" s="166">
        <f t="shared" si="13"/>
        <v>0</v>
      </c>
      <c r="Q62" s="160">
        <f t="shared" si="3"/>
        <v>65.323647375504706</v>
      </c>
      <c r="R62" s="160">
        <f t="shared" si="4"/>
        <v>64.219044414535603</v>
      </c>
      <c r="S62" s="162" t="str">
        <f t="shared" si="5"/>
        <v>C</v>
      </c>
      <c r="T62" s="160">
        <f t="shared" si="14"/>
        <v>0</v>
      </c>
      <c r="U62" s="160">
        <f t="shared" si="15"/>
        <v>0</v>
      </c>
      <c r="V62" s="57">
        <f t="shared" si="16"/>
        <v>-6.1046029609691033</v>
      </c>
      <c r="W62" s="164">
        <f t="shared" si="6"/>
        <v>40633</v>
      </c>
      <c r="X62" s="160" t="str">
        <f t="shared" si="7"/>
        <v>N/A</v>
      </c>
      <c r="Y62" s="160" t="str">
        <f t="shared" si="8"/>
        <v>N/A</v>
      </c>
      <c r="Z62" s="162">
        <v>0.5</v>
      </c>
      <c r="AA62" s="160" t="str">
        <f t="shared" si="9"/>
        <v>N/A</v>
      </c>
      <c r="AB62" s="163">
        <f t="shared" si="18"/>
        <v>0</v>
      </c>
      <c r="AC62" s="171">
        <f t="shared" si="19"/>
        <v>0</v>
      </c>
      <c r="AD62" s="171">
        <f t="shared" si="17"/>
        <v>-1.1046029609691033</v>
      </c>
    </row>
    <row r="63" spans="1:30" hidden="1" x14ac:dyDescent="0.25">
      <c r="A63" s="167" t="s">
        <v>211</v>
      </c>
      <c r="B63" s="167" t="s">
        <v>262</v>
      </c>
      <c r="C63" s="167" t="s">
        <v>235</v>
      </c>
      <c r="D63" s="174">
        <v>40603</v>
      </c>
      <c r="E63" s="174">
        <v>40633</v>
      </c>
      <c r="F63" s="135">
        <v>5</v>
      </c>
      <c r="G63" s="167" t="s">
        <v>230</v>
      </c>
      <c r="H63" s="167">
        <v>-20</v>
      </c>
      <c r="I63" s="135">
        <v>743</v>
      </c>
      <c r="J63" s="167">
        <v>-3.43</v>
      </c>
      <c r="K63" s="167">
        <v>-50969.8</v>
      </c>
      <c r="L63" s="167">
        <v>0</v>
      </c>
      <c r="M63" s="160">
        <f t="shared" si="10"/>
        <v>743</v>
      </c>
      <c r="N63" s="160">
        <f t="shared" si="11"/>
        <v>0</v>
      </c>
      <c r="O63" s="166">
        <f t="shared" si="12"/>
        <v>743</v>
      </c>
      <c r="P63" s="166">
        <f t="shared" si="13"/>
        <v>0</v>
      </c>
      <c r="Q63" s="160">
        <f t="shared" si="3"/>
        <v>65.323647375504706</v>
      </c>
      <c r="R63" s="160">
        <f t="shared" si="4"/>
        <v>64.219044414535603</v>
      </c>
      <c r="S63" s="162" t="str">
        <f t="shared" si="5"/>
        <v>C</v>
      </c>
      <c r="T63" s="160">
        <f t="shared" si="14"/>
        <v>0</v>
      </c>
      <c r="U63" s="160">
        <f t="shared" si="15"/>
        <v>0</v>
      </c>
      <c r="V63" s="57">
        <f t="shared" si="16"/>
        <v>3.8953970390308967</v>
      </c>
      <c r="W63" s="164">
        <f t="shared" si="6"/>
        <v>40633</v>
      </c>
      <c r="X63" s="160" t="str">
        <f t="shared" si="7"/>
        <v>N/A</v>
      </c>
      <c r="Y63" s="160" t="str">
        <f t="shared" si="8"/>
        <v>N/A</v>
      </c>
      <c r="Z63" s="162">
        <v>0.5</v>
      </c>
      <c r="AA63" s="160" t="str">
        <f t="shared" si="9"/>
        <v>N/A</v>
      </c>
      <c r="AB63" s="163">
        <f t="shared" si="18"/>
        <v>0</v>
      </c>
      <c r="AC63" s="171">
        <f t="shared" si="19"/>
        <v>0</v>
      </c>
      <c r="AD63" s="171">
        <f t="shared" si="17"/>
        <v>-1.1046029609691033</v>
      </c>
    </row>
    <row r="64" spans="1:30" hidden="1" x14ac:dyDescent="0.25">
      <c r="A64" s="167" t="s">
        <v>211</v>
      </c>
      <c r="B64" s="167" t="s">
        <v>262</v>
      </c>
      <c r="C64" s="167" t="s">
        <v>236</v>
      </c>
      <c r="D64" s="174">
        <v>40603</v>
      </c>
      <c r="E64" s="174">
        <v>40633</v>
      </c>
      <c r="F64" s="135">
        <v>-5</v>
      </c>
      <c r="G64" s="167" t="s">
        <v>230</v>
      </c>
      <c r="H64" s="167">
        <v>-20</v>
      </c>
      <c r="I64" s="135">
        <v>743</v>
      </c>
      <c r="J64" s="167">
        <v>-3.43</v>
      </c>
      <c r="K64" s="167">
        <v>-50969.8</v>
      </c>
      <c r="L64" s="167">
        <v>0</v>
      </c>
      <c r="M64" s="160">
        <f t="shared" si="10"/>
        <v>743</v>
      </c>
      <c r="N64" s="160">
        <f t="shared" si="11"/>
        <v>0</v>
      </c>
      <c r="O64" s="166">
        <f t="shared" si="12"/>
        <v>743</v>
      </c>
      <c r="P64" s="166">
        <f t="shared" si="13"/>
        <v>0</v>
      </c>
      <c r="Q64" s="160">
        <f t="shared" si="3"/>
        <v>65.323647375504706</v>
      </c>
      <c r="R64" s="160">
        <f t="shared" si="4"/>
        <v>64.219044414535603</v>
      </c>
      <c r="S64" s="162" t="str">
        <f t="shared" si="5"/>
        <v>P</v>
      </c>
      <c r="T64" s="160">
        <f t="shared" si="14"/>
        <v>0</v>
      </c>
      <c r="U64" s="160">
        <f t="shared" si="15"/>
        <v>0</v>
      </c>
      <c r="V64" s="57">
        <f t="shared" si="16"/>
        <v>-6.1046029609691033</v>
      </c>
      <c r="W64" s="164">
        <f t="shared" si="6"/>
        <v>40633</v>
      </c>
      <c r="X64" s="160" t="str">
        <f t="shared" si="7"/>
        <v>N/A</v>
      </c>
      <c r="Y64" s="160" t="str">
        <f t="shared" si="8"/>
        <v>N/A</v>
      </c>
      <c r="Z64" s="162">
        <v>0.5</v>
      </c>
      <c r="AA64" s="160" t="str">
        <f t="shared" si="9"/>
        <v>N/A</v>
      </c>
      <c r="AB64" s="163">
        <f t="shared" si="18"/>
        <v>0</v>
      </c>
      <c r="AC64" s="171">
        <f t="shared" si="19"/>
        <v>0</v>
      </c>
      <c r="AD64" s="171">
        <f t="shared" si="17"/>
        <v>-1.1046029609691033</v>
      </c>
    </row>
    <row r="65" spans="1:30" hidden="1" x14ac:dyDescent="0.25">
      <c r="A65" s="167" t="s">
        <v>211</v>
      </c>
      <c r="B65" s="167" t="s">
        <v>262</v>
      </c>
      <c r="C65" s="167" t="s">
        <v>237</v>
      </c>
      <c r="D65" s="174">
        <v>40603</v>
      </c>
      <c r="E65" s="174">
        <v>40633</v>
      </c>
      <c r="F65" s="135">
        <v>5</v>
      </c>
      <c r="G65" s="167" t="s">
        <v>230</v>
      </c>
      <c r="H65" s="167">
        <v>-20</v>
      </c>
      <c r="I65" s="135">
        <v>743</v>
      </c>
      <c r="J65" s="167">
        <v>-3.43</v>
      </c>
      <c r="K65" s="167">
        <v>-50969.8</v>
      </c>
      <c r="L65" s="167">
        <v>0</v>
      </c>
      <c r="M65" s="160">
        <f t="shared" si="10"/>
        <v>743</v>
      </c>
      <c r="N65" s="160">
        <f t="shared" si="11"/>
        <v>0</v>
      </c>
      <c r="O65" s="166">
        <f t="shared" si="12"/>
        <v>743</v>
      </c>
      <c r="P65" s="166">
        <f t="shared" si="13"/>
        <v>0</v>
      </c>
      <c r="Q65" s="160">
        <f t="shared" si="3"/>
        <v>65.323647375504706</v>
      </c>
      <c r="R65" s="160">
        <f t="shared" si="4"/>
        <v>64.219044414535603</v>
      </c>
      <c r="S65" s="162" t="str">
        <f t="shared" si="5"/>
        <v>P</v>
      </c>
      <c r="T65" s="160">
        <f t="shared" si="14"/>
        <v>0</v>
      </c>
      <c r="U65" s="160">
        <f t="shared" si="15"/>
        <v>0</v>
      </c>
      <c r="V65" s="57">
        <f t="shared" si="16"/>
        <v>3.8953970390308967</v>
      </c>
      <c r="W65" s="164">
        <f t="shared" si="6"/>
        <v>40633</v>
      </c>
      <c r="X65" s="160" t="str">
        <f t="shared" si="7"/>
        <v>N/A</v>
      </c>
      <c r="Y65" s="160" t="str">
        <f t="shared" si="8"/>
        <v>N/A</v>
      </c>
      <c r="Z65" s="162">
        <v>0.5</v>
      </c>
      <c r="AA65" s="160" t="str">
        <f t="shared" si="9"/>
        <v>N/A</v>
      </c>
      <c r="AB65" s="163">
        <f t="shared" si="18"/>
        <v>0</v>
      </c>
      <c r="AC65" s="171">
        <f t="shared" si="19"/>
        <v>0</v>
      </c>
      <c r="AD65" s="171">
        <f t="shared" si="17"/>
        <v>-1.1046029609691033</v>
      </c>
    </row>
    <row r="66" spans="1:30" hidden="1" x14ac:dyDescent="0.25">
      <c r="A66" s="167" t="s">
        <v>216</v>
      </c>
      <c r="B66" s="167" t="s">
        <v>263</v>
      </c>
      <c r="C66" s="167" t="s">
        <v>234</v>
      </c>
      <c r="D66" s="174">
        <v>40603</v>
      </c>
      <c r="E66" s="174">
        <v>40633</v>
      </c>
      <c r="F66" s="135">
        <v>-5</v>
      </c>
      <c r="G66" s="167" t="s">
        <v>230</v>
      </c>
      <c r="H66" s="167">
        <v>-20</v>
      </c>
      <c r="I66" s="135">
        <v>743</v>
      </c>
      <c r="J66" s="167">
        <v>-3.43</v>
      </c>
      <c r="K66" s="167">
        <v>-50969.8</v>
      </c>
      <c r="L66" s="167">
        <v>0</v>
      </c>
      <c r="M66" s="160">
        <f t="shared" si="10"/>
        <v>743</v>
      </c>
      <c r="N66" s="160">
        <f t="shared" si="11"/>
        <v>0</v>
      </c>
      <c r="O66" s="166">
        <f t="shared" si="12"/>
        <v>743</v>
      </c>
      <c r="P66" s="166">
        <f t="shared" si="13"/>
        <v>0</v>
      </c>
      <c r="Q66" s="160">
        <f t="shared" si="3"/>
        <v>54.476258411843901</v>
      </c>
      <c r="R66" s="160">
        <f t="shared" si="4"/>
        <v>54.165942126514103</v>
      </c>
      <c r="S66" s="162" t="str">
        <f t="shared" si="5"/>
        <v>C</v>
      </c>
      <c r="T66" s="160">
        <f t="shared" si="14"/>
        <v>0</v>
      </c>
      <c r="U66" s="160">
        <f t="shared" si="15"/>
        <v>0</v>
      </c>
      <c r="V66" s="57">
        <f t="shared" si="16"/>
        <v>-5.3103162853297974</v>
      </c>
      <c r="W66" s="164">
        <f t="shared" si="6"/>
        <v>40633</v>
      </c>
      <c r="X66" s="160" t="str">
        <f t="shared" si="7"/>
        <v>N/A</v>
      </c>
      <c r="Y66" s="160" t="str">
        <f t="shared" si="8"/>
        <v>N/A</v>
      </c>
      <c r="Z66" s="162">
        <v>0.5</v>
      </c>
      <c r="AA66" s="160" t="str">
        <f t="shared" si="9"/>
        <v>N/A</v>
      </c>
      <c r="AB66" s="163">
        <f t="shared" si="18"/>
        <v>0</v>
      </c>
      <c r="AC66" s="171">
        <f t="shared" si="19"/>
        <v>0</v>
      </c>
      <c r="AD66" s="171">
        <f t="shared" si="17"/>
        <v>-0.31031628532979738</v>
      </c>
    </row>
    <row r="67" spans="1:30" hidden="1" x14ac:dyDescent="0.25">
      <c r="A67" s="167" t="s">
        <v>216</v>
      </c>
      <c r="B67" s="167" t="s">
        <v>263</v>
      </c>
      <c r="C67" s="167" t="s">
        <v>235</v>
      </c>
      <c r="D67" s="174">
        <v>40603</v>
      </c>
      <c r="E67" s="174">
        <v>40633</v>
      </c>
      <c r="F67" s="135">
        <v>5</v>
      </c>
      <c r="G67" s="167" t="s">
        <v>230</v>
      </c>
      <c r="H67" s="167">
        <v>-20</v>
      </c>
      <c r="I67" s="135">
        <v>743</v>
      </c>
      <c r="J67" s="167">
        <v>-3.43</v>
      </c>
      <c r="K67" s="167">
        <v>-50969.8</v>
      </c>
      <c r="L67" s="167">
        <v>0</v>
      </c>
      <c r="M67" s="160">
        <f t="shared" si="10"/>
        <v>743</v>
      </c>
      <c r="N67" s="160">
        <f t="shared" si="11"/>
        <v>0</v>
      </c>
      <c r="O67" s="166">
        <f t="shared" si="12"/>
        <v>743</v>
      </c>
      <c r="P67" s="166">
        <f t="shared" si="13"/>
        <v>0</v>
      </c>
      <c r="Q67" s="160">
        <f t="shared" si="3"/>
        <v>54.476258411843901</v>
      </c>
      <c r="R67" s="160">
        <f t="shared" si="4"/>
        <v>54.165942126514103</v>
      </c>
      <c r="S67" s="162" t="str">
        <f t="shared" si="5"/>
        <v>C</v>
      </c>
      <c r="T67" s="160">
        <f t="shared" si="14"/>
        <v>0</v>
      </c>
      <c r="U67" s="160">
        <f t="shared" si="15"/>
        <v>0</v>
      </c>
      <c r="V67" s="57">
        <f t="shared" si="16"/>
        <v>4.6896837146702026</v>
      </c>
      <c r="W67" s="164">
        <f t="shared" si="6"/>
        <v>40633</v>
      </c>
      <c r="X67" s="160" t="str">
        <f t="shared" si="7"/>
        <v>N/A</v>
      </c>
      <c r="Y67" s="160" t="str">
        <f t="shared" si="8"/>
        <v>N/A</v>
      </c>
      <c r="Z67" s="162">
        <v>0.5</v>
      </c>
      <c r="AA67" s="160" t="str">
        <f t="shared" si="9"/>
        <v>N/A</v>
      </c>
      <c r="AB67" s="163">
        <f t="shared" si="18"/>
        <v>0</v>
      </c>
      <c r="AC67" s="171">
        <f t="shared" si="19"/>
        <v>0</v>
      </c>
      <c r="AD67" s="171">
        <f t="shared" si="17"/>
        <v>-0.31031628532979738</v>
      </c>
    </row>
    <row r="68" spans="1:30" hidden="1" x14ac:dyDescent="0.25">
      <c r="A68" s="167" t="s">
        <v>216</v>
      </c>
      <c r="B68" s="167" t="s">
        <v>263</v>
      </c>
      <c r="C68" s="167" t="s">
        <v>236</v>
      </c>
      <c r="D68" s="174">
        <v>40603</v>
      </c>
      <c r="E68" s="174">
        <v>40633</v>
      </c>
      <c r="F68" s="135">
        <v>-5</v>
      </c>
      <c r="G68" s="167" t="s">
        <v>230</v>
      </c>
      <c r="H68" s="167">
        <v>-20</v>
      </c>
      <c r="I68" s="135">
        <v>743</v>
      </c>
      <c r="J68" s="167">
        <v>-3.43</v>
      </c>
      <c r="K68" s="167">
        <v>-50969.8</v>
      </c>
      <c r="L68" s="167">
        <v>0</v>
      </c>
      <c r="M68" s="160">
        <f t="shared" si="10"/>
        <v>743</v>
      </c>
      <c r="N68" s="160">
        <f t="shared" si="11"/>
        <v>0</v>
      </c>
      <c r="O68" s="166">
        <f t="shared" si="12"/>
        <v>743</v>
      </c>
      <c r="P68" s="166">
        <f t="shared" si="13"/>
        <v>0</v>
      </c>
      <c r="Q68" s="160">
        <f t="shared" si="3"/>
        <v>54.476258411843901</v>
      </c>
      <c r="R68" s="160">
        <f t="shared" si="4"/>
        <v>54.165942126514103</v>
      </c>
      <c r="S68" s="162" t="str">
        <f t="shared" si="5"/>
        <v>P</v>
      </c>
      <c r="T68" s="160">
        <f t="shared" si="14"/>
        <v>0</v>
      </c>
      <c r="U68" s="160">
        <f t="shared" si="15"/>
        <v>0</v>
      </c>
      <c r="V68" s="57">
        <f t="shared" si="16"/>
        <v>-5.3103162853297974</v>
      </c>
      <c r="W68" s="164">
        <f t="shared" si="6"/>
        <v>40633</v>
      </c>
      <c r="X68" s="160" t="str">
        <f t="shared" si="7"/>
        <v>N/A</v>
      </c>
      <c r="Y68" s="160" t="str">
        <f t="shared" si="8"/>
        <v>N/A</v>
      </c>
      <c r="Z68" s="162">
        <v>0.5</v>
      </c>
      <c r="AA68" s="160" t="str">
        <f t="shared" si="9"/>
        <v>N/A</v>
      </c>
      <c r="AB68" s="163">
        <f t="shared" si="18"/>
        <v>0</v>
      </c>
      <c r="AC68" s="171">
        <f t="shared" si="19"/>
        <v>0</v>
      </c>
      <c r="AD68" s="171">
        <f t="shared" si="17"/>
        <v>-0.31031628532979738</v>
      </c>
    </row>
    <row r="69" spans="1:30" hidden="1" x14ac:dyDescent="0.25">
      <c r="A69" s="167" t="s">
        <v>216</v>
      </c>
      <c r="B69" s="167" t="s">
        <v>263</v>
      </c>
      <c r="C69" s="167" t="s">
        <v>237</v>
      </c>
      <c r="D69" s="174">
        <v>40603</v>
      </c>
      <c r="E69" s="174">
        <v>40633</v>
      </c>
      <c r="F69" s="135">
        <v>5</v>
      </c>
      <c r="G69" s="167" t="s">
        <v>230</v>
      </c>
      <c r="H69" s="167">
        <v>-20</v>
      </c>
      <c r="I69" s="135">
        <v>743</v>
      </c>
      <c r="J69" s="167">
        <v>-3.43</v>
      </c>
      <c r="K69" s="167">
        <v>-50969.8</v>
      </c>
      <c r="L69" s="167">
        <v>0</v>
      </c>
      <c r="M69" s="160">
        <f t="shared" si="10"/>
        <v>743</v>
      </c>
      <c r="N69" s="160">
        <f t="shared" si="11"/>
        <v>0</v>
      </c>
      <c r="O69" s="166">
        <f t="shared" si="12"/>
        <v>743</v>
      </c>
      <c r="P69" s="166">
        <f t="shared" si="13"/>
        <v>0</v>
      </c>
      <c r="Q69" s="160">
        <f t="shared" si="3"/>
        <v>54.476258411843901</v>
      </c>
      <c r="R69" s="160">
        <f t="shared" si="4"/>
        <v>54.165942126514103</v>
      </c>
      <c r="S69" s="162" t="str">
        <f t="shared" si="5"/>
        <v>P</v>
      </c>
      <c r="T69" s="160">
        <f t="shared" si="14"/>
        <v>0</v>
      </c>
      <c r="U69" s="160">
        <f t="shared" si="15"/>
        <v>0</v>
      </c>
      <c r="V69" s="57">
        <f t="shared" si="16"/>
        <v>4.6896837146702026</v>
      </c>
      <c r="W69" s="164">
        <f t="shared" si="6"/>
        <v>40633</v>
      </c>
      <c r="X69" s="160" t="str">
        <f t="shared" si="7"/>
        <v>N/A</v>
      </c>
      <c r="Y69" s="160" t="str">
        <f t="shared" si="8"/>
        <v>N/A</v>
      </c>
      <c r="Z69" s="162">
        <v>0.5</v>
      </c>
      <c r="AA69" s="160" t="str">
        <f t="shared" si="9"/>
        <v>N/A</v>
      </c>
      <c r="AB69" s="163">
        <f t="shared" si="18"/>
        <v>0</v>
      </c>
      <c r="AC69" s="171">
        <f t="shared" si="19"/>
        <v>0</v>
      </c>
      <c r="AD69" s="171">
        <f t="shared" si="17"/>
        <v>-0.31031628532979738</v>
      </c>
    </row>
  </sheetData>
  <autoFilter ref="A21:AD69">
    <filterColumn colId="0">
      <filters>
        <filter val="SYOSL"/>
      </filters>
    </filterColumn>
    <filterColumn colId="1">
      <filters>
        <filter val="SYOSL-Y2011"/>
      </filters>
    </filterColumn>
  </autoFilter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AL61"/>
  <sheetViews>
    <sheetView topLeftCell="M1" workbookViewId="0">
      <selection activeCell="V32" sqref="V32"/>
    </sheetView>
  </sheetViews>
  <sheetFormatPr defaultRowHeight="15" x14ac:dyDescent="0.25"/>
  <cols>
    <col min="1" max="1" width="9.140625" style="32"/>
    <col min="2" max="2" width="21.5703125" style="32" bestFit="1" customWidth="1"/>
    <col min="3" max="3" width="9.140625" style="32"/>
    <col min="4" max="4" width="25.28515625" style="32" bestFit="1" customWidth="1"/>
    <col min="5" max="5" width="11.7109375" style="32" bestFit="1" customWidth="1"/>
    <col min="6" max="6" width="10.7109375" style="32" bestFit="1" customWidth="1"/>
    <col min="7" max="7" width="10.7109375" style="46" customWidth="1"/>
    <col min="8" max="9" width="10.7109375" style="49" customWidth="1"/>
    <col min="10" max="10" width="15.7109375" style="32" bestFit="1" customWidth="1"/>
    <col min="11" max="11" width="9.140625" style="32"/>
    <col min="12" max="12" width="18.28515625" style="32" customWidth="1"/>
    <col min="13" max="19" width="9.140625" style="32"/>
    <col min="20" max="20" width="17.85546875" style="32" customWidth="1"/>
    <col min="21" max="21" width="9.140625" style="32"/>
    <col min="22" max="22" width="20.85546875" style="150" bestFit="1" customWidth="1"/>
    <col min="23" max="23" width="9.140625" style="32"/>
    <col min="24" max="25" width="9.140625" style="150"/>
    <col min="26" max="26" width="20.85546875" style="32" bestFit="1" customWidth="1"/>
    <col min="27" max="27" width="12.7109375" style="32" bestFit="1" customWidth="1"/>
    <col min="28" max="29" width="9.140625" style="32"/>
    <col min="30" max="30" width="19.28515625" style="32" bestFit="1" customWidth="1"/>
    <col min="31" max="31" width="21" style="32" customWidth="1"/>
    <col min="32" max="32" width="18.5703125" style="32" bestFit="1" customWidth="1"/>
    <col min="33" max="33" width="19.140625" style="32" customWidth="1"/>
    <col min="34" max="34" width="18.7109375" style="32" customWidth="1"/>
    <col min="35" max="35" width="13.42578125" style="32" bestFit="1" customWidth="1"/>
    <col min="36" max="36" width="9.140625" style="32"/>
    <col min="37" max="37" width="12" style="32" bestFit="1" customWidth="1"/>
    <col min="38" max="38" width="13.42578125" style="32" bestFit="1" customWidth="1"/>
    <col min="39" max="16384" width="9.140625" style="32"/>
  </cols>
  <sheetData>
    <row r="2" spans="2:38" x14ac:dyDescent="0.25">
      <c r="Z2" s="32">
        <v>42.378785492728689</v>
      </c>
    </row>
    <row r="3" spans="2:38" x14ac:dyDescent="0.25">
      <c r="D3" s="32" t="s">
        <v>182</v>
      </c>
      <c r="E3" s="32">
        <v>-1E-8</v>
      </c>
      <c r="L3" s="14">
        <v>353.32954071689301</v>
      </c>
      <c r="U3" s="150"/>
      <c r="Z3" s="83">
        <f>Z10</f>
        <v>42.378785492730323</v>
      </c>
    </row>
    <row r="4" spans="2:38" x14ac:dyDescent="0.25">
      <c r="D4" s="32" t="s">
        <v>181</v>
      </c>
      <c r="E4" s="32">
        <v>9.9999999999999995E-8</v>
      </c>
      <c r="L4" s="32">
        <v>9.9999999999999994E-12</v>
      </c>
      <c r="Z4" s="83">
        <f>(Z3-Z2)/L4</f>
        <v>0.16342482922482304</v>
      </c>
    </row>
    <row r="5" spans="2:38" x14ac:dyDescent="0.25">
      <c r="D5" s="32" t="s">
        <v>79</v>
      </c>
      <c r="E5" s="35">
        <v>40849</v>
      </c>
      <c r="S5" s="53">
        <f>S6-X9</f>
        <v>0</v>
      </c>
    </row>
    <row r="6" spans="2:38" x14ac:dyDescent="0.25">
      <c r="M6" s="32">
        <f>TimeToExpiry(E5,F8+1)</f>
        <v>0.16712328767123288</v>
      </c>
      <c r="S6" s="32">
        <f>Q10/(P10+Q10)</f>
        <v>0.16438356164383561</v>
      </c>
    </row>
    <row r="7" spans="2:38" x14ac:dyDescent="0.25">
      <c r="C7" s="34" t="s">
        <v>53</v>
      </c>
      <c r="D7" s="34" t="s">
        <v>5</v>
      </c>
      <c r="E7" s="34" t="s">
        <v>6</v>
      </c>
      <c r="F7" s="34" t="s">
        <v>7</v>
      </c>
      <c r="G7" s="47" t="s">
        <v>8</v>
      </c>
      <c r="H7" s="50" t="s">
        <v>112</v>
      </c>
      <c r="I7" s="50" t="s">
        <v>113</v>
      </c>
      <c r="J7" s="34" t="s">
        <v>9</v>
      </c>
      <c r="K7" s="34" t="s">
        <v>11</v>
      </c>
      <c r="L7" s="34" t="s">
        <v>12</v>
      </c>
      <c r="M7" s="34" t="s">
        <v>13</v>
      </c>
      <c r="N7" s="34" t="s">
        <v>14</v>
      </c>
      <c r="O7" s="34" t="s">
        <v>80</v>
      </c>
      <c r="P7" s="34" t="s">
        <v>81</v>
      </c>
      <c r="Q7" s="34" t="s">
        <v>22</v>
      </c>
      <c r="R7" s="34" t="s">
        <v>82</v>
      </c>
      <c r="S7" s="34" t="s">
        <v>84</v>
      </c>
      <c r="T7" s="34" t="s">
        <v>83</v>
      </c>
      <c r="V7" s="151" t="s">
        <v>78</v>
      </c>
      <c r="W7" s="34" t="s">
        <v>178</v>
      </c>
      <c r="X7" s="151" t="s">
        <v>179</v>
      </c>
      <c r="Y7" s="151" t="s">
        <v>180</v>
      </c>
      <c r="Z7" s="34" t="s">
        <v>111</v>
      </c>
      <c r="AA7" s="34" t="s">
        <v>110</v>
      </c>
      <c r="AB7" s="32" t="s">
        <v>14</v>
      </c>
      <c r="AD7" s="151" t="s">
        <v>116</v>
      </c>
      <c r="AE7" s="151" t="s">
        <v>183</v>
      </c>
      <c r="AF7" s="151" t="s">
        <v>184</v>
      </c>
      <c r="AG7" s="151" t="s">
        <v>185</v>
      </c>
      <c r="AH7" s="151" t="s">
        <v>186</v>
      </c>
      <c r="AI7" s="151" t="s">
        <v>187</v>
      </c>
    </row>
    <row r="8" spans="2:38" x14ac:dyDescent="0.25">
      <c r="B8" s="33" t="s">
        <v>20</v>
      </c>
      <c r="C8" s="27" t="s">
        <v>54</v>
      </c>
      <c r="D8" s="45" t="s">
        <v>86</v>
      </c>
      <c r="E8" s="35">
        <v>40544</v>
      </c>
      <c r="F8" s="35">
        <v>40908</v>
      </c>
      <c r="G8" s="49">
        <v>3120</v>
      </c>
      <c r="H8" s="49">
        <v>2604</v>
      </c>
      <c r="I8" s="49">
        <f>G8-H8</f>
        <v>516</v>
      </c>
      <c r="J8" s="14">
        <v>73.383151168596299</v>
      </c>
      <c r="K8" s="32">
        <v>335</v>
      </c>
      <c r="L8" s="14">
        <v>403.04824418414898</v>
      </c>
      <c r="M8" s="32">
        <v>0.66353721104510899</v>
      </c>
      <c r="N8" s="54">
        <v>1</v>
      </c>
      <c r="O8" s="15">
        <v>409.44029863556102</v>
      </c>
      <c r="P8" s="51">
        <f t="shared" ref="P8" si="0">H8</f>
        <v>2604</v>
      </c>
      <c r="Q8" s="51">
        <f>I8</f>
        <v>516</v>
      </c>
      <c r="R8" s="51">
        <f t="shared" ref="R8" si="1">G8</f>
        <v>3120</v>
      </c>
      <c r="S8" s="51">
        <f t="shared" ref="S8:S43" si="2">IF($E$5&gt;E8,Q8/(P8+Q8),1)</f>
        <v>0.16538461538461538</v>
      </c>
      <c r="T8" s="51">
        <f t="shared" ref="T8:T43" si="3">IF($E$5&gt;E8,(R8/Q8)*K8-(P8/Q8)*O8,K8)</f>
        <v>-40.663832649226606</v>
      </c>
      <c r="U8" s="37">
        <v>2.9427012653274285</v>
      </c>
      <c r="V8" s="157">
        <f>U8/100</f>
        <v>2.9427012653274284E-2</v>
      </c>
      <c r="W8" s="150">
        <f t="shared" ref="W8:W43" si="4">V8+$E$4</f>
        <v>2.9427112653274284E-2</v>
      </c>
      <c r="X8" s="150">
        <f>TimeToExpiry($E$5,F8)</f>
        <v>0.16438356164383561</v>
      </c>
      <c r="Y8" s="150">
        <f>X8+$E$3</f>
        <v>0.16438355164383561</v>
      </c>
      <c r="Z8" s="16">
        <f>(L8-T8)*S8</f>
        <v>73.383151168596726</v>
      </c>
      <c r="AA8" s="18">
        <f>J8/Z8-1</f>
        <v>-5.773159728050814E-15</v>
      </c>
      <c r="AB8" s="32">
        <v>1</v>
      </c>
      <c r="AC8" s="18">
        <f>AB8/N8-1</f>
        <v>0</v>
      </c>
      <c r="AD8" s="32">
        <f>EXP(-V8*X8)*Z8</f>
        <v>73.029030779877388</v>
      </c>
      <c r="AE8" s="32">
        <f>EXP(-V8*Y8)*Z8</f>
        <v>73.029030801367654</v>
      </c>
      <c r="AF8" s="156">
        <f>(AE8-AD8)/ABS($E$3)/365</f>
        <v>5.8877439909811573E-3</v>
      </c>
      <c r="AG8" s="32">
        <f>EXP(-W8*X8)*Z8</f>
        <v>73.029029579400188</v>
      </c>
      <c r="AH8" s="156">
        <f>(AG8-AD8)/$E$4</f>
        <v>-12.004772003137987</v>
      </c>
      <c r="AI8" s="154">
        <f>-EXP(-X8*V8)*X8*Z8</f>
        <v>-12.004772182993543</v>
      </c>
      <c r="AJ8" s="153">
        <v>0.99517436382859004</v>
      </c>
      <c r="AL8" s="155">
        <f>-EXP(-X8*V8)*V8*Z8/365</f>
        <v>-5.8877430488104357E-3</v>
      </c>
    </row>
    <row r="9" spans="2:38" x14ac:dyDescent="0.25">
      <c r="B9" s="33" t="s">
        <v>20</v>
      </c>
      <c r="C9" s="27" t="s">
        <v>56</v>
      </c>
      <c r="D9" s="45" t="s">
        <v>87</v>
      </c>
      <c r="E9" s="35">
        <v>40544</v>
      </c>
      <c r="F9" s="35">
        <v>40908</v>
      </c>
      <c r="G9" s="49">
        <v>3120</v>
      </c>
      <c r="H9" s="49">
        <v>2604</v>
      </c>
      <c r="I9" s="51">
        <f t="shared" ref="I9:I47" si="5">G9-H9</f>
        <v>516</v>
      </c>
      <c r="J9" s="14">
        <v>0</v>
      </c>
      <c r="K9" s="36">
        <v>335</v>
      </c>
      <c r="L9" s="14">
        <v>403.04824418414898</v>
      </c>
      <c r="M9" s="32">
        <v>0.66353721104510899</v>
      </c>
      <c r="N9" s="54">
        <v>0</v>
      </c>
      <c r="O9" s="15">
        <v>409.44029863556102</v>
      </c>
      <c r="P9" s="51">
        <f t="shared" ref="P9:P43" si="6">H9</f>
        <v>2604</v>
      </c>
      <c r="Q9" s="51">
        <f t="shared" ref="Q9:Q43" si="7">I9</f>
        <v>516</v>
      </c>
      <c r="R9" s="51">
        <f t="shared" ref="R9:R43" si="8">G9</f>
        <v>3120</v>
      </c>
      <c r="S9" s="32">
        <f t="shared" si="2"/>
        <v>0.16538461538461538</v>
      </c>
      <c r="T9" s="32">
        <f t="shared" si="3"/>
        <v>-40.663832649226606</v>
      </c>
      <c r="U9" s="37">
        <v>2.9427012653274285</v>
      </c>
      <c r="V9" s="150">
        <f t="shared" ref="V9:V43" si="9">U9/100</f>
        <v>2.9427012653274284E-2</v>
      </c>
      <c r="W9" s="150">
        <f t="shared" si="4"/>
        <v>2.9427112653274284E-2</v>
      </c>
      <c r="X9" s="150">
        <f t="shared" ref="X9:X43" si="10">TimeToExpiry($E$5,F9)</f>
        <v>0.16438356164383561</v>
      </c>
      <c r="Y9" s="150">
        <f t="shared" ref="Y9:Y43" si="11">X9+$E$3</f>
        <v>0.16438355164383561</v>
      </c>
      <c r="Z9" s="16">
        <v>0</v>
      </c>
      <c r="AA9" s="18">
        <v>0</v>
      </c>
      <c r="AB9" s="32">
        <v>0</v>
      </c>
      <c r="AC9" s="18">
        <v>0</v>
      </c>
      <c r="AD9" s="32">
        <v>0</v>
      </c>
      <c r="AF9" s="1">
        <f t="shared" ref="AF9:AF43" si="12">(AE9-AD9)/ABS($E$3)/365</f>
        <v>0</v>
      </c>
      <c r="AH9" s="53">
        <v>0</v>
      </c>
      <c r="AJ9" s="153">
        <v>0</v>
      </c>
    </row>
    <row r="10" spans="2:38" x14ac:dyDescent="0.25">
      <c r="B10" s="33" t="s">
        <v>20</v>
      </c>
      <c r="C10" s="27" t="s">
        <v>54</v>
      </c>
      <c r="D10" s="45" t="s">
        <v>88</v>
      </c>
      <c r="E10" s="35">
        <v>40544</v>
      </c>
      <c r="F10" s="35">
        <v>40908</v>
      </c>
      <c r="G10" s="49">
        <v>8760</v>
      </c>
      <c r="H10" s="49">
        <v>7320</v>
      </c>
      <c r="I10" s="51">
        <f t="shared" si="5"/>
        <v>1440</v>
      </c>
      <c r="J10" s="14">
        <v>42.378785492727097</v>
      </c>
      <c r="K10" s="36">
        <v>335</v>
      </c>
      <c r="L10" s="14">
        <f>L3+L4</f>
        <v>353.32954071690301</v>
      </c>
      <c r="M10" s="32">
        <v>0.48268935539166102</v>
      </c>
      <c r="N10" s="54">
        <v>0.16359030638201999</v>
      </c>
      <c r="O10" s="15">
        <v>382.35570620724201</v>
      </c>
      <c r="P10" s="51">
        <f t="shared" ref="P10:P11" si="13">H10</f>
        <v>7320</v>
      </c>
      <c r="Q10" s="51">
        <f t="shared" ref="Q10:Q11" si="14">I10</f>
        <v>1440</v>
      </c>
      <c r="R10" s="51">
        <f t="shared" ref="R10:R11" si="15">G10</f>
        <v>8760</v>
      </c>
      <c r="S10" s="32">
        <f t="shared" si="2"/>
        <v>0.16438356164383561</v>
      </c>
      <c r="T10" s="32">
        <f>IF($E$5&gt;E10,(R10/Q10)*K10-(P10/Q10)*O10,K10)</f>
        <v>94.27516011318653</v>
      </c>
      <c r="U10" s="37">
        <v>2.9427012653274285</v>
      </c>
      <c r="V10" s="150">
        <f t="shared" si="9"/>
        <v>2.9427012653274284E-2</v>
      </c>
      <c r="W10" s="150">
        <f t="shared" si="4"/>
        <v>2.9427112653274284E-2</v>
      </c>
      <c r="X10" s="150">
        <f t="shared" si="10"/>
        <v>0.16438356164383561</v>
      </c>
      <c r="Y10" s="150">
        <f t="shared" si="11"/>
        <v>0.16438355164383561</v>
      </c>
      <c r="Z10" s="16">
        <f>B76Future($E$5,C10,L10,T10,F10,M10,V10)*S10</f>
        <v>42.378785492730323</v>
      </c>
      <c r="AA10" s="18">
        <f t="shared" ref="AA10:AA43" si="16">J10/Z10-1</f>
        <v>-7.6161299489285739E-14</v>
      </c>
      <c r="AB10" s="32">
        <f t="shared" ref="AB10:AB43" si="17">B76Delta($E$5,C10,L10,T10,F10,M10,W10)*S10</f>
        <v>0.16359030369286459</v>
      </c>
      <c r="AC10" s="18">
        <f t="shared" ref="AC10:AC43" si="18">AB10/N10-1</f>
        <v>-1.6438354233372365E-8</v>
      </c>
      <c r="AD10" s="83">
        <f>Z10</f>
        <v>42.378785492730323</v>
      </c>
      <c r="AE10" s="32">
        <f>B76FutureTau(C10,L10,T10,Y10,M10,V10)*S10</f>
        <v>42.37878550520113</v>
      </c>
      <c r="AF10" s="1">
        <f t="shared" si="12"/>
        <v>3.4166593450956424E-3</v>
      </c>
      <c r="AG10" s="32">
        <f>B76Future($E$5,C10,L10,T10,F10,M10,W10)*S10</f>
        <v>42.378784796092766</v>
      </c>
      <c r="AH10" s="53">
        <f>(AG10-AD10)/$E$4</f>
        <v>-6.9663755652982218</v>
      </c>
      <c r="AI10" s="32">
        <f>-X10*Z10</f>
        <v>-6.9663756974351214</v>
      </c>
      <c r="AJ10" s="153">
        <v>-6.9663756974344997</v>
      </c>
      <c r="AK10" s="32">
        <f>AI10/AJ10-1</f>
        <v>8.9261931179862586E-14</v>
      </c>
    </row>
    <row r="11" spans="2:38" x14ac:dyDescent="0.25">
      <c r="B11" s="33" t="s">
        <v>20</v>
      </c>
      <c r="C11" s="27" t="s">
        <v>56</v>
      </c>
      <c r="D11" s="45" t="s">
        <v>89</v>
      </c>
      <c r="E11" s="35">
        <v>40544</v>
      </c>
      <c r="F11" s="35">
        <v>40908</v>
      </c>
      <c r="G11" s="49">
        <v>8760</v>
      </c>
      <c r="H11" s="51">
        <v>7320</v>
      </c>
      <c r="I11" s="51">
        <f t="shared" si="5"/>
        <v>1440</v>
      </c>
      <c r="J11" s="14">
        <v>6.0750237978681696E-12</v>
      </c>
      <c r="K11" s="36">
        <v>335</v>
      </c>
      <c r="L11" s="14">
        <v>353.32954071689301</v>
      </c>
      <c r="M11" s="32">
        <v>0.48268935539166102</v>
      </c>
      <c r="N11" s="54">
        <v>-6.09052544316672E-13</v>
      </c>
      <c r="O11" s="15">
        <v>382.35570620724201</v>
      </c>
      <c r="P11" s="51">
        <f t="shared" si="13"/>
        <v>7320</v>
      </c>
      <c r="Q11" s="51">
        <f t="shared" si="14"/>
        <v>1440</v>
      </c>
      <c r="R11" s="51">
        <f t="shared" si="15"/>
        <v>8760</v>
      </c>
      <c r="S11" s="32">
        <f t="shared" si="2"/>
        <v>0.16438356164383561</v>
      </c>
      <c r="T11" s="32">
        <f>IF($E$5&gt;E11,(R11/Q11)*K11-(P11/Q11)*O11,K11)</f>
        <v>94.27516011318653</v>
      </c>
      <c r="U11" s="37">
        <v>2.9427012653274285</v>
      </c>
      <c r="V11" s="150">
        <f t="shared" si="9"/>
        <v>2.9427012653274284E-2</v>
      </c>
      <c r="W11" s="150">
        <f t="shared" si="4"/>
        <v>2.9427112653274284E-2</v>
      </c>
      <c r="X11" s="150">
        <f t="shared" si="10"/>
        <v>0.16438356164383561</v>
      </c>
      <c r="Y11" s="150">
        <f t="shared" si="11"/>
        <v>0.16438355164383561</v>
      </c>
      <c r="Z11" s="16">
        <f t="shared" ref="Z11:Z43" si="19">B76Future($E$5,C11,L11,T11,F11,M11,V11)*S11</f>
        <v>6.0750240966374898E-12</v>
      </c>
      <c r="AA11" s="18">
        <f t="shared" si="16"/>
        <v>-4.9179939898280622E-8</v>
      </c>
      <c r="AB11" s="32">
        <f t="shared" si="17"/>
        <v>-6.0905253335315756E-13</v>
      </c>
      <c r="AC11" s="18">
        <f t="shared" si="18"/>
        <v>-1.8000933632578153E-8</v>
      </c>
      <c r="AD11" s="83">
        <f t="shared" ref="AD11:AD43" si="20">Z11</f>
        <v>6.0750240966374898E-12</v>
      </c>
      <c r="AE11" s="150">
        <f t="shared" ref="AE11:AE43" si="21">B76FutureTau(C11,L11,T11,Y11,M11,V11)*S11</f>
        <v>6.0750151454103097E-12</v>
      </c>
      <c r="AF11" s="1">
        <f t="shared" si="12"/>
        <v>-2.452391008249816E-12</v>
      </c>
      <c r="AG11" s="150">
        <f t="shared" ref="AG11:AG47" si="22">B76Future($E$5,C11,L11,T11,F11,M11,W11)*S11</f>
        <v>6.0750239967740804E-12</v>
      </c>
      <c r="AH11" s="53">
        <f t="shared" ref="AH11:AH47" si="23">(AG11-AD11)/$E$4</f>
        <v>-9.9863409435698002E-13</v>
      </c>
      <c r="AI11" s="150">
        <f t="shared" ref="AI11:AI47" si="24">-X11*Z11</f>
        <v>-9.9863409807739547E-13</v>
      </c>
      <c r="AJ11" s="153">
        <v>-9.9863404896226302E-13</v>
      </c>
      <c r="AK11" s="152">
        <f t="shared" ref="AK11:AK61" si="25">AI11/AJ11-1</f>
        <v>4.9182313111018061E-8</v>
      </c>
    </row>
    <row r="12" spans="2:38" x14ac:dyDescent="0.25">
      <c r="B12" s="33" t="s">
        <v>50</v>
      </c>
      <c r="C12" s="27" t="s">
        <v>54</v>
      </c>
      <c r="D12" s="45" t="s">
        <v>88</v>
      </c>
      <c r="E12" s="35">
        <v>40544</v>
      </c>
      <c r="F12" s="35">
        <v>40908</v>
      </c>
      <c r="G12" s="49">
        <v>8760</v>
      </c>
      <c r="H12" s="52">
        <v>7320</v>
      </c>
      <c r="I12" s="51">
        <f t="shared" si="5"/>
        <v>1440</v>
      </c>
      <c r="J12" s="14">
        <v>35.247700496590397</v>
      </c>
      <c r="K12" s="36">
        <v>335</v>
      </c>
      <c r="L12" s="14">
        <v>338.80481041844803</v>
      </c>
      <c r="M12" s="32">
        <v>0.29556788590386501</v>
      </c>
      <c r="N12" s="54">
        <v>0.163590306382629</v>
      </c>
      <c r="O12" s="15">
        <v>376.63772752076602</v>
      </c>
      <c r="P12" s="51">
        <f t="shared" si="6"/>
        <v>7320</v>
      </c>
      <c r="Q12" s="51">
        <f t="shared" si="7"/>
        <v>1440</v>
      </c>
      <c r="R12" s="51">
        <f t="shared" si="8"/>
        <v>8760</v>
      </c>
      <c r="S12" s="32">
        <f t="shared" si="2"/>
        <v>0.16438356164383561</v>
      </c>
      <c r="T12" s="32">
        <f t="shared" si="3"/>
        <v>123.34155176943932</v>
      </c>
      <c r="U12" s="37">
        <v>2.9427012653274285</v>
      </c>
      <c r="V12" s="150">
        <f t="shared" si="9"/>
        <v>2.9427012653274284E-2</v>
      </c>
      <c r="W12" s="150">
        <f t="shared" si="4"/>
        <v>2.9427112653274284E-2</v>
      </c>
      <c r="X12" s="150">
        <f t="shared" si="10"/>
        <v>0.16438356164383561</v>
      </c>
      <c r="Y12" s="150">
        <f t="shared" si="11"/>
        <v>0.16438355164383561</v>
      </c>
      <c r="Z12" s="16">
        <f t="shared" si="19"/>
        <v>35.247700496591051</v>
      </c>
      <c r="AA12" s="18">
        <f t="shared" si="16"/>
        <v>-1.8540724511240114E-14</v>
      </c>
      <c r="AB12" s="32">
        <f t="shared" si="17"/>
        <v>0.16359030369347366</v>
      </c>
      <c r="AC12" s="18">
        <f t="shared" si="18"/>
        <v>-1.6438353900305458E-8</v>
      </c>
      <c r="AD12" s="83">
        <f t="shared" si="20"/>
        <v>35.247700496591051</v>
      </c>
      <c r="AE12" s="150">
        <f t="shared" si="21"/>
        <v>35.24770050696339</v>
      </c>
      <c r="AF12" s="1">
        <f t="shared" si="12"/>
        <v>2.8417368306292378E-3</v>
      </c>
      <c r="AG12" s="150">
        <f t="shared" si="22"/>
        <v>35.247699917176796</v>
      </c>
      <c r="AH12" s="53">
        <f t="shared" si="23"/>
        <v>-5.7941425524177248</v>
      </c>
      <c r="AI12" s="150">
        <f t="shared" si="24"/>
        <v>-5.7941425473848298</v>
      </c>
      <c r="AJ12" s="153">
        <v>-5.79414254738455</v>
      </c>
      <c r="AK12" s="152">
        <f t="shared" si="25"/>
        <v>4.8183679268731794E-14</v>
      </c>
    </row>
    <row r="13" spans="2:38" x14ac:dyDescent="0.25">
      <c r="B13" s="33" t="s">
        <v>50</v>
      </c>
      <c r="C13" s="27" t="s">
        <v>56</v>
      </c>
      <c r="D13" s="45" t="s">
        <v>89</v>
      </c>
      <c r="E13" s="35">
        <v>40544</v>
      </c>
      <c r="F13" s="35">
        <v>40908</v>
      </c>
      <c r="G13" s="49">
        <v>8760</v>
      </c>
      <c r="H13" s="52">
        <v>7320</v>
      </c>
      <c r="I13" s="51">
        <f t="shared" si="5"/>
        <v>1440</v>
      </c>
      <c r="J13" s="14">
        <v>7.0654867739808398E-18</v>
      </c>
      <c r="K13" s="36">
        <v>335</v>
      </c>
      <c r="L13" s="14">
        <v>338.80481041844803</v>
      </c>
      <c r="M13" s="32">
        <v>0.29556788590386501</v>
      </c>
      <c r="N13" s="54">
        <v>-1.66279655229015E-18</v>
      </c>
      <c r="O13" s="15">
        <v>376.63772752076602</v>
      </c>
      <c r="P13" s="51">
        <f t="shared" si="6"/>
        <v>7320</v>
      </c>
      <c r="Q13" s="51">
        <f t="shared" si="7"/>
        <v>1440</v>
      </c>
      <c r="R13" s="51">
        <f t="shared" si="8"/>
        <v>8760</v>
      </c>
      <c r="S13" s="32">
        <f t="shared" si="2"/>
        <v>0.16438356164383561</v>
      </c>
      <c r="T13" s="32">
        <f t="shared" si="3"/>
        <v>123.34155176943932</v>
      </c>
      <c r="U13" s="37">
        <v>2.9427012653274285</v>
      </c>
      <c r="V13" s="150">
        <f t="shared" si="9"/>
        <v>2.9427012653274284E-2</v>
      </c>
      <c r="W13" s="150">
        <f t="shared" si="4"/>
        <v>2.9427112653274284E-2</v>
      </c>
      <c r="X13" s="150">
        <f t="shared" si="10"/>
        <v>0.16438356164383561</v>
      </c>
      <c r="Y13" s="150">
        <f t="shared" si="11"/>
        <v>0.16438355164383561</v>
      </c>
      <c r="Z13" s="16">
        <f t="shared" si="19"/>
        <v>7.8420457918063361E-18</v>
      </c>
      <c r="AA13" s="18">
        <f t="shared" si="16"/>
        <v>-9.9025055252402905E-2</v>
      </c>
      <c r="AB13" s="32">
        <f t="shared" si="17"/>
        <v>-1.6611309621212477E-18</v>
      </c>
      <c r="AC13" s="18">
        <f t="shared" si="18"/>
        <v>-1.0016800712079332E-3</v>
      </c>
      <c r="AD13" s="83">
        <f t="shared" si="20"/>
        <v>7.8420457918063361E-18</v>
      </c>
      <c r="AE13" s="150">
        <f t="shared" si="21"/>
        <v>7.8420281382831819E-18</v>
      </c>
      <c r="AF13" s="1">
        <f t="shared" si="12"/>
        <v>-4.8365816861020049E-18</v>
      </c>
      <c r="AG13" s="150">
        <f t="shared" si="22"/>
        <v>7.8420456628959949E-18</v>
      </c>
      <c r="AH13" s="53">
        <f t="shared" si="23"/>
        <v>-1.2891034126829102E-18</v>
      </c>
      <c r="AI13" s="150">
        <f t="shared" si="24"/>
        <v>-1.2891034178311784E-18</v>
      </c>
      <c r="AJ13" s="153">
        <v>-1.16144988065347E-18</v>
      </c>
      <c r="AK13" s="152">
        <f t="shared" si="25"/>
        <v>0.10990877807476829</v>
      </c>
    </row>
    <row r="14" spans="2:38" x14ac:dyDescent="0.25">
      <c r="B14" s="33" t="s">
        <v>20</v>
      </c>
      <c r="C14" s="27" t="s">
        <v>54</v>
      </c>
      <c r="D14" s="45" t="s">
        <v>90</v>
      </c>
      <c r="E14" s="35">
        <v>40817</v>
      </c>
      <c r="F14" s="35">
        <v>40908</v>
      </c>
      <c r="G14" s="49">
        <v>780</v>
      </c>
      <c r="H14" s="52">
        <v>264</v>
      </c>
      <c r="I14" s="51">
        <f t="shared" si="5"/>
        <v>516</v>
      </c>
      <c r="J14" s="14">
        <v>36.884201094265002</v>
      </c>
      <c r="K14" s="36">
        <v>335</v>
      </c>
      <c r="L14" s="14">
        <v>403.04824418414898</v>
      </c>
      <c r="M14" s="32">
        <v>0.66353721104510899</v>
      </c>
      <c r="N14" s="54">
        <v>0.42730431852877798</v>
      </c>
      <c r="O14" s="15">
        <v>252.89307503030301</v>
      </c>
      <c r="P14" s="51">
        <f t="shared" si="6"/>
        <v>264</v>
      </c>
      <c r="Q14" s="51">
        <f t="shared" si="7"/>
        <v>516</v>
      </c>
      <c r="R14" s="51">
        <f t="shared" si="8"/>
        <v>780</v>
      </c>
      <c r="S14" s="32">
        <f t="shared" si="2"/>
        <v>0.66153846153846152</v>
      </c>
      <c r="T14" s="32">
        <f t="shared" si="3"/>
        <v>377.00819417054265</v>
      </c>
      <c r="U14" s="44">
        <v>2.9427012653274285</v>
      </c>
      <c r="V14" s="150">
        <f t="shared" si="9"/>
        <v>2.9427012653274284E-2</v>
      </c>
      <c r="W14" s="150">
        <f t="shared" si="4"/>
        <v>2.9427112653274284E-2</v>
      </c>
      <c r="X14" s="150">
        <f t="shared" si="10"/>
        <v>0.16438356164383561</v>
      </c>
      <c r="Y14" s="150">
        <f t="shared" si="11"/>
        <v>0.16438355164383561</v>
      </c>
      <c r="Z14" s="16">
        <f t="shared" si="19"/>
        <v>36.884201094290233</v>
      </c>
      <c r="AA14" s="18">
        <f t="shared" si="16"/>
        <v>-6.8411942777402146E-13</v>
      </c>
      <c r="AB14" s="32">
        <f t="shared" si="17"/>
        <v>0.42730431150466003</v>
      </c>
      <c r="AC14" s="18">
        <f t="shared" si="18"/>
        <v>-1.6438209571312257E-8</v>
      </c>
      <c r="AD14" s="83">
        <f t="shared" si="20"/>
        <v>36.884201094290233</v>
      </c>
      <c r="AE14" s="150">
        <f t="shared" si="21"/>
        <v>36.884200300115175</v>
      </c>
      <c r="AF14" s="1">
        <f t="shared" si="12"/>
        <v>-0.21758220771529249</v>
      </c>
      <c r="AG14" s="150">
        <f t="shared" si="22"/>
        <v>36.88420048797461</v>
      </c>
      <c r="AH14" s="53">
        <f t="shared" si="23"/>
        <v>-6.0631562348589796</v>
      </c>
      <c r="AI14" s="150">
        <f t="shared" si="24"/>
        <v>-6.0631563442668872</v>
      </c>
      <c r="AJ14" s="153">
        <v>-6.0631563442617296</v>
      </c>
      <c r="AK14" s="152">
        <f t="shared" si="25"/>
        <v>8.5065288146779494E-13</v>
      </c>
    </row>
    <row r="15" spans="2:38" x14ac:dyDescent="0.25">
      <c r="B15" s="33" t="s">
        <v>20</v>
      </c>
      <c r="C15" s="27" t="s">
        <v>56</v>
      </c>
      <c r="D15" s="45" t="s">
        <v>91</v>
      </c>
      <c r="E15" s="35">
        <v>40817</v>
      </c>
      <c r="F15" s="35">
        <v>40908</v>
      </c>
      <c r="G15" s="49">
        <v>780</v>
      </c>
      <c r="H15" s="52">
        <v>264</v>
      </c>
      <c r="I15" s="51">
        <f t="shared" si="5"/>
        <v>516</v>
      </c>
      <c r="J15" s="14">
        <v>19.7408352654612</v>
      </c>
      <c r="K15" s="36">
        <v>335</v>
      </c>
      <c r="L15" s="14">
        <v>403.04824418414898</v>
      </c>
      <c r="M15" s="32">
        <v>0.66353721104510899</v>
      </c>
      <c r="N15" s="54">
        <v>-0.23104179908028999</v>
      </c>
      <c r="O15" s="15">
        <v>252.89307503030301</v>
      </c>
      <c r="P15" s="51">
        <f t="shared" si="6"/>
        <v>264</v>
      </c>
      <c r="Q15" s="51">
        <f t="shared" si="7"/>
        <v>516</v>
      </c>
      <c r="R15" s="51">
        <f t="shared" si="8"/>
        <v>780</v>
      </c>
      <c r="S15" s="32">
        <f t="shared" si="2"/>
        <v>0.66153846153846152</v>
      </c>
      <c r="T15" s="32">
        <f t="shared" si="3"/>
        <v>377.00819417054265</v>
      </c>
      <c r="U15" s="44">
        <v>2.9427012653274285</v>
      </c>
      <c r="V15" s="150">
        <f t="shared" si="9"/>
        <v>2.9427012653274284E-2</v>
      </c>
      <c r="W15" s="150">
        <f t="shared" si="4"/>
        <v>2.9427112653274284E-2</v>
      </c>
      <c r="X15" s="150">
        <f t="shared" si="10"/>
        <v>0.16438356164383561</v>
      </c>
      <c r="Y15" s="150">
        <f t="shared" si="11"/>
        <v>0.16438355164383561</v>
      </c>
      <c r="Z15" s="16">
        <f t="shared" si="19"/>
        <v>19.74083526548657</v>
      </c>
      <c r="AA15" s="18">
        <f t="shared" si="16"/>
        <v>-1.2851941733060812E-12</v>
      </c>
      <c r="AB15" s="32">
        <f t="shared" si="17"/>
        <v>-0.23104179528228075</v>
      </c>
      <c r="AC15" s="18">
        <f t="shared" si="18"/>
        <v>-1.6438623906545047E-8</v>
      </c>
      <c r="AD15" s="83">
        <f t="shared" si="20"/>
        <v>19.74083526548657</v>
      </c>
      <c r="AE15" s="150">
        <f t="shared" si="21"/>
        <v>19.740834466266691</v>
      </c>
      <c r="AF15" s="1">
        <f t="shared" si="12"/>
        <v>-0.21896435057816196</v>
      </c>
      <c r="AG15" s="150">
        <f t="shared" si="22"/>
        <v>19.740834940979692</v>
      </c>
      <c r="AH15" s="53">
        <f t="shared" si="23"/>
        <v>-3.2450687825757996</v>
      </c>
      <c r="AI15" s="150">
        <f t="shared" si="24"/>
        <v>-3.2450688107649155</v>
      </c>
      <c r="AJ15" s="153">
        <v>-3.2450688107612802</v>
      </c>
      <c r="AK15" s="152">
        <f t="shared" si="25"/>
        <v>1.1202150318467829E-12</v>
      </c>
    </row>
    <row r="16" spans="2:38" x14ac:dyDescent="0.25">
      <c r="B16" s="33" t="s">
        <v>20</v>
      </c>
      <c r="C16" s="27" t="s">
        <v>54</v>
      </c>
      <c r="D16" s="45" t="s">
        <v>92</v>
      </c>
      <c r="E16" s="35">
        <v>40817</v>
      </c>
      <c r="F16" s="35">
        <v>40908</v>
      </c>
      <c r="G16" s="49">
        <v>2209</v>
      </c>
      <c r="H16" s="52">
        <v>769</v>
      </c>
      <c r="I16" s="51">
        <f t="shared" si="5"/>
        <v>1440</v>
      </c>
      <c r="J16" s="14">
        <v>8.0781851616844893</v>
      </c>
      <c r="K16" s="36">
        <v>335</v>
      </c>
      <c r="L16" s="14">
        <v>353.32954071689301</v>
      </c>
      <c r="M16" s="32">
        <v>0.48268935539166102</v>
      </c>
      <c r="N16" s="54">
        <v>0.20106229459925401</v>
      </c>
      <c r="O16" s="15">
        <v>219.12984339141701</v>
      </c>
      <c r="P16" s="51">
        <f t="shared" si="6"/>
        <v>769</v>
      </c>
      <c r="Q16" s="51">
        <f t="shared" si="7"/>
        <v>1440</v>
      </c>
      <c r="R16" s="51">
        <f t="shared" si="8"/>
        <v>2209</v>
      </c>
      <c r="S16" s="32">
        <f t="shared" si="2"/>
        <v>0.65187867813490263</v>
      </c>
      <c r="T16" s="32">
        <f t="shared" si="3"/>
        <v>396.87788224444466</v>
      </c>
      <c r="U16" s="44">
        <v>2.9427012653274285</v>
      </c>
      <c r="V16" s="150">
        <f t="shared" si="9"/>
        <v>2.9427012653274284E-2</v>
      </c>
      <c r="W16" s="150">
        <f t="shared" si="4"/>
        <v>2.9427112653274284E-2</v>
      </c>
      <c r="X16" s="150">
        <f t="shared" si="10"/>
        <v>0.16438356164383561</v>
      </c>
      <c r="Y16" s="150">
        <f t="shared" si="11"/>
        <v>0.16438355164383561</v>
      </c>
      <c r="Z16" s="16">
        <f t="shared" si="19"/>
        <v>8.0781851651638998</v>
      </c>
      <c r="AA16" s="18">
        <f t="shared" si="16"/>
        <v>-4.3071690658535999E-10</v>
      </c>
      <c r="AB16" s="32">
        <f t="shared" si="17"/>
        <v>0.20106229129102202</v>
      </c>
      <c r="AC16" s="18">
        <f t="shared" si="18"/>
        <v>-1.6453766238377909E-8</v>
      </c>
      <c r="AD16" s="83">
        <f t="shared" si="20"/>
        <v>8.0781851651638998</v>
      </c>
      <c r="AE16" s="150">
        <f t="shared" si="21"/>
        <v>8.0781846862223574</v>
      </c>
      <c r="AF16" s="1">
        <f t="shared" si="12"/>
        <v>-0.13121686093850943</v>
      </c>
      <c r="AG16" s="150">
        <f t="shared" si="22"/>
        <v>8.0781850323718167</v>
      </c>
      <c r="AH16" s="53">
        <f t="shared" si="23"/>
        <v>-1.3279208310734703</v>
      </c>
      <c r="AI16" s="150">
        <f t="shared" si="24"/>
        <v>-1.3279208490680383</v>
      </c>
      <c r="AJ16" s="153">
        <v>-1.3279208484956699</v>
      </c>
      <c r="AK16" s="152">
        <f t="shared" si="25"/>
        <v>4.3102588165311317E-10</v>
      </c>
    </row>
    <row r="17" spans="2:37" x14ac:dyDescent="0.25">
      <c r="B17" s="33" t="s">
        <v>20</v>
      </c>
      <c r="C17" s="27" t="s">
        <v>56</v>
      </c>
      <c r="D17" s="45" t="s">
        <v>93</v>
      </c>
      <c r="E17" s="35">
        <v>40817</v>
      </c>
      <c r="F17" s="35">
        <v>40908</v>
      </c>
      <c r="G17" s="49">
        <v>2209</v>
      </c>
      <c r="H17" s="52">
        <v>769</v>
      </c>
      <c r="I17" s="51">
        <f t="shared" si="5"/>
        <v>1440</v>
      </c>
      <c r="J17" s="14">
        <v>36.329429176451299</v>
      </c>
      <c r="K17" s="36">
        <v>335</v>
      </c>
      <c r="L17" s="14">
        <v>353.32954071689301</v>
      </c>
      <c r="M17" s="32">
        <v>0.48268935539166102</v>
      </c>
      <c r="N17" s="54">
        <v>-0.44767065420646501</v>
      </c>
      <c r="O17" s="15">
        <v>219.12984339141701</v>
      </c>
      <c r="P17" s="51">
        <f t="shared" si="6"/>
        <v>769</v>
      </c>
      <c r="Q17" s="51">
        <f t="shared" si="7"/>
        <v>1440</v>
      </c>
      <c r="R17" s="51">
        <f t="shared" si="8"/>
        <v>2209</v>
      </c>
      <c r="S17" s="32">
        <f t="shared" si="2"/>
        <v>0.65187867813490263</v>
      </c>
      <c r="T17" s="32">
        <f t="shared" si="3"/>
        <v>396.87788224444466</v>
      </c>
      <c r="U17" s="44">
        <v>2.9427012653274285</v>
      </c>
      <c r="V17" s="150">
        <f t="shared" si="9"/>
        <v>2.9427012653274284E-2</v>
      </c>
      <c r="W17" s="150">
        <f t="shared" si="4"/>
        <v>2.9427112653274284E-2</v>
      </c>
      <c r="X17" s="150">
        <f t="shared" si="10"/>
        <v>0.16438356164383561</v>
      </c>
      <c r="Y17" s="150">
        <f t="shared" si="11"/>
        <v>0.16438355164383561</v>
      </c>
      <c r="Z17" s="16">
        <f t="shared" si="19"/>
        <v>36.329429179931033</v>
      </c>
      <c r="AA17" s="18">
        <f t="shared" si="16"/>
        <v>-9.5782826114998443E-11</v>
      </c>
      <c r="AB17" s="32">
        <f t="shared" si="17"/>
        <v>-0.44767064685059371</v>
      </c>
      <c r="AC17" s="18">
        <f t="shared" si="18"/>
        <v>-1.6431435101438296E-8</v>
      </c>
      <c r="AD17" s="83">
        <f t="shared" si="20"/>
        <v>36.329429179931033</v>
      </c>
      <c r="AE17" s="150">
        <f t="shared" si="21"/>
        <v>36.329428709302967</v>
      </c>
      <c r="AF17" s="1">
        <f t="shared" si="12"/>
        <v>-0.12893919624543304</v>
      </c>
      <c r="AG17" s="150">
        <f t="shared" si="22"/>
        <v>36.329428582734941</v>
      </c>
      <c r="AH17" s="53">
        <f t="shared" si="23"/>
        <v>-5.9719609168951138</v>
      </c>
      <c r="AI17" s="150">
        <f t="shared" si="24"/>
        <v>-5.9719609610845534</v>
      </c>
      <c r="AJ17" s="153">
        <v>-5.9719609605134796</v>
      </c>
      <c r="AK17" s="152">
        <f t="shared" si="25"/>
        <v>9.5625951601618908E-11</v>
      </c>
    </row>
    <row r="18" spans="2:37" x14ac:dyDescent="0.25">
      <c r="B18" s="33" t="s">
        <v>50</v>
      </c>
      <c r="C18" s="27" t="s">
        <v>54</v>
      </c>
      <c r="D18" s="45" t="s">
        <v>92</v>
      </c>
      <c r="E18" s="35">
        <v>40817</v>
      </c>
      <c r="F18" s="35">
        <v>40908</v>
      </c>
      <c r="G18" s="49">
        <v>2209</v>
      </c>
      <c r="H18" s="49">
        <v>769</v>
      </c>
      <c r="I18" s="51">
        <f t="shared" si="5"/>
        <v>1440</v>
      </c>
      <c r="J18" s="14">
        <v>0.86821399189099002</v>
      </c>
      <c r="K18" s="36">
        <v>335</v>
      </c>
      <c r="L18" s="14">
        <v>338.80481041844803</v>
      </c>
      <c r="M18" s="32">
        <v>0.29556788590386501</v>
      </c>
      <c r="N18" s="54">
        <v>4.9816515916192003E-2</v>
      </c>
      <c r="O18" s="15">
        <v>204.13103496749</v>
      </c>
      <c r="P18" s="51">
        <f t="shared" si="6"/>
        <v>769</v>
      </c>
      <c r="Q18" s="51">
        <f t="shared" si="7"/>
        <v>1440</v>
      </c>
      <c r="R18" s="51">
        <f t="shared" si="8"/>
        <v>2209</v>
      </c>
      <c r="S18" s="32">
        <f t="shared" si="2"/>
        <v>0.65187867813490263</v>
      </c>
      <c r="T18" s="32">
        <f t="shared" si="3"/>
        <v>404.887662576389</v>
      </c>
      <c r="U18" s="44">
        <v>2.9427012653274285</v>
      </c>
      <c r="V18" s="150">
        <f t="shared" si="9"/>
        <v>2.9427012653274284E-2</v>
      </c>
      <c r="W18" s="150">
        <f t="shared" si="4"/>
        <v>2.9427112653274284E-2</v>
      </c>
      <c r="X18" s="150">
        <f t="shared" si="10"/>
        <v>0.16438356164383561</v>
      </c>
      <c r="Y18" s="150">
        <f t="shared" si="11"/>
        <v>0.16438355164383561</v>
      </c>
      <c r="Z18" s="16">
        <f t="shared" si="19"/>
        <v>0.86821398153391083</v>
      </c>
      <c r="AA18" s="18">
        <f t="shared" si="16"/>
        <v>1.1929178089786774E-8</v>
      </c>
      <c r="AB18" s="32">
        <f t="shared" si="17"/>
        <v>4.9816515004561787E-2</v>
      </c>
      <c r="AC18" s="18">
        <f t="shared" si="18"/>
        <v>-1.8299758597351001E-8</v>
      </c>
      <c r="AD18" s="83">
        <f t="shared" si="20"/>
        <v>0.86821398153391083</v>
      </c>
      <c r="AE18" s="150">
        <f t="shared" si="21"/>
        <v>0.86821386632643127</v>
      </c>
      <c r="AF18" s="1">
        <f t="shared" si="12"/>
        <v>-3.1563693029120446E-2</v>
      </c>
      <c r="AG18" s="150">
        <f t="shared" si="22"/>
        <v>0.86821396726190037</v>
      </c>
      <c r="AH18" s="53">
        <f t="shared" si="23"/>
        <v>-0.14272010462335061</v>
      </c>
      <c r="AI18" s="150">
        <f t="shared" si="24"/>
        <v>-0.14272010655351958</v>
      </c>
      <c r="AJ18" s="153">
        <v>-0.14272010825595399</v>
      </c>
      <c r="AK18" s="152">
        <f t="shared" si="25"/>
        <v>-1.1928483201195661E-8</v>
      </c>
    </row>
    <row r="19" spans="2:37" x14ac:dyDescent="0.25">
      <c r="B19" s="33" t="s">
        <v>50</v>
      </c>
      <c r="C19" s="27" t="s">
        <v>56</v>
      </c>
      <c r="D19" s="45" t="s">
        <v>93</v>
      </c>
      <c r="E19" s="35">
        <v>40817</v>
      </c>
      <c r="F19" s="35">
        <v>40908</v>
      </c>
      <c r="G19" s="49">
        <v>2209</v>
      </c>
      <c r="H19" s="49">
        <v>769</v>
      </c>
      <c r="I19" s="51">
        <f t="shared" si="5"/>
        <v>1440</v>
      </c>
      <c r="J19" s="14">
        <v>43.738337537804298</v>
      </c>
      <c r="K19" s="36">
        <v>335</v>
      </c>
      <c r="L19" s="14">
        <v>338.80481041844803</v>
      </c>
      <c r="M19" s="32">
        <v>0.29556788590386501</v>
      </c>
      <c r="N19" s="54">
        <v>-0.59891643288952701</v>
      </c>
      <c r="O19" s="15">
        <v>204.13103496749</v>
      </c>
      <c r="P19" s="51">
        <f t="shared" si="6"/>
        <v>769</v>
      </c>
      <c r="Q19" s="51">
        <f t="shared" si="7"/>
        <v>1440</v>
      </c>
      <c r="R19" s="51">
        <f t="shared" si="8"/>
        <v>2209</v>
      </c>
      <c r="S19" s="32">
        <f t="shared" si="2"/>
        <v>0.65187867813490263</v>
      </c>
      <c r="T19" s="32">
        <f t="shared" si="3"/>
        <v>404.887662576389</v>
      </c>
      <c r="U19" s="44">
        <v>2.9427012653274285</v>
      </c>
      <c r="V19" s="150">
        <f t="shared" si="9"/>
        <v>2.9427012653274284E-2</v>
      </c>
      <c r="W19" s="150">
        <f t="shared" si="4"/>
        <v>2.9427112653274284E-2</v>
      </c>
      <c r="X19" s="150">
        <f t="shared" si="10"/>
        <v>0.16438356164383561</v>
      </c>
      <c r="Y19" s="150">
        <f t="shared" si="11"/>
        <v>0.16438355164383561</v>
      </c>
      <c r="Z19" s="16">
        <f t="shared" si="19"/>
        <v>43.738337527447328</v>
      </c>
      <c r="AA19" s="18">
        <f t="shared" si="16"/>
        <v>2.3679391780717651E-10</v>
      </c>
      <c r="AB19" s="32">
        <f t="shared" si="17"/>
        <v>-0.59891642313705395</v>
      </c>
      <c r="AC19" s="18">
        <f t="shared" si="18"/>
        <v>-1.6283528858629381E-8</v>
      </c>
      <c r="AD19" s="83">
        <f t="shared" si="20"/>
        <v>43.738337527447328</v>
      </c>
      <c r="AE19" s="150">
        <f t="shared" si="21"/>
        <v>43.738337424855267</v>
      </c>
      <c r="AF19" s="1">
        <f t="shared" si="12"/>
        <v>-2.8107413991414407E-2</v>
      </c>
      <c r="AG19" s="150">
        <f t="shared" si="22"/>
        <v>43.738336808460964</v>
      </c>
      <c r="AH19" s="53">
        <f t="shared" si="23"/>
        <v>-7.1898636377909497</v>
      </c>
      <c r="AI19" s="150">
        <f t="shared" si="24"/>
        <v>-7.1898637031420263</v>
      </c>
      <c r="AJ19" s="153">
        <v>-7.1898637048457203</v>
      </c>
      <c r="AK19" s="152">
        <f t="shared" si="25"/>
        <v>-2.3695778672561119E-10</v>
      </c>
    </row>
    <row r="20" spans="2:37" x14ac:dyDescent="0.25">
      <c r="B20" s="33" t="s">
        <v>20</v>
      </c>
      <c r="C20" s="27" t="s">
        <v>54</v>
      </c>
      <c r="D20" s="45" t="s">
        <v>94</v>
      </c>
      <c r="E20" s="35">
        <v>40848</v>
      </c>
      <c r="F20" s="35">
        <v>40877</v>
      </c>
      <c r="G20" s="49">
        <v>264</v>
      </c>
      <c r="H20" s="49">
        <v>12</v>
      </c>
      <c r="I20" s="51">
        <f t="shared" si="5"/>
        <v>252</v>
      </c>
      <c r="J20" s="14">
        <v>61.675137865991402</v>
      </c>
      <c r="K20" s="36">
        <v>335</v>
      </c>
      <c r="L20" s="14">
        <v>390.45418206826002</v>
      </c>
      <c r="M20" s="32">
        <v>0.720117959324718</v>
      </c>
      <c r="N20" s="54">
        <v>0.76463989614889905</v>
      </c>
      <c r="O20" s="15">
        <v>328.677903666666</v>
      </c>
      <c r="P20" s="51">
        <f t="shared" si="6"/>
        <v>12</v>
      </c>
      <c r="Q20" s="51">
        <f t="shared" si="7"/>
        <v>252</v>
      </c>
      <c r="R20" s="51">
        <f t="shared" si="8"/>
        <v>264</v>
      </c>
      <c r="S20" s="32">
        <f t="shared" si="2"/>
        <v>0.95454545454545459</v>
      </c>
      <c r="T20" s="32">
        <f t="shared" si="3"/>
        <v>335.30105220634925</v>
      </c>
      <c r="U20" s="43">
        <v>2.7668515312908131</v>
      </c>
      <c r="V20" s="150">
        <f t="shared" si="9"/>
        <v>2.7668515312908131E-2</v>
      </c>
      <c r="W20" s="150">
        <f t="shared" si="4"/>
        <v>2.7668615312908131E-2</v>
      </c>
      <c r="X20" s="150">
        <f t="shared" si="10"/>
        <v>7.9452054794520555E-2</v>
      </c>
      <c r="Y20" s="150">
        <f t="shared" si="11"/>
        <v>7.945204479452056E-2</v>
      </c>
      <c r="Z20" s="16">
        <f t="shared" si="19"/>
        <v>61.67513787177019</v>
      </c>
      <c r="AA20" s="18">
        <f t="shared" si="16"/>
        <v>-9.3697161140937624E-11</v>
      </c>
      <c r="AB20" s="32">
        <f t="shared" si="17"/>
        <v>0.76463989009347699</v>
      </c>
      <c r="AC20" s="18">
        <f t="shared" si="18"/>
        <v>-7.9193122060061683E-9</v>
      </c>
      <c r="AD20" s="83">
        <f t="shared" si="20"/>
        <v>61.67513787177019</v>
      </c>
      <c r="AE20" s="150">
        <f t="shared" si="21"/>
        <v>61.675136570213667</v>
      </c>
      <c r="AF20" s="1">
        <f t="shared" si="12"/>
        <v>-0.35659082822012478</v>
      </c>
      <c r="AG20" s="150">
        <f t="shared" si="22"/>
        <v>61.675137381748556</v>
      </c>
      <c r="AH20" s="53">
        <f t="shared" si="23"/>
        <v>-4.9002163393652154</v>
      </c>
      <c r="AI20" s="150">
        <f t="shared" si="24"/>
        <v>-4.9002164336474952</v>
      </c>
      <c r="AJ20" s="153">
        <v>-4.9002164331876203</v>
      </c>
      <c r="AK20" s="152">
        <f t="shared" si="25"/>
        <v>9.3847818405379257E-11</v>
      </c>
    </row>
    <row r="21" spans="2:37" x14ac:dyDescent="0.25">
      <c r="B21" s="33" t="s">
        <v>20</v>
      </c>
      <c r="C21" s="27" t="s">
        <v>56</v>
      </c>
      <c r="D21" s="45" t="s">
        <v>95</v>
      </c>
      <c r="E21" s="35">
        <v>40848</v>
      </c>
      <c r="F21" s="35">
        <v>40877</v>
      </c>
      <c r="G21" s="49">
        <v>264</v>
      </c>
      <c r="H21" s="52">
        <v>12</v>
      </c>
      <c r="I21" s="51">
        <f t="shared" si="5"/>
        <v>252</v>
      </c>
      <c r="J21" s="14">
        <v>9.1445744841696399</v>
      </c>
      <c r="K21" s="36">
        <v>335</v>
      </c>
      <c r="L21" s="14">
        <v>390.45418206826002</v>
      </c>
      <c r="M21" s="32">
        <v>0.720117959324718</v>
      </c>
      <c r="N21" s="54">
        <v>-0.18780946644111701</v>
      </c>
      <c r="O21" s="15">
        <v>328.677903666666</v>
      </c>
      <c r="P21" s="51">
        <f t="shared" si="6"/>
        <v>12</v>
      </c>
      <c r="Q21" s="51">
        <f t="shared" si="7"/>
        <v>252</v>
      </c>
      <c r="R21" s="51">
        <f t="shared" si="8"/>
        <v>264</v>
      </c>
      <c r="S21" s="32">
        <f t="shared" si="2"/>
        <v>0.95454545454545459</v>
      </c>
      <c r="T21" s="32">
        <f t="shared" si="3"/>
        <v>335.30105220634925</v>
      </c>
      <c r="U21" s="43">
        <v>2.7668515312908131</v>
      </c>
      <c r="V21" s="150">
        <f t="shared" si="9"/>
        <v>2.7668515312908131E-2</v>
      </c>
      <c r="W21" s="150">
        <f t="shared" si="4"/>
        <v>2.7668615312908131E-2</v>
      </c>
      <c r="X21" s="150">
        <f t="shared" si="10"/>
        <v>7.9452054794520555E-2</v>
      </c>
      <c r="Y21" s="150">
        <f t="shared" si="11"/>
        <v>7.945204479452056E-2</v>
      </c>
      <c r="Z21" s="16">
        <f t="shared" si="19"/>
        <v>9.1445744899488624</v>
      </c>
      <c r="AA21" s="18">
        <f t="shared" si="16"/>
        <v>-6.3198379862683396E-10</v>
      </c>
      <c r="AB21" s="32">
        <f t="shared" si="17"/>
        <v>-0.18780946492913383</v>
      </c>
      <c r="AC21" s="18">
        <f t="shared" si="18"/>
        <v>-8.0506228350429865E-9</v>
      </c>
      <c r="AD21" s="83">
        <f t="shared" si="20"/>
        <v>9.1445744899488624</v>
      </c>
      <c r="AE21" s="150">
        <f t="shared" si="21"/>
        <v>9.144573173857923</v>
      </c>
      <c r="AF21" s="1">
        <f t="shared" si="12"/>
        <v>-0.36057286009331435</v>
      </c>
      <c r="AG21" s="150">
        <f t="shared" si="22"/>
        <v>9.1445744172933381</v>
      </c>
      <c r="AH21" s="53">
        <f t="shared" si="23"/>
        <v>-0.7265552426360955</v>
      </c>
      <c r="AI21" s="150">
        <f t="shared" si="24"/>
        <v>-0.72655523344799189</v>
      </c>
      <c r="AJ21" s="153">
        <v>-0.72655523298900704</v>
      </c>
      <c r="AK21" s="152">
        <f t="shared" si="25"/>
        <v>6.3172733710814555E-10</v>
      </c>
    </row>
    <row r="22" spans="2:37" x14ac:dyDescent="0.25">
      <c r="B22" s="11" t="s">
        <v>20</v>
      </c>
      <c r="C22" s="12" t="s">
        <v>54</v>
      </c>
      <c r="D22" s="45" t="s">
        <v>96</v>
      </c>
      <c r="E22" s="13">
        <v>40848</v>
      </c>
      <c r="F22" s="13">
        <v>40877</v>
      </c>
      <c r="G22" s="49">
        <v>720</v>
      </c>
      <c r="H22" s="52">
        <v>24</v>
      </c>
      <c r="I22" s="51">
        <f t="shared" si="5"/>
        <v>696</v>
      </c>
      <c r="J22" s="14">
        <v>25.483720447463099</v>
      </c>
      <c r="K22" s="36">
        <v>335</v>
      </c>
      <c r="L22" s="14">
        <v>344.888418073872</v>
      </c>
      <c r="M22" s="15">
        <v>0.56509827738996798</v>
      </c>
      <c r="N22" s="54">
        <v>0.57607187141198102</v>
      </c>
      <c r="O22" s="15">
        <v>310.14198366666602</v>
      </c>
      <c r="P22" s="51">
        <f t="shared" si="6"/>
        <v>24</v>
      </c>
      <c r="Q22" s="51">
        <f t="shared" si="7"/>
        <v>696</v>
      </c>
      <c r="R22" s="51">
        <f t="shared" si="8"/>
        <v>720</v>
      </c>
      <c r="S22" s="15">
        <f t="shared" si="2"/>
        <v>0.96666666666666667</v>
      </c>
      <c r="T22" s="15">
        <f t="shared" si="3"/>
        <v>335.85717297701154</v>
      </c>
      <c r="U22" s="43">
        <v>2.7668515312908131</v>
      </c>
      <c r="V22" s="150">
        <f t="shared" si="9"/>
        <v>2.7668515312908131E-2</v>
      </c>
      <c r="W22" s="150">
        <f t="shared" si="4"/>
        <v>2.7668615312908131E-2</v>
      </c>
      <c r="X22" s="150">
        <f t="shared" si="10"/>
        <v>7.9452054794520555E-2</v>
      </c>
      <c r="Y22" s="150">
        <f t="shared" si="11"/>
        <v>7.945204479452056E-2</v>
      </c>
      <c r="Z22" s="16">
        <f t="shared" si="19"/>
        <v>25.483720447435132</v>
      </c>
      <c r="AA22" s="18">
        <f t="shared" si="16"/>
        <v>1.0973444375395047E-12</v>
      </c>
      <c r="AB22" s="15">
        <f t="shared" si="17"/>
        <v>0.576071866835002</v>
      </c>
      <c r="AC22" s="18">
        <f t="shared" si="18"/>
        <v>-7.9451527579266212E-9</v>
      </c>
      <c r="AD22" s="83">
        <f t="shared" si="20"/>
        <v>25.483720447435132</v>
      </c>
      <c r="AE22" s="150">
        <f t="shared" si="21"/>
        <v>25.483719163900947</v>
      </c>
      <c r="AF22" s="1">
        <f t="shared" si="12"/>
        <v>-0.35165320153513152</v>
      </c>
      <c r="AG22" s="150">
        <f t="shared" si="22"/>
        <v>25.483720244961738</v>
      </c>
      <c r="AH22" s="53">
        <f t="shared" si="23"/>
        <v>-2.0247339449497304</v>
      </c>
      <c r="AI22" s="150">
        <f t="shared" si="24"/>
        <v>-2.0247339533578601</v>
      </c>
      <c r="AJ22" s="153">
        <v>-2.0247339533595801</v>
      </c>
      <c r="AK22" s="152">
        <f t="shared" si="25"/>
        <v>-8.4943163614070727E-13</v>
      </c>
    </row>
    <row r="23" spans="2:37" x14ac:dyDescent="0.25">
      <c r="B23" s="33" t="s">
        <v>20</v>
      </c>
      <c r="C23" s="27" t="s">
        <v>56</v>
      </c>
      <c r="D23" s="45" t="s">
        <v>97</v>
      </c>
      <c r="E23" s="35">
        <v>40848</v>
      </c>
      <c r="F23" s="35">
        <v>40877</v>
      </c>
      <c r="G23" s="49">
        <v>720</v>
      </c>
      <c r="H23" s="52">
        <v>24</v>
      </c>
      <c r="I23" s="51">
        <f t="shared" si="5"/>
        <v>696</v>
      </c>
      <c r="J23" s="14">
        <v>16.772687559045</v>
      </c>
      <c r="K23" s="36">
        <v>335</v>
      </c>
      <c r="L23" s="14">
        <v>344.888418073872</v>
      </c>
      <c r="M23" s="32">
        <v>0.56509827738996798</v>
      </c>
      <c r="N23" s="54">
        <v>-0.38847208625854401</v>
      </c>
      <c r="O23" s="15">
        <v>310.14198366666602</v>
      </c>
      <c r="P23" s="51">
        <f t="shared" si="6"/>
        <v>24</v>
      </c>
      <c r="Q23" s="51">
        <f t="shared" si="7"/>
        <v>696</v>
      </c>
      <c r="R23" s="51">
        <f t="shared" si="8"/>
        <v>720</v>
      </c>
      <c r="S23" s="32">
        <f t="shared" si="2"/>
        <v>0.96666666666666667</v>
      </c>
      <c r="T23" s="32">
        <f t="shared" si="3"/>
        <v>335.85717297701154</v>
      </c>
      <c r="U23" s="43">
        <v>2.7668515312908131</v>
      </c>
      <c r="V23" s="150">
        <f t="shared" si="9"/>
        <v>2.7668515312908131E-2</v>
      </c>
      <c r="W23" s="150">
        <f t="shared" si="4"/>
        <v>2.7668615312908131E-2</v>
      </c>
      <c r="X23" s="150">
        <f t="shared" si="10"/>
        <v>7.9452054794520555E-2</v>
      </c>
      <c r="Y23" s="150">
        <f t="shared" si="11"/>
        <v>7.945204479452056E-2</v>
      </c>
      <c r="Z23" s="16">
        <f t="shared" si="19"/>
        <v>16.772687559016848</v>
      </c>
      <c r="AA23" s="18">
        <f t="shared" si="16"/>
        <v>1.6784351686283117E-12</v>
      </c>
      <c r="AB23" s="32">
        <f t="shared" si="17"/>
        <v>-0.38847208317202298</v>
      </c>
      <c r="AC23" s="18">
        <f t="shared" si="18"/>
        <v>-7.9452839862881319E-9</v>
      </c>
      <c r="AD23" s="83">
        <f t="shared" si="20"/>
        <v>16.772687559016848</v>
      </c>
      <c r="AE23" s="150">
        <f t="shared" si="21"/>
        <v>16.772686273072452</v>
      </c>
      <c r="AF23" s="1">
        <f t="shared" si="12"/>
        <v>-0.3523135332331287</v>
      </c>
      <c r="AG23" s="150">
        <f t="shared" si="22"/>
        <v>16.772687425754402</v>
      </c>
      <c r="AH23" s="53">
        <f t="shared" si="23"/>
        <v>-1.3326244641120866</v>
      </c>
      <c r="AI23" s="150">
        <f t="shared" si="24"/>
        <v>-1.3326244909903799</v>
      </c>
      <c r="AJ23" s="153">
        <v>-1.3326244909929501</v>
      </c>
      <c r="AK23" s="152">
        <f t="shared" si="25"/>
        <v>-1.9286794383788219E-12</v>
      </c>
    </row>
    <row r="24" spans="2:37" x14ac:dyDescent="0.25">
      <c r="B24" s="33" t="s">
        <v>50</v>
      </c>
      <c r="C24" s="27" t="s">
        <v>54</v>
      </c>
      <c r="D24" s="45" t="s">
        <v>96</v>
      </c>
      <c r="E24" s="35">
        <v>40848</v>
      </c>
      <c r="F24" s="35">
        <v>40877</v>
      </c>
      <c r="G24" s="49">
        <v>720</v>
      </c>
      <c r="H24" s="52">
        <v>24</v>
      </c>
      <c r="I24" s="51">
        <f t="shared" si="5"/>
        <v>696</v>
      </c>
      <c r="J24" s="14">
        <v>9.48667298470329</v>
      </c>
      <c r="K24" s="36">
        <v>335</v>
      </c>
      <c r="L24" s="14">
        <v>327.281304006624</v>
      </c>
      <c r="M24" s="32">
        <v>0.37034305597315198</v>
      </c>
      <c r="N24" s="54">
        <v>0.404665887450953</v>
      </c>
      <c r="O24" s="15">
        <v>302.53453316666599</v>
      </c>
      <c r="P24" s="51">
        <f t="shared" si="6"/>
        <v>24</v>
      </c>
      <c r="Q24" s="51">
        <f t="shared" si="7"/>
        <v>696</v>
      </c>
      <c r="R24" s="51">
        <f t="shared" si="8"/>
        <v>720</v>
      </c>
      <c r="S24" s="32">
        <f t="shared" si="2"/>
        <v>0.96666666666666667</v>
      </c>
      <c r="T24" s="32">
        <f t="shared" si="3"/>
        <v>336.11949885632185</v>
      </c>
      <c r="U24" s="43">
        <v>2.7668515312908131</v>
      </c>
      <c r="V24" s="150">
        <f t="shared" si="9"/>
        <v>2.7668515312908131E-2</v>
      </c>
      <c r="W24" s="150">
        <f t="shared" si="4"/>
        <v>2.7668615312908131E-2</v>
      </c>
      <c r="X24" s="150">
        <f t="shared" si="10"/>
        <v>7.9452054794520555E-2</v>
      </c>
      <c r="Y24" s="150">
        <f t="shared" si="11"/>
        <v>7.945204479452056E-2</v>
      </c>
      <c r="Z24" s="16">
        <f t="shared" si="19"/>
        <v>9.4866729846159963</v>
      </c>
      <c r="AA24" s="18">
        <f t="shared" si="16"/>
        <v>9.2017504726982224E-12</v>
      </c>
      <c r="AB24" s="32">
        <f t="shared" si="17"/>
        <v>0.40466588423492678</v>
      </c>
      <c r="AC24" s="18">
        <f t="shared" si="18"/>
        <v>-7.9473617686787179E-9</v>
      </c>
      <c r="AD24" s="83">
        <f t="shared" si="20"/>
        <v>9.4866729846159963</v>
      </c>
      <c r="AE24" s="150">
        <f t="shared" si="21"/>
        <v>9.4866721768013758</v>
      </c>
      <c r="AF24" s="1">
        <f t="shared" si="12"/>
        <v>-0.22131907411760463</v>
      </c>
      <c r="AG24" s="150">
        <f t="shared" si="22"/>
        <v>9.4866729092424311</v>
      </c>
      <c r="AH24" s="53">
        <f t="shared" si="23"/>
        <v>-0.75373565167069501</v>
      </c>
      <c r="AI24" s="150">
        <f t="shared" si="24"/>
        <v>-0.75373566179140794</v>
      </c>
      <c r="AJ24" s="153">
        <v>-0.75373566179801199</v>
      </c>
      <c r="AK24" s="152">
        <f t="shared" si="25"/>
        <v>-8.7617690880392729E-12</v>
      </c>
    </row>
    <row r="25" spans="2:37" x14ac:dyDescent="0.25">
      <c r="B25" s="33" t="s">
        <v>50</v>
      </c>
      <c r="C25" s="27" t="s">
        <v>56</v>
      </c>
      <c r="D25" s="45" t="s">
        <v>97</v>
      </c>
      <c r="E25" s="35">
        <v>40848</v>
      </c>
      <c r="F25" s="35">
        <v>40877</v>
      </c>
      <c r="G25" s="49">
        <v>720</v>
      </c>
      <c r="H25" s="52">
        <v>24</v>
      </c>
      <c r="I25" s="51">
        <f t="shared" si="5"/>
        <v>696</v>
      </c>
      <c r="J25" s="14">
        <v>18.0115004236945</v>
      </c>
      <c r="K25" s="36">
        <v>335</v>
      </c>
      <c r="L25" s="14">
        <v>327.281304006624</v>
      </c>
      <c r="M25" s="32">
        <v>0.37034305597315198</v>
      </c>
      <c r="N25" s="54">
        <v>-0.55987807021957203</v>
      </c>
      <c r="O25" s="15">
        <v>302.53453316666599</v>
      </c>
      <c r="P25" s="51">
        <f t="shared" si="6"/>
        <v>24</v>
      </c>
      <c r="Q25" s="51">
        <f t="shared" si="7"/>
        <v>696</v>
      </c>
      <c r="R25" s="51">
        <f t="shared" si="8"/>
        <v>720</v>
      </c>
      <c r="S25" s="32">
        <f t="shared" si="2"/>
        <v>0.96666666666666667</v>
      </c>
      <c r="T25" s="32">
        <f t="shared" si="3"/>
        <v>336.11949885632185</v>
      </c>
      <c r="U25" s="43">
        <v>2.7668515312908131</v>
      </c>
      <c r="V25" s="150">
        <f t="shared" si="9"/>
        <v>2.7668515312908131E-2</v>
      </c>
      <c r="W25" s="150">
        <f t="shared" si="4"/>
        <v>2.7668615312908131E-2</v>
      </c>
      <c r="X25" s="150">
        <f t="shared" si="10"/>
        <v>7.9452054794520555E-2</v>
      </c>
      <c r="Y25" s="150">
        <f t="shared" si="11"/>
        <v>7.945204479452056E-2</v>
      </c>
      <c r="Z25" s="16">
        <f t="shared" si="19"/>
        <v>18.011500423606829</v>
      </c>
      <c r="AA25" s="18">
        <f t="shared" si="16"/>
        <v>4.8674397845616113E-12</v>
      </c>
      <c r="AB25" s="32">
        <f t="shared" si="17"/>
        <v>-0.5598780657720982</v>
      </c>
      <c r="AC25" s="18">
        <f t="shared" si="18"/>
        <v>-7.9436471844829271E-9</v>
      </c>
      <c r="AD25" s="83">
        <f t="shared" si="20"/>
        <v>18.011500423606829</v>
      </c>
      <c r="AE25" s="150">
        <f t="shared" si="21"/>
        <v>18.011499618150893</v>
      </c>
      <c r="AF25" s="1">
        <f t="shared" si="12"/>
        <v>-0.22067285934641304</v>
      </c>
      <c r="AG25" s="150">
        <f t="shared" si="22"/>
        <v>18.01150028050176</v>
      </c>
      <c r="AH25" s="53">
        <f t="shared" si="23"/>
        <v>-1.4310506912806886</v>
      </c>
      <c r="AI25" s="150">
        <f t="shared" si="24"/>
        <v>-1.43105071858794</v>
      </c>
      <c r="AJ25" s="153">
        <v>-1.43105071859536</v>
      </c>
      <c r="AK25" s="152">
        <f t="shared" si="25"/>
        <v>-5.1850745919068686E-12</v>
      </c>
    </row>
    <row r="26" spans="2:37" x14ac:dyDescent="0.25">
      <c r="B26" s="33" t="s">
        <v>20</v>
      </c>
      <c r="C26" s="27" t="s">
        <v>54</v>
      </c>
      <c r="D26" s="45" t="s">
        <v>98</v>
      </c>
      <c r="E26" s="35">
        <v>40909</v>
      </c>
      <c r="F26" s="35">
        <v>41274</v>
      </c>
      <c r="G26" s="49">
        <v>3132</v>
      </c>
      <c r="H26" s="49">
        <v>0</v>
      </c>
      <c r="I26" s="51">
        <f t="shared" si="5"/>
        <v>3132</v>
      </c>
      <c r="J26" s="14">
        <v>89.042795262575893</v>
      </c>
      <c r="K26" s="36">
        <v>335</v>
      </c>
      <c r="L26" s="14">
        <v>375.45259912505202</v>
      </c>
      <c r="M26" s="32">
        <v>0.46743229240393802</v>
      </c>
      <c r="N26" s="54">
        <v>0.65612596626130404</v>
      </c>
      <c r="P26" s="51">
        <f t="shared" si="6"/>
        <v>0</v>
      </c>
      <c r="Q26" s="51">
        <f t="shared" si="7"/>
        <v>3132</v>
      </c>
      <c r="R26" s="51">
        <f t="shared" si="8"/>
        <v>3132</v>
      </c>
      <c r="S26" s="32">
        <f t="shared" si="2"/>
        <v>1</v>
      </c>
      <c r="T26" s="32">
        <f t="shared" si="3"/>
        <v>335</v>
      </c>
      <c r="U26" s="41">
        <v>3.5349529499938392</v>
      </c>
      <c r="V26" s="150">
        <f t="shared" si="9"/>
        <v>3.5349529499938394E-2</v>
      </c>
      <c r="W26" s="150">
        <f t="shared" si="4"/>
        <v>3.5349629499938397E-2</v>
      </c>
      <c r="X26" s="150">
        <f t="shared" si="10"/>
        <v>1.167123287671233</v>
      </c>
      <c r="Y26" s="150">
        <f t="shared" si="11"/>
        <v>1.167123277671233</v>
      </c>
      <c r="Z26" s="16">
        <f t="shared" si="19"/>
        <v>89.042795263576039</v>
      </c>
      <c r="AA26" s="18">
        <f t="shared" si="16"/>
        <v>-1.1232237362435171E-11</v>
      </c>
      <c r="AB26" s="32">
        <f t="shared" si="17"/>
        <v>0.65612588968598351</v>
      </c>
      <c r="AC26" s="18">
        <f t="shared" si="18"/>
        <v>-1.1670826105536491E-7</v>
      </c>
      <c r="AD26" s="83">
        <f t="shared" si="20"/>
        <v>89.042795263576039</v>
      </c>
      <c r="AE26" s="150">
        <f t="shared" si="21"/>
        <v>89.04279501771245</v>
      </c>
      <c r="AF26" s="1">
        <f t="shared" si="12"/>
        <v>-6.7359887409161087E-2</v>
      </c>
      <c r="AG26" s="150">
        <f t="shared" si="22"/>
        <v>89.042784871184651</v>
      </c>
      <c r="AH26" s="53">
        <f t="shared" si="23"/>
        <v>-103.92391388336364</v>
      </c>
      <c r="AI26" s="150">
        <f t="shared" si="24"/>
        <v>-103.92391995146136</v>
      </c>
      <c r="AJ26" s="153">
        <v>-103.923919950288</v>
      </c>
      <c r="AK26" s="152">
        <f t="shared" si="25"/>
        <v>1.1290524071227992E-11</v>
      </c>
    </row>
    <row r="27" spans="2:37" x14ac:dyDescent="0.25">
      <c r="B27" s="33" t="s">
        <v>20</v>
      </c>
      <c r="C27" s="27" t="s">
        <v>56</v>
      </c>
      <c r="D27" s="45" t="s">
        <v>99</v>
      </c>
      <c r="E27" s="35">
        <v>40909</v>
      </c>
      <c r="F27" s="35">
        <v>41274</v>
      </c>
      <c r="G27" s="49">
        <v>3132</v>
      </c>
      <c r="H27" s="51">
        <v>0</v>
      </c>
      <c r="I27" s="51">
        <f t="shared" si="5"/>
        <v>3132</v>
      </c>
      <c r="J27" s="14">
        <v>50.225199704093903</v>
      </c>
      <c r="K27" s="36">
        <v>335</v>
      </c>
      <c r="L27" s="14">
        <v>375.45259912505202</v>
      </c>
      <c r="M27" s="32">
        <v>0.46743229240393802</v>
      </c>
      <c r="N27" s="54">
        <v>-0.30345627067936998</v>
      </c>
      <c r="P27" s="51">
        <f t="shared" si="6"/>
        <v>0</v>
      </c>
      <c r="Q27" s="51">
        <f t="shared" si="7"/>
        <v>3132</v>
      </c>
      <c r="R27" s="51">
        <f t="shared" si="8"/>
        <v>3132</v>
      </c>
      <c r="S27" s="32">
        <f t="shared" si="2"/>
        <v>1</v>
      </c>
      <c r="T27" s="32">
        <f t="shared" si="3"/>
        <v>335</v>
      </c>
      <c r="U27" s="41">
        <v>3.5349529499938392</v>
      </c>
      <c r="V27" s="150">
        <f t="shared" si="9"/>
        <v>3.5349529499938394E-2</v>
      </c>
      <c r="W27" s="150">
        <f t="shared" si="4"/>
        <v>3.5349629499938397E-2</v>
      </c>
      <c r="X27" s="150">
        <f t="shared" si="10"/>
        <v>1.167123287671233</v>
      </c>
      <c r="Y27" s="150">
        <f t="shared" si="11"/>
        <v>1.167123277671233</v>
      </c>
      <c r="Z27" s="16">
        <f t="shared" si="19"/>
        <v>50.225199705094262</v>
      </c>
      <c r="AA27" s="18">
        <f t="shared" si="16"/>
        <v>-1.9917512084077771E-11</v>
      </c>
      <c r="AB27" s="32">
        <f t="shared" si="17"/>
        <v>-0.30345623525961934</v>
      </c>
      <c r="AC27" s="18">
        <f t="shared" si="18"/>
        <v>-1.1672110300509075E-7</v>
      </c>
      <c r="AD27" s="83">
        <f t="shared" si="20"/>
        <v>50.225199705094262</v>
      </c>
      <c r="AE27" s="150">
        <f t="shared" si="21"/>
        <v>50.225199445508864</v>
      </c>
      <c r="AF27" s="1">
        <f t="shared" si="12"/>
        <v>-7.1119287262985859E-2</v>
      </c>
      <c r="AG27" s="150">
        <f t="shared" si="22"/>
        <v>50.225193843194589</v>
      </c>
      <c r="AH27" s="53">
        <f t="shared" si="23"/>
        <v>-58.618996732207052</v>
      </c>
      <c r="AI27" s="150">
        <f t="shared" si="24"/>
        <v>-58.619000203753856</v>
      </c>
      <c r="AJ27" s="153">
        <v>-58.619000202589298</v>
      </c>
      <c r="AK27" s="152">
        <f t="shared" si="25"/>
        <v>1.9866552847247476E-11</v>
      </c>
    </row>
    <row r="28" spans="2:37" x14ac:dyDescent="0.25">
      <c r="B28" s="33" t="s">
        <v>20</v>
      </c>
      <c r="C28" s="27" t="s">
        <v>54</v>
      </c>
      <c r="D28" s="45" t="s">
        <v>100</v>
      </c>
      <c r="E28" s="35">
        <v>40909</v>
      </c>
      <c r="F28" s="35">
        <v>41274</v>
      </c>
      <c r="G28" s="49">
        <v>8784</v>
      </c>
      <c r="H28" s="51">
        <v>0</v>
      </c>
      <c r="I28" s="51">
        <f t="shared" si="5"/>
        <v>8784</v>
      </c>
      <c r="J28" s="14">
        <v>41.097079877516698</v>
      </c>
      <c r="K28" s="36">
        <v>335</v>
      </c>
      <c r="L28" s="14">
        <v>342.50701467497203</v>
      </c>
      <c r="M28" s="32">
        <v>0.26778836790959898</v>
      </c>
      <c r="N28" s="54">
        <v>0.56380528853836598</v>
      </c>
      <c r="P28" s="51">
        <f t="shared" si="6"/>
        <v>0</v>
      </c>
      <c r="Q28" s="51">
        <f t="shared" si="7"/>
        <v>8784</v>
      </c>
      <c r="R28" s="51">
        <f t="shared" si="8"/>
        <v>8784</v>
      </c>
      <c r="S28" s="32">
        <f t="shared" si="2"/>
        <v>1</v>
      </c>
      <c r="T28" s="32">
        <f t="shared" si="3"/>
        <v>335</v>
      </c>
      <c r="U28" s="41">
        <v>3.5349529499938392</v>
      </c>
      <c r="V28" s="150">
        <f t="shared" si="9"/>
        <v>3.5349529499938394E-2</v>
      </c>
      <c r="W28" s="150">
        <f t="shared" si="4"/>
        <v>3.5349629499938397E-2</v>
      </c>
      <c r="X28" s="150">
        <f t="shared" si="10"/>
        <v>1.167123287671233</v>
      </c>
      <c r="Y28" s="150">
        <f t="shared" si="11"/>
        <v>1.167123277671233</v>
      </c>
      <c r="Z28" s="16">
        <f t="shared" si="19"/>
        <v>41.09707987752212</v>
      </c>
      <c r="AA28" s="18">
        <f t="shared" si="16"/>
        <v>-1.318944953254686E-13</v>
      </c>
      <c r="AB28" s="32">
        <f t="shared" si="17"/>
        <v>0.5638052227353475</v>
      </c>
      <c r="AC28" s="18">
        <f t="shared" si="18"/>
        <v>-1.1671231148202565E-7</v>
      </c>
      <c r="AD28" s="83">
        <f t="shared" si="20"/>
        <v>41.09707987752212</v>
      </c>
      <c r="AE28" s="150">
        <f t="shared" si="21"/>
        <v>41.097079733474644</v>
      </c>
      <c r="AF28" s="1">
        <f t="shared" si="12"/>
        <v>-3.946506196420882E-2</v>
      </c>
      <c r="AG28" s="150">
        <f t="shared" si="22"/>
        <v>41.0970750809865</v>
      </c>
      <c r="AH28" s="53">
        <f t="shared" si="23"/>
        <v>-47.96535620243958</v>
      </c>
      <c r="AI28" s="150">
        <f t="shared" si="24"/>
        <v>-47.965358980340888</v>
      </c>
      <c r="AJ28" s="153">
        <v>-47.965358980329597</v>
      </c>
      <c r="AK28" s="152">
        <f t="shared" si="25"/>
        <v>2.3536728122053319E-13</v>
      </c>
    </row>
    <row r="29" spans="2:37" x14ac:dyDescent="0.25">
      <c r="B29" s="33" t="s">
        <v>20</v>
      </c>
      <c r="C29" s="27" t="s">
        <v>56</v>
      </c>
      <c r="D29" s="45" t="s">
        <v>101</v>
      </c>
      <c r="E29" s="35">
        <v>40909</v>
      </c>
      <c r="F29" s="35">
        <v>41274</v>
      </c>
      <c r="G29" s="49">
        <v>8784</v>
      </c>
      <c r="H29" s="51">
        <v>0</v>
      </c>
      <c r="I29" s="51">
        <f t="shared" si="5"/>
        <v>8784</v>
      </c>
      <c r="J29" s="14">
        <v>33.893481942960904</v>
      </c>
      <c r="K29" s="36">
        <v>335</v>
      </c>
      <c r="L29" s="14">
        <v>342.50701467497203</v>
      </c>
      <c r="M29" s="32">
        <v>0.26778836790959898</v>
      </c>
      <c r="N29" s="54">
        <v>-0.39577694840230798</v>
      </c>
      <c r="P29" s="51">
        <f t="shared" si="6"/>
        <v>0</v>
      </c>
      <c r="Q29" s="51">
        <f t="shared" si="7"/>
        <v>8784</v>
      </c>
      <c r="R29" s="51">
        <f t="shared" si="8"/>
        <v>8784</v>
      </c>
      <c r="S29" s="32">
        <f t="shared" si="2"/>
        <v>1</v>
      </c>
      <c r="T29" s="32">
        <f t="shared" si="3"/>
        <v>335</v>
      </c>
      <c r="U29" s="42">
        <v>3.5349529499938392</v>
      </c>
      <c r="V29" s="150">
        <f t="shared" si="9"/>
        <v>3.5349529499938394E-2</v>
      </c>
      <c r="W29" s="150">
        <f t="shared" si="4"/>
        <v>3.5349629499938397E-2</v>
      </c>
      <c r="X29" s="150">
        <f t="shared" si="10"/>
        <v>1.167123287671233</v>
      </c>
      <c r="Y29" s="150">
        <f t="shared" si="11"/>
        <v>1.167123277671233</v>
      </c>
      <c r="Z29" s="16">
        <f t="shared" si="19"/>
        <v>33.893481942965998</v>
      </c>
      <c r="AA29" s="18">
        <f t="shared" si="16"/>
        <v>-1.503241975342462E-13</v>
      </c>
      <c r="AB29" s="32">
        <f t="shared" si="17"/>
        <v>-0.39577690221025535</v>
      </c>
      <c r="AC29" s="18">
        <f t="shared" si="18"/>
        <v>-1.1671233712817752E-7</v>
      </c>
      <c r="AD29" s="83">
        <f t="shared" si="20"/>
        <v>33.893481942965998</v>
      </c>
      <c r="AE29" s="150">
        <f t="shared" si="21"/>
        <v>33.893481796372114</v>
      </c>
      <c r="AF29" s="1">
        <f t="shared" si="12"/>
        <v>-4.0162707862641769E-2</v>
      </c>
      <c r="AG29" s="150">
        <f t="shared" si="22"/>
        <v>33.893477987179018</v>
      </c>
      <c r="AH29" s="53">
        <f t="shared" si="23"/>
        <v>-39.557869797590683</v>
      </c>
      <c r="AI29" s="150">
        <f t="shared" si="24"/>
        <v>-39.557872075900043</v>
      </c>
      <c r="AJ29" s="153">
        <v>-39.557872075897599</v>
      </c>
      <c r="AK29" s="152">
        <f t="shared" si="25"/>
        <v>6.1728400169158704E-14</v>
      </c>
    </row>
    <row r="30" spans="2:37" x14ac:dyDescent="0.25">
      <c r="B30" s="33" t="s">
        <v>50</v>
      </c>
      <c r="C30" s="27" t="s">
        <v>54</v>
      </c>
      <c r="D30" s="45" t="s">
        <v>100</v>
      </c>
      <c r="E30" s="35">
        <v>40909</v>
      </c>
      <c r="F30" s="35">
        <v>41274</v>
      </c>
      <c r="G30" s="49">
        <v>8784</v>
      </c>
      <c r="H30" s="51">
        <v>0</v>
      </c>
      <c r="I30" s="51">
        <f t="shared" si="5"/>
        <v>8784</v>
      </c>
      <c r="J30" s="14">
        <v>20.976215406321099</v>
      </c>
      <c r="K30" s="36">
        <v>335</v>
      </c>
      <c r="L30" s="14">
        <v>334.68508552653202</v>
      </c>
      <c r="M30" s="32">
        <v>0.15273491613854201</v>
      </c>
      <c r="N30" s="54">
        <v>0.50916368154826097</v>
      </c>
      <c r="P30" s="51">
        <f t="shared" si="6"/>
        <v>0</v>
      </c>
      <c r="Q30" s="51">
        <f t="shared" si="7"/>
        <v>8784</v>
      </c>
      <c r="R30" s="51">
        <f t="shared" si="8"/>
        <v>8784</v>
      </c>
      <c r="S30" s="32">
        <f t="shared" si="2"/>
        <v>1</v>
      </c>
      <c r="T30" s="32">
        <f t="shared" si="3"/>
        <v>335</v>
      </c>
      <c r="U30" s="42">
        <v>3.5349529499938392</v>
      </c>
      <c r="V30" s="150">
        <f t="shared" si="9"/>
        <v>3.5349529499938394E-2</v>
      </c>
      <c r="W30" s="150">
        <f t="shared" si="4"/>
        <v>3.5349629499938397E-2</v>
      </c>
      <c r="X30" s="150">
        <f t="shared" si="10"/>
        <v>1.167123287671233</v>
      </c>
      <c r="Y30" s="150">
        <f t="shared" si="11"/>
        <v>1.167123277671233</v>
      </c>
      <c r="Z30" s="16">
        <f t="shared" si="19"/>
        <v>20.976215406376689</v>
      </c>
      <c r="AA30" s="18">
        <f t="shared" si="16"/>
        <v>-2.6501023597802487E-12</v>
      </c>
      <c r="AB30" s="32">
        <f t="shared" si="17"/>
        <v>0.50916362212262534</v>
      </c>
      <c r="AC30" s="18">
        <f t="shared" si="18"/>
        <v>-1.1671224364739885E-7</v>
      </c>
      <c r="AD30" s="83">
        <f t="shared" si="20"/>
        <v>20.976215406376689</v>
      </c>
      <c r="AE30" s="150">
        <f t="shared" si="21"/>
        <v>20.976215323489605</v>
      </c>
      <c r="AF30" s="1">
        <f t="shared" si="12"/>
        <v>-2.2708790099498662E-2</v>
      </c>
      <c r="AG30" s="150">
        <f t="shared" si="22"/>
        <v>20.97621295819388</v>
      </c>
      <c r="AH30" s="53">
        <f t="shared" si="23"/>
        <v>-24.481828084788049</v>
      </c>
      <c r="AI30" s="150">
        <f t="shared" si="24"/>
        <v>-24.481829487990328</v>
      </c>
      <c r="AJ30" s="153">
        <v>-24.4818294879211</v>
      </c>
      <c r="AK30" s="152">
        <f t="shared" si="25"/>
        <v>2.8277380437202737E-12</v>
      </c>
    </row>
    <row r="31" spans="2:37" x14ac:dyDescent="0.25">
      <c r="B31" s="33" t="s">
        <v>50</v>
      </c>
      <c r="C31" s="27" t="s">
        <v>56</v>
      </c>
      <c r="D31" s="45" t="s">
        <v>101</v>
      </c>
      <c r="E31" s="35">
        <v>40909</v>
      </c>
      <c r="F31" s="35">
        <v>41274</v>
      </c>
      <c r="G31" s="49">
        <v>8784</v>
      </c>
      <c r="H31" s="51">
        <v>0</v>
      </c>
      <c r="I31" s="51">
        <f t="shared" si="5"/>
        <v>8784</v>
      </c>
      <c r="J31" s="14">
        <v>21.278401741216999</v>
      </c>
      <c r="K31" s="36">
        <v>335</v>
      </c>
      <c r="L31" s="14">
        <v>334.68508552653202</v>
      </c>
      <c r="M31" s="32">
        <v>0.15273491613854201</v>
      </c>
      <c r="N31" s="54">
        <v>-0.45041855539241299</v>
      </c>
      <c r="P31" s="51">
        <f t="shared" si="6"/>
        <v>0</v>
      </c>
      <c r="Q31" s="51">
        <f t="shared" si="7"/>
        <v>8784</v>
      </c>
      <c r="R31" s="51">
        <f t="shared" si="8"/>
        <v>8784</v>
      </c>
      <c r="S31" s="32">
        <f t="shared" si="2"/>
        <v>1</v>
      </c>
      <c r="T31" s="32">
        <f t="shared" si="3"/>
        <v>335</v>
      </c>
      <c r="U31" s="42">
        <v>3.5349529499938392</v>
      </c>
      <c r="V31" s="150">
        <f t="shared" si="9"/>
        <v>3.5349529499938394E-2</v>
      </c>
      <c r="W31" s="150">
        <f t="shared" si="4"/>
        <v>3.5349629499938397E-2</v>
      </c>
      <c r="X31" s="150">
        <f t="shared" si="10"/>
        <v>1.167123287671233</v>
      </c>
      <c r="Y31" s="150">
        <f t="shared" si="11"/>
        <v>1.167123277671233</v>
      </c>
      <c r="Z31" s="16">
        <f t="shared" si="19"/>
        <v>21.278401741272084</v>
      </c>
      <c r="AA31" s="18">
        <f t="shared" si="16"/>
        <v>-2.58881804882094E-12</v>
      </c>
      <c r="AB31" s="32">
        <f t="shared" si="17"/>
        <v>-0.45041850282297746</v>
      </c>
      <c r="AC31" s="18">
        <f t="shared" si="18"/>
        <v>-1.1671241095800866E-7</v>
      </c>
      <c r="AD31" s="83">
        <f t="shared" si="20"/>
        <v>21.278401741272084</v>
      </c>
      <c r="AE31" s="150">
        <f t="shared" si="21"/>
        <v>21.278401658491823</v>
      </c>
      <c r="AF31" s="1">
        <f t="shared" si="12"/>
        <v>-2.2679523525555054E-2</v>
      </c>
      <c r="AG31" s="150">
        <f t="shared" si="22"/>
        <v>21.278399257820411</v>
      </c>
      <c r="AH31" s="53">
        <f t="shared" si="23"/>
        <v>-24.834516736405021</v>
      </c>
      <c r="AI31" s="150">
        <f t="shared" si="24"/>
        <v>-24.834518196662764</v>
      </c>
      <c r="AJ31" s="153">
        <v>-24.834518196602499</v>
      </c>
      <c r="AK31" s="152">
        <f t="shared" si="25"/>
        <v>2.4267254872256672E-12</v>
      </c>
    </row>
    <row r="32" spans="2:37" x14ac:dyDescent="0.25">
      <c r="B32" s="33" t="s">
        <v>20</v>
      </c>
      <c r="C32" s="27" t="s">
        <v>54</v>
      </c>
      <c r="D32" s="45" t="s">
        <v>102</v>
      </c>
      <c r="E32" s="35">
        <v>41000</v>
      </c>
      <c r="F32" s="35">
        <v>41090</v>
      </c>
      <c r="G32" s="49">
        <v>780</v>
      </c>
      <c r="H32" s="51">
        <v>0</v>
      </c>
      <c r="I32" s="51">
        <f t="shared" si="5"/>
        <v>780</v>
      </c>
      <c r="J32" s="14">
        <v>90.696890975269199</v>
      </c>
      <c r="K32" s="36">
        <v>335</v>
      </c>
      <c r="L32" s="14">
        <v>361.06322317361099</v>
      </c>
      <c r="M32" s="32">
        <v>0.70934725412777</v>
      </c>
      <c r="N32" s="54">
        <v>0.64740222917184098</v>
      </c>
      <c r="P32" s="51">
        <f t="shared" si="6"/>
        <v>0</v>
      </c>
      <c r="Q32" s="51">
        <f t="shared" si="7"/>
        <v>780</v>
      </c>
      <c r="R32" s="51">
        <f t="shared" si="8"/>
        <v>780</v>
      </c>
      <c r="S32" s="32">
        <f t="shared" si="2"/>
        <v>1</v>
      </c>
      <c r="T32" s="32">
        <f t="shared" si="3"/>
        <v>335</v>
      </c>
      <c r="U32" s="39">
        <v>3.4116635447532739</v>
      </c>
      <c r="V32" s="150">
        <f t="shared" si="9"/>
        <v>3.4116635447532739E-2</v>
      </c>
      <c r="W32" s="150">
        <f t="shared" si="4"/>
        <v>3.4116735447532742E-2</v>
      </c>
      <c r="X32" s="150">
        <f t="shared" si="10"/>
        <v>0.66301369863013704</v>
      </c>
      <c r="Y32" s="150">
        <f t="shared" si="11"/>
        <v>0.66301368863013699</v>
      </c>
      <c r="Z32" s="16">
        <f t="shared" si="19"/>
        <v>90.69689097542178</v>
      </c>
      <c r="AA32" s="18">
        <f t="shared" si="16"/>
        <v>-1.6823209492144997E-12</v>
      </c>
      <c r="AB32" s="32">
        <f t="shared" si="17"/>
        <v>0.64740218624855583</v>
      </c>
      <c r="AC32" s="18">
        <f t="shared" si="18"/>
        <v>-6.6300799073104599E-8</v>
      </c>
      <c r="AD32" s="83">
        <f t="shared" si="20"/>
        <v>90.69689097542178</v>
      </c>
      <c r="AE32" s="150">
        <f t="shared" si="21"/>
        <v>90.696890444406705</v>
      </c>
      <c r="AF32" s="1">
        <f t="shared" si="12"/>
        <v>-0.14548358231964711</v>
      </c>
      <c r="AG32" s="150">
        <f t="shared" si="22"/>
        <v>90.696884962093861</v>
      </c>
      <c r="AH32" s="53">
        <f t="shared" si="23"/>
        <v>-60.133279191632028</v>
      </c>
      <c r="AI32" s="150">
        <f t="shared" si="24"/>
        <v>-60.133281139868693</v>
      </c>
      <c r="AJ32" s="153">
        <v>-60.133281139767902</v>
      </c>
      <c r="AK32" s="152">
        <f t="shared" si="25"/>
        <v>1.6762147225790613E-12</v>
      </c>
    </row>
    <row r="33" spans="2:37" x14ac:dyDescent="0.25">
      <c r="B33" s="33" t="s">
        <v>20</v>
      </c>
      <c r="C33" s="27" t="s">
        <v>56</v>
      </c>
      <c r="D33" s="45" t="s">
        <v>103</v>
      </c>
      <c r="E33" s="35">
        <v>41000</v>
      </c>
      <c r="F33" s="35">
        <v>41090</v>
      </c>
      <c r="G33" s="49">
        <v>780</v>
      </c>
      <c r="H33" s="51">
        <v>0</v>
      </c>
      <c r="I33" s="51">
        <f t="shared" si="5"/>
        <v>780</v>
      </c>
      <c r="J33" s="14">
        <v>65.216594909052304</v>
      </c>
      <c r="K33" s="36">
        <v>335</v>
      </c>
      <c r="L33" s="14">
        <v>361.06322317361099</v>
      </c>
      <c r="M33" s="32">
        <v>0.70934725412777</v>
      </c>
      <c r="N33" s="54">
        <v>-0.33023188371161599</v>
      </c>
      <c r="P33" s="51">
        <f t="shared" si="6"/>
        <v>0</v>
      </c>
      <c r="Q33" s="51">
        <f t="shared" si="7"/>
        <v>780</v>
      </c>
      <c r="R33" s="51">
        <f t="shared" si="8"/>
        <v>780</v>
      </c>
      <c r="S33" s="32">
        <f t="shared" si="2"/>
        <v>1</v>
      </c>
      <c r="T33" s="32">
        <f t="shared" si="3"/>
        <v>335</v>
      </c>
      <c r="U33" s="39">
        <v>3.4116635447532739</v>
      </c>
      <c r="V33" s="150">
        <f t="shared" si="9"/>
        <v>3.4116635447532739E-2</v>
      </c>
      <c r="W33" s="150">
        <f t="shared" si="4"/>
        <v>3.4116735447532742E-2</v>
      </c>
      <c r="X33" s="150">
        <f t="shared" si="10"/>
        <v>0.66301369863013704</v>
      </c>
      <c r="Y33" s="150">
        <f t="shared" si="11"/>
        <v>0.66301368863013699</v>
      </c>
      <c r="Z33" s="16">
        <f t="shared" si="19"/>
        <v>65.216594909205057</v>
      </c>
      <c r="AA33" s="18">
        <f t="shared" si="16"/>
        <v>-2.3422375150516928E-12</v>
      </c>
      <c r="AB33" s="32">
        <f t="shared" si="17"/>
        <v>-0.33023186181642222</v>
      </c>
      <c r="AC33" s="18">
        <f t="shared" si="18"/>
        <v>-6.6302482726321443E-8</v>
      </c>
      <c r="AD33" s="83">
        <f t="shared" si="20"/>
        <v>65.216594909205057</v>
      </c>
      <c r="AE33" s="150">
        <f t="shared" si="21"/>
        <v>65.21659436949696</v>
      </c>
      <c r="AF33" s="1">
        <f t="shared" si="12"/>
        <v>-0.14786523202206336</v>
      </c>
      <c r="AG33" s="150">
        <f t="shared" si="22"/>
        <v>65.216590585255616</v>
      </c>
      <c r="AH33" s="53">
        <f t="shared" si="23"/>
        <v>-43.239494402769196</v>
      </c>
      <c r="AI33" s="150">
        <f t="shared" si="24"/>
        <v>-43.239495802815412</v>
      </c>
      <c r="AJ33" s="153">
        <v>-43.239495802714004</v>
      </c>
      <c r="AK33" s="152">
        <f t="shared" si="25"/>
        <v>2.3452351172181807E-12</v>
      </c>
    </row>
    <row r="34" spans="2:37" x14ac:dyDescent="0.25">
      <c r="B34" s="33" t="s">
        <v>20</v>
      </c>
      <c r="C34" s="27" t="s">
        <v>54</v>
      </c>
      <c r="D34" s="45" t="s">
        <v>104</v>
      </c>
      <c r="E34" s="35">
        <v>41000</v>
      </c>
      <c r="F34" s="35">
        <v>41090</v>
      </c>
      <c r="G34" s="49">
        <v>2184</v>
      </c>
      <c r="H34" s="51">
        <v>0</v>
      </c>
      <c r="I34" s="51">
        <f t="shared" si="5"/>
        <v>2184</v>
      </c>
      <c r="J34" s="14">
        <v>37.281135288404997</v>
      </c>
      <c r="K34" s="36">
        <v>335</v>
      </c>
      <c r="L34" s="14">
        <v>320.85834534995399</v>
      </c>
      <c r="M34" s="32">
        <v>0.42318232529628602</v>
      </c>
      <c r="N34" s="54">
        <v>0.50718795256467097</v>
      </c>
      <c r="P34" s="51">
        <f t="shared" si="6"/>
        <v>0</v>
      </c>
      <c r="Q34" s="51">
        <f t="shared" si="7"/>
        <v>2184</v>
      </c>
      <c r="R34" s="51">
        <f t="shared" si="8"/>
        <v>2184</v>
      </c>
      <c r="S34" s="32">
        <f t="shared" si="2"/>
        <v>1</v>
      </c>
      <c r="T34" s="32">
        <f t="shared" si="3"/>
        <v>335</v>
      </c>
      <c r="U34" s="39">
        <v>3.4116635447532739</v>
      </c>
      <c r="V34" s="150">
        <f t="shared" si="9"/>
        <v>3.4116635447532739E-2</v>
      </c>
      <c r="W34" s="150">
        <f t="shared" si="4"/>
        <v>3.4116735447532742E-2</v>
      </c>
      <c r="X34" s="150">
        <f t="shared" si="10"/>
        <v>0.66301369863013704</v>
      </c>
      <c r="Y34" s="150">
        <f t="shared" si="11"/>
        <v>0.66301368863013699</v>
      </c>
      <c r="Z34" s="16">
        <f t="shared" si="19"/>
        <v>37.281135288535488</v>
      </c>
      <c r="AA34" s="18">
        <f t="shared" si="16"/>
        <v>-3.500200129735731E-12</v>
      </c>
      <c r="AB34" s="32">
        <f t="shared" si="17"/>
        <v>0.50718791893741433</v>
      </c>
      <c r="AC34" s="18">
        <f t="shared" si="18"/>
        <v>-6.6301371060006886E-8</v>
      </c>
      <c r="AD34" s="83">
        <f t="shared" si="20"/>
        <v>37.281135288535488</v>
      </c>
      <c r="AE34" s="150">
        <f t="shared" si="21"/>
        <v>37.281134976426195</v>
      </c>
      <c r="AF34" s="1">
        <f t="shared" si="12"/>
        <v>-8.550939536353451E-2</v>
      </c>
      <c r="AG34" s="150">
        <f t="shared" si="22"/>
        <v>37.281132816745234</v>
      </c>
      <c r="AH34" s="53">
        <f t="shared" si="23"/>
        <v>-24.717902533666347</v>
      </c>
      <c r="AI34" s="150">
        <f t="shared" si="24"/>
        <v>-24.717903396782436</v>
      </c>
      <c r="AJ34" s="153">
        <v>-24.717903396696101</v>
      </c>
      <c r="AK34" s="152">
        <f t="shared" si="25"/>
        <v>3.4927616354707425E-12</v>
      </c>
    </row>
    <row r="35" spans="2:37" x14ac:dyDescent="0.25">
      <c r="B35" s="33" t="s">
        <v>20</v>
      </c>
      <c r="C35" s="27" t="s">
        <v>56</v>
      </c>
      <c r="D35" s="45" t="s">
        <v>105</v>
      </c>
      <c r="E35" s="35">
        <v>41000</v>
      </c>
      <c r="F35" s="35">
        <v>41090</v>
      </c>
      <c r="G35" s="49">
        <v>2184</v>
      </c>
      <c r="H35" s="51">
        <v>0</v>
      </c>
      <c r="I35" s="51">
        <f t="shared" si="5"/>
        <v>2184</v>
      </c>
      <c r="J35" s="14">
        <v>51.106499286906498</v>
      </c>
      <c r="K35" s="36">
        <v>335</v>
      </c>
      <c r="L35" s="14">
        <v>320.85834534995399</v>
      </c>
      <c r="M35" s="32">
        <v>0.42318232529628602</v>
      </c>
      <c r="N35" s="54">
        <v>-0.470446160318786</v>
      </c>
      <c r="P35" s="51">
        <f t="shared" si="6"/>
        <v>0</v>
      </c>
      <c r="Q35" s="51">
        <f t="shared" si="7"/>
        <v>2184</v>
      </c>
      <c r="R35" s="51">
        <f t="shared" si="8"/>
        <v>2184</v>
      </c>
      <c r="S35" s="32">
        <f t="shared" si="2"/>
        <v>1</v>
      </c>
      <c r="T35" s="32">
        <f t="shared" si="3"/>
        <v>335</v>
      </c>
      <c r="U35" s="40">
        <v>3.4116635447532739</v>
      </c>
      <c r="V35" s="150">
        <f t="shared" si="9"/>
        <v>3.4116635447532739E-2</v>
      </c>
      <c r="W35" s="150">
        <f t="shared" si="4"/>
        <v>3.4116735447532742E-2</v>
      </c>
      <c r="X35" s="150">
        <f t="shared" si="10"/>
        <v>0.66301369863013704</v>
      </c>
      <c r="Y35" s="150">
        <f t="shared" si="11"/>
        <v>0.66301368863013699</v>
      </c>
      <c r="Z35" s="16">
        <f t="shared" si="19"/>
        <v>51.10649928703743</v>
      </c>
      <c r="AA35" s="18">
        <f t="shared" si="16"/>
        <v>-2.5619506516250112E-12</v>
      </c>
      <c r="AB35" s="32">
        <f t="shared" si="17"/>
        <v>-0.47044612912756378</v>
      </c>
      <c r="AC35" s="18">
        <f t="shared" si="18"/>
        <v>-6.6301364176624134E-8</v>
      </c>
      <c r="AD35" s="83">
        <f t="shared" si="20"/>
        <v>51.10649928703743</v>
      </c>
      <c r="AE35" s="150">
        <f t="shared" si="21"/>
        <v>51.106498979644911</v>
      </c>
      <c r="AF35" s="1">
        <f t="shared" si="12"/>
        <v>-8.4217128369968974E-2</v>
      </c>
      <c r="AG35" s="150">
        <f t="shared" si="22"/>
        <v>51.106495898606632</v>
      </c>
      <c r="AH35" s="53">
        <f t="shared" si="23"/>
        <v>-33.88430798167974</v>
      </c>
      <c r="AI35" s="150">
        <f t="shared" si="24"/>
        <v>-33.88430911633715</v>
      </c>
      <c r="AJ35" s="153">
        <v>-33.884309116250201</v>
      </c>
      <c r="AK35" s="152">
        <f t="shared" si="25"/>
        <v>2.5659474545136618E-12</v>
      </c>
    </row>
    <row r="36" spans="2:37" x14ac:dyDescent="0.25">
      <c r="B36" s="33" t="s">
        <v>50</v>
      </c>
      <c r="C36" s="27" t="s">
        <v>54</v>
      </c>
      <c r="D36" s="45" t="s">
        <v>104</v>
      </c>
      <c r="E36" s="35">
        <v>41000</v>
      </c>
      <c r="F36" s="35">
        <v>41090</v>
      </c>
      <c r="G36" s="49">
        <v>2184</v>
      </c>
      <c r="H36" s="51">
        <v>0</v>
      </c>
      <c r="I36" s="51">
        <f t="shared" si="5"/>
        <v>2184</v>
      </c>
      <c r="J36" s="14">
        <v>17.532185711248001</v>
      </c>
      <c r="K36" s="36">
        <v>335</v>
      </c>
      <c r="L36" s="14">
        <v>318.82858452778498</v>
      </c>
      <c r="M36" s="32">
        <v>0.23769465776039</v>
      </c>
      <c r="N36" s="54">
        <v>0.42711670098575999</v>
      </c>
      <c r="P36" s="51">
        <f t="shared" si="6"/>
        <v>0</v>
      </c>
      <c r="Q36" s="51">
        <f t="shared" si="7"/>
        <v>2184</v>
      </c>
      <c r="R36" s="51">
        <f t="shared" si="8"/>
        <v>2184</v>
      </c>
      <c r="S36" s="32">
        <f t="shared" si="2"/>
        <v>1</v>
      </c>
      <c r="T36" s="32">
        <f t="shared" si="3"/>
        <v>335</v>
      </c>
      <c r="U36" s="40">
        <v>3.4116635447532739</v>
      </c>
      <c r="V36" s="150">
        <f t="shared" si="9"/>
        <v>3.4116635447532739E-2</v>
      </c>
      <c r="W36" s="150">
        <f t="shared" si="4"/>
        <v>3.4116735447532742E-2</v>
      </c>
      <c r="X36" s="150">
        <f t="shared" si="10"/>
        <v>0.66301369863013704</v>
      </c>
      <c r="Y36" s="150">
        <f t="shared" si="11"/>
        <v>0.66301368863013699</v>
      </c>
      <c r="Z36" s="16">
        <f t="shared" si="19"/>
        <v>17.532185712411927</v>
      </c>
      <c r="AA36" s="18">
        <f t="shared" si="16"/>
        <v>-6.6387895181208023E-11</v>
      </c>
      <c r="AB36" s="32">
        <f t="shared" si="17"/>
        <v>0.42711667266727887</v>
      </c>
      <c r="AC36" s="18">
        <f t="shared" si="18"/>
        <v>-6.630150739539431E-8</v>
      </c>
      <c r="AD36" s="83">
        <f t="shared" si="20"/>
        <v>17.532185712411927</v>
      </c>
      <c r="AE36" s="150">
        <f t="shared" si="21"/>
        <v>17.532185539171241</v>
      </c>
      <c r="AF36" s="1">
        <f t="shared" si="12"/>
        <v>-4.7463201588171827E-2</v>
      </c>
      <c r="AG36" s="150">
        <f t="shared" si="22"/>
        <v>17.532184550004036</v>
      </c>
      <c r="AH36" s="53">
        <f t="shared" si="23"/>
        <v>-11.624078908312185</v>
      </c>
      <c r="AI36" s="150">
        <f t="shared" si="24"/>
        <v>-11.624079294256676</v>
      </c>
      <c r="AJ36" s="153">
        <v>-11.624079293485201</v>
      </c>
      <c r="AK36" s="152">
        <f t="shared" si="25"/>
        <v>6.6368688322882008E-11</v>
      </c>
    </row>
    <row r="37" spans="2:37" x14ac:dyDescent="0.25">
      <c r="B37" s="33" t="s">
        <v>50</v>
      </c>
      <c r="C37" s="27" t="s">
        <v>56</v>
      </c>
      <c r="D37" s="45" t="s">
        <v>105</v>
      </c>
      <c r="E37" s="35">
        <v>41000</v>
      </c>
      <c r="F37" s="35">
        <v>41090</v>
      </c>
      <c r="G37" s="49">
        <v>2184</v>
      </c>
      <c r="H37" s="51">
        <v>0</v>
      </c>
      <c r="I37" s="51">
        <f t="shared" si="5"/>
        <v>2184</v>
      </c>
      <c r="J37" s="14">
        <v>33.341913130496401</v>
      </c>
      <c r="K37" s="36">
        <v>335</v>
      </c>
      <c r="L37" s="14">
        <v>318.82858452778498</v>
      </c>
      <c r="M37" s="32">
        <v>0.23769465776039</v>
      </c>
      <c r="N37" s="54">
        <v>-0.55051741189769698</v>
      </c>
      <c r="P37" s="51">
        <f t="shared" si="6"/>
        <v>0</v>
      </c>
      <c r="Q37" s="51">
        <f t="shared" si="7"/>
        <v>2184</v>
      </c>
      <c r="R37" s="51">
        <f t="shared" si="8"/>
        <v>2184</v>
      </c>
      <c r="S37" s="32">
        <f t="shared" si="2"/>
        <v>1</v>
      </c>
      <c r="T37" s="32">
        <f t="shared" si="3"/>
        <v>335</v>
      </c>
      <c r="U37" s="40">
        <v>3.4116635447532739</v>
      </c>
      <c r="V37" s="150">
        <f t="shared" si="9"/>
        <v>3.4116635447532739E-2</v>
      </c>
      <c r="W37" s="150">
        <f t="shared" si="4"/>
        <v>3.4116735447532742E-2</v>
      </c>
      <c r="X37" s="150">
        <f t="shared" si="10"/>
        <v>0.66301369863013704</v>
      </c>
      <c r="Y37" s="150">
        <f t="shared" si="11"/>
        <v>0.66301368863013699</v>
      </c>
      <c r="Z37" s="16">
        <f t="shared" si="19"/>
        <v>33.341913131660675</v>
      </c>
      <c r="AA37" s="18">
        <f t="shared" si="16"/>
        <v>-3.4919178659720274E-11</v>
      </c>
      <c r="AB37" s="32">
        <f t="shared" si="17"/>
        <v>-0.55051737539769929</v>
      </c>
      <c r="AC37" s="18">
        <f t="shared" si="18"/>
        <v>-6.6301259371570609E-8</v>
      </c>
      <c r="AD37" s="83">
        <f t="shared" si="20"/>
        <v>33.341913131660675</v>
      </c>
      <c r="AE37" s="150">
        <f t="shared" si="21"/>
        <v>33.341912963813741</v>
      </c>
      <c r="AF37" s="1">
        <f t="shared" si="12"/>
        <v>-4.5985461526956213E-2</v>
      </c>
      <c r="AG37" s="150">
        <f t="shared" si="22"/>
        <v>33.341910921046235</v>
      </c>
      <c r="AH37" s="53">
        <f t="shared" si="23"/>
        <v>-22.106144399458572</v>
      </c>
      <c r="AI37" s="150">
        <f t="shared" si="24"/>
        <v>-22.106145144827078</v>
      </c>
      <c r="AJ37" s="153">
        <v>-22.106145144054899</v>
      </c>
      <c r="AK37" s="152">
        <f t="shared" si="25"/>
        <v>3.493050293457145E-11</v>
      </c>
    </row>
    <row r="38" spans="2:37" x14ac:dyDescent="0.25">
      <c r="B38" s="33" t="s">
        <v>20</v>
      </c>
      <c r="C38" s="27" t="s">
        <v>54</v>
      </c>
      <c r="D38" s="45" t="s">
        <v>106</v>
      </c>
      <c r="E38" s="35">
        <v>41061</v>
      </c>
      <c r="F38" s="35">
        <v>41090</v>
      </c>
      <c r="G38" s="49">
        <v>252</v>
      </c>
      <c r="H38" s="51">
        <v>0</v>
      </c>
      <c r="I38" s="51">
        <f t="shared" si="5"/>
        <v>252</v>
      </c>
      <c r="J38" s="14">
        <v>91.172918332715199</v>
      </c>
      <c r="K38" s="36">
        <v>335</v>
      </c>
      <c r="L38" s="14">
        <v>351.36631207750401</v>
      </c>
      <c r="M38" s="32">
        <v>0.77364060798591505</v>
      </c>
      <c r="N38" s="54">
        <v>0.63740464064067803</v>
      </c>
      <c r="P38" s="51">
        <f t="shared" si="6"/>
        <v>0</v>
      </c>
      <c r="Q38" s="51">
        <f t="shared" si="7"/>
        <v>252</v>
      </c>
      <c r="R38" s="51">
        <f t="shared" si="8"/>
        <v>252</v>
      </c>
      <c r="S38" s="32">
        <f t="shared" si="2"/>
        <v>1</v>
      </c>
      <c r="T38" s="32">
        <f t="shared" si="3"/>
        <v>335</v>
      </c>
      <c r="U38" s="38">
        <v>3.4116635447532739</v>
      </c>
      <c r="V38" s="150">
        <f t="shared" si="9"/>
        <v>3.4116635447532739E-2</v>
      </c>
      <c r="W38" s="150">
        <f t="shared" si="4"/>
        <v>3.4116735447532742E-2</v>
      </c>
      <c r="X38" s="150">
        <f t="shared" si="10"/>
        <v>0.66301369863013704</v>
      </c>
      <c r="Y38" s="150">
        <f t="shared" si="11"/>
        <v>0.66301368863013699</v>
      </c>
      <c r="Z38" s="16">
        <f t="shared" si="19"/>
        <v>91.172918332766343</v>
      </c>
      <c r="AA38" s="18">
        <f t="shared" si="16"/>
        <v>-5.609956943430916E-13</v>
      </c>
      <c r="AB38" s="32">
        <f t="shared" si="17"/>
        <v>0.63740459838000652</v>
      </c>
      <c r="AC38" s="18">
        <f t="shared" si="18"/>
        <v>-6.630116700101496E-8</v>
      </c>
      <c r="AD38" s="83">
        <f t="shared" si="20"/>
        <v>91.172918332766343</v>
      </c>
      <c r="AE38" s="150">
        <f t="shared" si="21"/>
        <v>91.172917760687994</v>
      </c>
      <c r="AF38" s="1">
        <f t="shared" si="12"/>
        <v>-0.1567337942841022</v>
      </c>
      <c r="AG38" s="150">
        <f t="shared" si="22"/>
        <v>91.172912287877153</v>
      </c>
      <c r="AH38" s="53">
        <f t="shared" si="23"/>
        <v>-60.448891900932722</v>
      </c>
      <c r="AI38" s="150">
        <f t="shared" si="24"/>
        <v>-60.448893798710841</v>
      </c>
      <c r="AJ38" s="153">
        <v>-60.4488937986644</v>
      </c>
      <c r="AK38" s="152">
        <f t="shared" si="25"/>
        <v>7.6827433304060833E-13</v>
      </c>
    </row>
    <row r="39" spans="2:37" x14ac:dyDescent="0.25">
      <c r="B39" s="33" t="s">
        <v>20</v>
      </c>
      <c r="C39" s="27" t="s">
        <v>56</v>
      </c>
      <c r="D39" s="45" t="s">
        <v>107</v>
      </c>
      <c r="E39" s="35">
        <v>41061</v>
      </c>
      <c r="F39" s="35">
        <v>41090</v>
      </c>
      <c r="G39" s="49">
        <v>252</v>
      </c>
      <c r="H39" s="51">
        <v>0</v>
      </c>
      <c r="I39" s="51">
        <f t="shared" si="5"/>
        <v>252</v>
      </c>
      <c r="J39" s="14">
        <v>75.172653343650296</v>
      </c>
      <c r="K39" s="36">
        <v>335</v>
      </c>
      <c r="L39" s="14">
        <v>351.36631207750401</v>
      </c>
      <c r="M39" s="32">
        <v>0.77364060798591505</v>
      </c>
      <c r="N39" s="54">
        <v>-0.340229472242778</v>
      </c>
      <c r="P39" s="51">
        <f t="shared" si="6"/>
        <v>0</v>
      </c>
      <c r="Q39" s="51">
        <f t="shared" si="7"/>
        <v>252</v>
      </c>
      <c r="R39" s="51">
        <f t="shared" si="8"/>
        <v>252</v>
      </c>
      <c r="S39" s="32">
        <f t="shared" si="2"/>
        <v>1</v>
      </c>
      <c r="T39" s="32">
        <f t="shared" si="3"/>
        <v>335</v>
      </c>
      <c r="U39" s="38">
        <v>3.4116635447532739</v>
      </c>
      <c r="V39" s="150">
        <f t="shared" si="9"/>
        <v>3.4116635447532739E-2</v>
      </c>
      <c r="W39" s="150">
        <f t="shared" si="4"/>
        <v>3.4116735447532742E-2</v>
      </c>
      <c r="X39" s="150">
        <f t="shared" si="10"/>
        <v>0.66301369863013704</v>
      </c>
      <c r="Y39" s="150">
        <f t="shared" si="11"/>
        <v>0.66301368863013699</v>
      </c>
      <c r="Z39" s="16">
        <f t="shared" si="19"/>
        <v>75.17265334370191</v>
      </c>
      <c r="AA39" s="18">
        <f t="shared" si="16"/>
        <v>-6.865619184281968E-13</v>
      </c>
      <c r="AB39" s="32">
        <f t="shared" si="17"/>
        <v>-0.3402294496849716</v>
      </c>
      <c r="AC39" s="18">
        <f t="shared" si="18"/>
        <v>-6.6301741097340994E-8</v>
      </c>
      <c r="AD39" s="83">
        <f t="shared" si="20"/>
        <v>75.17265334370191</v>
      </c>
      <c r="AE39" s="150">
        <f t="shared" si="21"/>
        <v>75.172652766164788</v>
      </c>
      <c r="AF39" s="1">
        <f t="shared" si="12"/>
        <v>-0.15822934852771489</v>
      </c>
      <c r="AG39" s="150">
        <f t="shared" si="22"/>
        <v>75.172648359652172</v>
      </c>
      <c r="AH39" s="53">
        <f t="shared" si="23"/>
        <v>-49.840497382547255</v>
      </c>
      <c r="AI39" s="150">
        <f t="shared" si="24"/>
        <v>-49.840498929248945</v>
      </c>
      <c r="AJ39" s="153">
        <v>-49.840498929221397</v>
      </c>
      <c r="AK39" s="152">
        <f t="shared" si="25"/>
        <v>5.5266902165840293E-13</v>
      </c>
    </row>
    <row r="40" spans="2:37" x14ac:dyDescent="0.25">
      <c r="B40" s="33" t="s">
        <v>20</v>
      </c>
      <c r="C40" s="27" t="s">
        <v>54</v>
      </c>
      <c r="D40" s="45" t="s">
        <v>108</v>
      </c>
      <c r="E40" s="35">
        <v>41061</v>
      </c>
      <c r="F40" s="35">
        <v>41090</v>
      </c>
      <c r="G40" s="49">
        <v>720</v>
      </c>
      <c r="H40" s="51">
        <v>0</v>
      </c>
      <c r="I40" s="51">
        <f t="shared" si="5"/>
        <v>720</v>
      </c>
      <c r="J40" s="14">
        <v>39.017311424939798</v>
      </c>
      <c r="K40" s="36">
        <v>335</v>
      </c>
      <c r="L40" s="14">
        <v>315.306140076688</v>
      </c>
      <c r="M40" s="32">
        <v>0.46810448361909401</v>
      </c>
      <c r="N40" s="54">
        <v>0.50114915935355098</v>
      </c>
      <c r="P40" s="51">
        <f t="shared" si="6"/>
        <v>0</v>
      </c>
      <c r="Q40" s="51">
        <f t="shared" si="7"/>
        <v>720</v>
      </c>
      <c r="R40" s="51">
        <f t="shared" si="8"/>
        <v>720</v>
      </c>
      <c r="S40" s="32">
        <f t="shared" si="2"/>
        <v>1</v>
      </c>
      <c r="T40" s="32">
        <f t="shared" si="3"/>
        <v>335</v>
      </c>
      <c r="U40" s="38">
        <v>3.4116635447532739</v>
      </c>
      <c r="V40" s="150">
        <f t="shared" si="9"/>
        <v>3.4116635447532739E-2</v>
      </c>
      <c r="W40" s="150">
        <f t="shared" si="4"/>
        <v>3.4116735447532742E-2</v>
      </c>
      <c r="X40" s="150">
        <f t="shared" si="10"/>
        <v>0.66301369863013704</v>
      </c>
      <c r="Y40" s="150">
        <f t="shared" si="11"/>
        <v>0.66301368863013699</v>
      </c>
      <c r="Z40" s="16">
        <f t="shared" si="19"/>
        <v>39.017311426003204</v>
      </c>
      <c r="AA40" s="18">
        <f t="shared" si="16"/>
        <v>-2.7254754009220505E-11</v>
      </c>
      <c r="AB40" s="32">
        <f t="shared" si="17"/>
        <v>0.50114912612667506</v>
      </c>
      <c r="AC40" s="18">
        <f t="shared" si="18"/>
        <v>-6.6301370171828466E-8</v>
      </c>
      <c r="AD40" s="83">
        <f t="shared" si="20"/>
        <v>39.017311426003204</v>
      </c>
      <c r="AE40" s="150">
        <f t="shared" si="21"/>
        <v>39.017311086006828</v>
      </c>
      <c r="AF40" s="1">
        <f t="shared" si="12"/>
        <v>-9.3149692038921733E-2</v>
      </c>
      <c r="AG40" s="150">
        <f t="shared" si="22"/>
        <v>39.017308839102093</v>
      </c>
      <c r="AH40" s="53">
        <f t="shared" si="23"/>
        <v>-25.869011111012696</v>
      </c>
      <c r="AI40" s="150">
        <f t="shared" si="24"/>
        <v>-25.869011959158289</v>
      </c>
      <c r="AJ40" s="153">
        <v>-25.8690119584444</v>
      </c>
      <c r="AK40" s="152">
        <f t="shared" si="25"/>
        <v>2.7596369633897666E-11</v>
      </c>
    </row>
    <row r="41" spans="2:37" x14ac:dyDescent="0.25">
      <c r="B41" s="33" t="s">
        <v>20</v>
      </c>
      <c r="C41" s="27" t="s">
        <v>56</v>
      </c>
      <c r="D41" s="45" t="s">
        <v>109</v>
      </c>
      <c r="E41" s="35">
        <v>41061</v>
      </c>
      <c r="F41" s="35">
        <v>41090</v>
      </c>
      <c r="G41" s="49">
        <v>720</v>
      </c>
      <c r="H41" s="51">
        <v>0</v>
      </c>
      <c r="I41" s="51">
        <f t="shared" si="5"/>
        <v>720</v>
      </c>
      <c r="J41" s="14">
        <v>58.270700700317803</v>
      </c>
      <c r="K41" s="36">
        <v>335</v>
      </c>
      <c r="L41" s="14">
        <v>315.306140076688</v>
      </c>
      <c r="M41" s="32">
        <v>0.46810448361909401</v>
      </c>
      <c r="N41" s="54">
        <v>-0.476484953529906</v>
      </c>
      <c r="P41" s="51">
        <f t="shared" si="6"/>
        <v>0</v>
      </c>
      <c r="Q41" s="51">
        <f t="shared" si="7"/>
        <v>720</v>
      </c>
      <c r="R41" s="51">
        <f t="shared" si="8"/>
        <v>720</v>
      </c>
      <c r="S41" s="32">
        <f t="shared" si="2"/>
        <v>1</v>
      </c>
      <c r="T41" s="32">
        <f t="shared" si="3"/>
        <v>335</v>
      </c>
      <c r="U41" s="38">
        <v>3.4116635447532739</v>
      </c>
      <c r="V41" s="150">
        <f t="shared" si="9"/>
        <v>3.4116635447532739E-2</v>
      </c>
      <c r="W41" s="150">
        <f t="shared" si="4"/>
        <v>3.4116735447532742E-2</v>
      </c>
      <c r="X41" s="150">
        <f t="shared" si="10"/>
        <v>0.66301369863013704</v>
      </c>
      <c r="Y41" s="150">
        <f t="shared" si="11"/>
        <v>0.66301368863013699</v>
      </c>
      <c r="Z41" s="16">
        <f t="shared" si="19"/>
        <v>58.270700701381401</v>
      </c>
      <c r="AA41" s="18">
        <f t="shared" si="16"/>
        <v>-1.8252732658652349E-11</v>
      </c>
      <c r="AB41" s="32">
        <f t="shared" si="17"/>
        <v>-0.47648492193830305</v>
      </c>
      <c r="AC41" s="18">
        <f t="shared" si="18"/>
        <v>-6.6301365286847158E-8</v>
      </c>
      <c r="AD41" s="83">
        <f t="shared" si="20"/>
        <v>58.270700701381401</v>
      </c>
      <c r="AE41" s="150">
        <f t="shared" si="21"/>
        <v>58.270700367953609</v>
      </c>
      <c r="AF41" s="1">
        <f t="shared" si="12"/>
        <v>-9.1350080011791651E-2</v>
      </c>
      <c r="AG41" s="150">
        <f t="shared" si="22"/>
        <v>58.270696837954247</v>
      </c>
      <c r="AH41" s="53">
        <f t="shared" si="23"/>
        <v>-38.634271533055653</v>
      </c>
      <c r="AI41" s="150">
        <f t="shared" si="24"/>
        <v>-38.634272793792604</v>
      </c>
      <c r="AJ41" s="153">
        <v>-38.634272793095803</v>
      </c>
      <c r="AK41" s="152">
        <f t="shared" si="25"/>
        <v>1.8035795079640593E-11</v>
      </c>
    </row>
    <row r="42" spans="2:37" x14ac:dyDescent="0.25">
      <c r="B42" s="33" t="s">
        <v>50</v>
      </c>
      <c r="C42" s="27" t="s">
        <v>54</v>
      </c>
      <c r="D42" s="45" t="s">
        <v>108</v>
      </c>
      <c r="E42" s="35">
        <v>41061</v>
      </c>
      <c r="F42" s="35">
        <v>41090</v>
      </c>
      <c r="G42" s="49">
        <v>720</v>
      </c>
      <c r="H42" s="51">
        <v>0</v>
      </c>
      <c r="I42" s="51">
        <f t="shared" si="5"/>
        <v>720</v>
      </c>
      <c r="J42" s="14">
        <v>20.134010579330202</v>
      </c>
      <c r="K42" s="36">
        <v>335</v>
      </c>
      <c r="L42" s="14">
        <v>318.08876765815103</v>
      </c>
      <c r="M42" s="32">
        <v>0.26688940188862997</v>
      </c>
      <c r="N42" s="54">
        <v>0.43837141002839097</v>
      </c>
      <c r="P42" s="51">
        <f t="shared" si="6"/>
        <v>0</v>
      </c>
      <c r="Q42" s="51">
        <f t="shared" si="7"/>
        <v>720</v>
      </c>
      <c r="R42" s="51">
        <f t="shared" si="8"/>
        <v>720</v>
      </c>
      <c r="S42" s="32">
        <f t="shared" si="2"/>
        <v>1</v>
      </c>
      <c r="T42" s="32">
        <f t="shared" si="3"/>
        <v>335</v>
      </c>
      <c r="U42" s="38">
        <v>3.4116635447532739</v>
      </c>
      <c r="V42" s="150">
        <f t="shared" si="9"/>
        <v>3.4116635447532739E-2</v>
      </c>
      <c r="W42" s="150">
        <f t="shared" si="4"/>
        <v>3.4116735447532742E-2</v>
      </c>
      <c r="X42" s="150">
        <f t="shared" si="10"/>
        <v>0.66301369863013704</v>
      </c>
      <c r="Y42" s="150">
        <f t="shared" si="11"/>
        <v>0.66301368863013699</v>
      </c>
      <c r="Z42" s="16">
        <f t="shared" si="19"/>
        <v>20.13401058029817</v>
      </c>
      <c r="AA42" s="18">
        <f t="shared" si="16"/>
        <v>-4.8076320702250541E-11</v>
      </c>
      <c r="AB42" s="32">
        <f t="shared" si="17"/>
        <v>0.43837138096376482</v>
      </c>
      <c r="AC42" s="18">
        <f t="shared" si="18"/>
        <v>-6.6301372503296818E-8</v>
      </c>
      <c r="AD42" s="83">
        <f t="shared" si="20"/>
        <v>20.13401058029817</v>
      </c>
      <c r="AE42" s="150">
        <f t="shared" si="21"/>
        <v>20.134010385552735</v>
      </c>
      <c r="AF42" s="1">
        <f t="shared" si="12"/>
        <v>-5.3354913911664893E-2</v>
      </c>
      <c r="AG42" s="150">
        <f t="shared" si="22"/>
        <v>20.13400924538573</v>
      </c>
      <c r="AH42" s="53">
        <f t="shared" si="23"/>
        <v>-13.349124401429435</v>
      </c>
      <c r="AI42" s="150">
        <f t="shared" si="24"/>
        <v>-13.349124823101802</v>
      </c>
      <c r="AJ42" s="153">
        <v>-13.3491248224522</v>
      </c>
      <c r="AK42" s="152">
        <f t="shared" si="25"/>
        <v>4.8662407436950161E-11</v>
      </c>
    </row>
    <row r="43" spans="2:37" x14ac:dyDescent="0.25">
      <c r="B43" s="33" t="s">
        <v>50</v>
      </c>
      <c r="C43" s="27" t="s">
        <v>56</v>
      </c>
      <c r="D43" s="45" t="s">
        <v>109</v>
      </c>
      <c r="E43" s="35">
        <v>41061</v>
      </c>
      <c r="F43" s="35">
        <v>41090</v>
      </c>
      <c r="G43" s="49">
        <v>720</v>
      </c>
      <c r="H43" s="51">
        <v>0</v>
      </c>
      <c r="I43" s="51">
        <f t="shared" si="5"/>
        <v>720</v>
      </c>
      <c r="J43" s="14">
        <v>36.667008207620199</v>
      </c>
      <c r="K43" s="36">
        <v>335</v>
      </c>
      <c r="L43" s="14">
        <v>318.08876765815103</v>
      </c>
      <c r="M43" s="32">
        <v>0.26688940188862997</v>
      </c>
      <c r="N43" s="54">
        <v>-0.53926270285506595</v>
      </c>
      <c r="P43" s="51">
        <f t="shared" si="6"/>
        <v>0</v>
      </c>
      <c r="Q43" s="51">
        <f t="shared" si="7"/>
        <v>720</v>
      </c>
      <c r="R43" s="51">
        <f t="shared" si="8"/>
        <v>720</v>
      </c>
      <c r="S43" s="32">
        <f t="shared" si="2"/>
        <v>1</v>
      </c>
      <c r="T43" s="32">
        <f t="shared" si="3"/>
        <v>335</v>
      </c>
      <c r="U43" s="38">
        <v>3.4116635447532739</v>
      </c>
      <c r="V43" s="150">
        <f t="shared" si="9"/>
        <v>3.4116635447532739E-2</v>
      </c>
      <c r="W43" s="150">
        <f t="shared" si="4"/>
        <v>3.4116735447532742E-2</v>
      </c>
      <c r="X43" s="150">
        <f t="shared" si="10"/>
        <v>0.66301369863013704</v>
      </c>
      <c r="Y43" s="150">
        <f t="shared" si="11"/>
        <v>0.66301368863013699</v>
      </c>
      <c r="Z43" s="16">
        <f t="shared" si="19"/>
        <v>36.667008208587731</v>
      </c>
      <c r="AA43" s="18">
        <f t="shared" si="16"/>
        <v>-2.6387003693173483E-11</v>
      </c>
      <c r="AB43" s="32">
        <f t="shared" si="17"/>
        <v>-0.53926266710121329</v>
      </c>
      <c r="AC43" s="18">
        <f t="shared" si="18"/>
        <v>-6.6301363843557226E-8</v>
      </c>
      <c r="AD43" s="83">
        <f t="shared" si="20"/>
        <v>36.667008208587731</v>
      </c>
      <c r="AE43" s="150">
        <f t="shared" si="21"/>
        <v>36.667008019482772</v>
      </c>
      <c r="AF43" s="1">
        <f t="shared" si="12"/>
        <v>-5.1809577875969369E-2</v>
      </c>
      <c r="AG43" s="150">
        <f t="shared" si="22"/>
        <v>36.667005777514937</v>
      </c>
      <c r="AH43" s="53">
        <f t="shared" si="23"/>
        <v>-24.310727937404408</v>
      </c>
      <c r="AI43" s="150">
        <f t="shared" si="24"/>
        <v>-24.310728730077347</v>
      </c>
      <c r="AJ43" s="153">
        <v>-24.310728729445401</v>
      </c>
      <c r="AK43" s="152">
        <f t="shared" si="25"/>
        <v>2.599453985396849E-11</v>
      </c>
    </row>
    <row r="44" spans="2:37" x14ac:dyDescent="0.25">
      <c r="B44" s="33" t="s">
        <v>1</v>
      </c>
      <c r="C44" s="27" t="s">
        <v>54</v>
      </c>
      <c r="E44" s="35"/>
      <c r="F44" s="35"/>
      <c r="G44" s="48"/>
      <c r="H44" s="51">
        <v>0</v>
      </c>
      <c r="I44" s="51">
        <f t="shared" si="5"/>
        <v>0</v>
      </c>
      <c r="Z44" s="19"/>
      <c r="AD44" s="83"/>
      <c r="AE44" s="150"/>
      <c r="AF44" s="1"/>
      <c r="AG44" s="150" t="e">
        <f t="shared" si="22"/>
        <v>#VALUE!</v>
      </c>
      <c r="AH44" s="150" t="e">
        <f t="shared" si="23"/>
        <v>#VALUE!</v>
      </c>
      <c r="AI44" s="150">
        <f t="shared" si="24"/>
        <v>0</v>
      </c>
      <c r="AJ44" s="153">
        <v>0</v>
      </c>
      <c r="AK44" s="152" t="e">
        <f t="shared" si="25"/>
        <v>#DIV/0!</v>
      </c>
    </row>
    <row r="45" spans="2:37" x14ac:dyDescent="0.25">
      <c r="C45" s="27" t="s">
        <v>54</v>
      </c>
      <c r="E45" s="35"/>
      <c r="F45" s="35"/>
      <c r="G45" s="48"/>
      <c r="H45" s="51">
        <v>0</v>
      </c>
      <c r="I45" s="51">
        <f t="shared" si="5"/>
        <v>0</v>
      </c>
      <c r="Z45" s="19"/>
      <c r="AD45" s="83"/>
      <c r="AE45" s="150"/>
      <c r="AF45" s="1"/>
      <c r="AG45" s="150" t="e">
        <f t="shared" si="22"/>
        <v>#VALUE!</v>
      </c>
      <c r="AH45" s="150" t="e">
        <f t="shared" si="23"/>
        <v>#VALUE!</v>
      </c>
      <c r="AI45" s="150">
        <f t="shared" si="24"/>
        <v>0</v>
      </c>
      <c r="AJ45" s="153">
        <v>0</v>
      </c>
      <c r="AK45" s="152" t="e">
        <f t="shared" si="25"/>
        <v>#DIV/0!</v>
      </c>
    </row>
    <row r="46" spans="2:37" x14ac:dyDescent="0.25">
      <c r="H46" s="51">
        <v>0</v>
      </c>
      <c r="I46" s="51">
        <f t="shared" si="5"/>
        <v>0</v>
      </c>
      <c r="L46" s="32">
        <v>320.85834534995234</v>
      </c>
      <c r="AD46" s="83"/>
      <c r="AE46" s="150"/>
      <c r="AF46" s="1"/>
      <c r="AG46" s="150" t="e">
        <f t="shared" si="22"/>
        <v>#VALUE!</v>
      </c>
      <c r="AH46" s="150" t="e">
        <f t="shared" si="23"/>
        <v>#VALUE!</v>
      </c>
      <c r="AI46" s="150">
        <f t="shared" si="24"/>
        <v>0</v>
      </c>
      <c r="AJ46" s="153">
        <v>0</v>
      </c>
      <c r="AK46" s="152" t="e">
        <f t="shared" si="25"/>
        <v>#DIV/0!</v>
      </c>
    </row>
    <row r="47" spans="2:37" x14ac:dyDescent="0.25">
      <c r="H47" s="51">
        <v>0</v>
      </c>
      <c r="I47" s="51">
        <f t="shared" si="5"/>
        <v>0</v>
      </c>
      <c r="L47" s="32">
        <f>L46-L34</f>
        <v>-1.6484591469634324E-12</v>
      </c>
      <c r="AD47" s="83"/>
      <c r="AE47" s="150"/>
      <c r="AF47" s="1"/>
      <c r="AG47" s="150" t="e">
        <f t="shared" si="22"/>
        <v>#VALUE!</v>
      </c>
      <c r="AH47" s="150" t="e">
        <f t="shared" si="23"/>
        <v>#VALUE!</v>
      </c>
      <c r="AI47" s="150">
        <f t="shared" si="24"/>
        <v>0</v>
      </c>
      <c r="AJ47" s="153">
        <v>0</v>
      </c>
      <c r="AK47" s="152" t="e">
        <f t="shared" si="25"/>
        <v>#DIV/0!</v>
      </c>
    </row>
    <row r="48" spans="2:37" x14ac:dyDescent="0.25">
      <c r="AJ48" s="153">
        <v>0</v>
      </c>
      <c r="AK48" s="152" t="e">
        <f t="shared" si="25"/>
        <v>#DIV/0!</v>
      </c>
    </row>
    <row r="49" spans="36:37" x14ac:dyDescent="0.25">
      <c r="AJ49" s="153">
        <v>0</v>
      </c>
      <c r="AK49" s="152" t="e">
        <f t="shared" si="25"/>
        <v>#DIV/0!</v>
      </c>
    </row>
    <row r="50" spans="36:37" x14ac:dyDescent="0.25">
      <c r="AJ50" s="153">
        <v>0</v>
      </c>
      <c r="AK50" s="152" t="e">
        <f t="shared" si="25"/>
        <v>#DIV/0!</v>
      </c>
    </row>
    <row r="51" spans="36:37" x14ac:dyDescent="0.25">
      <c r="AJ51" s="153">
        <v>0</v>
      </c>
      <c r="AK51" s="152" t="e">
        <f t="shared" si="25"/>
        <v>#DIV/0!</v>
      </c>
    </row>
    <row r="52" spans="36:37" x14ac:dyDescent="0.25">
      <c r="AJ52" s="153">
        <v>0</v>
      </c>
      <c r="AK52" s="152" t="e">
        <f t="shared" si="25"/>
        <v>#DIV/0!</v>
      </c>
    </row>
    <row r="53" spans="36:37" x14ac:dyDescent="0.25">
      <c r="AJ53" s="153">
        <v>0</v>
      </c>
      <c r="AK53" s="152" t="e">
        <f t="shared" si="25"/>
        <v>#DIV/0!</v>
      </c>
    </row>
    <row r="54" spans="36:37" x14ac:dyDescent="0.25">
      <c r="AJ54" s="153">
        <v>0</v>
      </c>
      <c r="AK54" s="152" t="e">
        <f t="shared" si="25"/>
        <v>#DIV/0!</v>
      </c>
    </row>
    <row r="55" spans="36:37" x14ac:dyDescent="0.25">
      <c r="AJ55" s="153">
        <v>0</v>
      </c>
      <c r="AK55" s="152" t="e">
        <f t="shared" si="25"/>
        <v>#DIV/0!</v>
      </c>
    </row>
    <row r="56" spans="36:37" x14ac:dyDescent="0.25">
      <c r="AJ56" s="153">
        <v>0</v>
      </c>
      <c r="AK56" s="152" t="e">
        <f t="shared" si="25"/>
        <v>#DIV/0!</v>
      </c>
    </row>
    <row r="57" spans="36:37" x14ac:dyDescent="0.25">
      <c r="AJ57" s="153">
        <v>0</v>
      </c>
      <c r="AK57" s="152" t="e">
        <f t="shared" si="25"/>
        <v>#DIV/0!</v>
      </c>
    </row>
    <row r="58" spans="36:37" x14ac:dyDescent="0.25">
      <c r="AJ58" s="153">
        <v>0</v>
      </c>
      <c r="AK58" s="152" t="e">
        <f t="shared" si="25"/>
        <v>#DIV/0!</v>
      </c>
    </row>
    <row r="59" spans="36:37" x14ac:dyDescent="0.25">
      <c r="AJ59" s="153">
        <v>0</v>
      </c>
      <c r="AK59" s="152" t="e">
        <f t="shared" si="25"/>
        <v>#DIV/0!</v>
      </c>
    </row>
    <row r="60" spans="36:37" x14ac:dyDescent="0.25">
      <c r="AJ60" s="153">
        <v>0</v>
      </c>
      <c r="AK60" s="152" t="e">
        <f t="shared" si="25"/>
        <v>#DIV/0!</v>
      </c>
    </row>
    <row r="61" spans="36:37" x14ac:dyDescent="0.25">
      <c r="AJ61" s="153">
        <v>0</v>
      </c>
      <c r="AK61" s="152" t="e">
        <f t="shared" si="25"/>
        <v>#DIV/0!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volsurfIntraday</vt:lpstr>
      <vt:lpstr>NoVolSurf-EndOfDay</vt:lpstr>
      <vt:lpstr>NoVolSurf-NotEndofday</vt:lpstr>
      <vt:lpstr>Asian-Volsurf</vt:lpstr>
      <vt:lpstr>Asian</vt:lpstr>
      <vt:lpstr>Sheet3</vt:lpstr>
      <vt:lpstr>Sheet4</vt:lpstr>
      <vt:lpstr>Asian-Spread-Adhoc</vt:lpstr>
      <vt:lpstr>Asian-Spread</vt:lpstr>
      <vt:lpstr>Asian-NOK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 Install</dc:creator>
  <cp:lastModifiedBy>Daniel Watanabe</cp:lastModifiedBy>
  <dcterms:created xsi:type="dcterms:W3CDTF">2013-08-22T06:34:41Z</dcterms:created>
  <dcterms:modified xsi:type="dcterms:W3CDTF">2015-08-13T08:54:02Z</dcterms:modified>
</cp:coreProperties>
</file>