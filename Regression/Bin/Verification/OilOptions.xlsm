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33BBC38B-C2DA-FC69-06AC-9F67D96B632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TFS\Elviz\Elviz\Development\QA\Regression\Bin\Verification\"/>
    </mc:Choice>
  </mc:AlternateContent>
  <bookViews>
    <workbookView xWindow="240" yWindow="105" windowWidth="19320" windowHeight="9030" firstSheet="3" activeTab="6"/>
  </bookViews>
  <sheets>
    <sheet name="Historic settlement prices" sheetId="61" r:id="rId1"/>
    <sheet name="Asian-PosMon-USD-MtM" sheetId="34" r:id="rId2"/>
    <sheet name="Asian-PosMon-EUR-Volsurf" sheetId="36" r:id="rId3"/>
    <sheet name="Asian-PosMon-EUR-SpotFX" sheetId="37" r:id="rId4"/>
    <sheet name="American-PosMon-USD-MtM" sheetId="39" r:id="rId5"/>
    <sheet name="American-PosMon-EUR-Volsurf" sheetId="41" r:id="rId6"/>
    <sheet name="Ameri-PosMon-EUR-SpotFX" sheetId="42" r:id="rId7"/>
  </sheets>
  <functionGroups builtInGroupCount="18"/>
  <calcPr calcId="171027"/>
</workbook>
</file>

<file path=xl/calcChain.xml><?xml version="1.0" encoding="utf-8"?>
<calcChain xmlns="http://schemas.openxmlformats.org/spreadsheetml/2006/main">
  <c r="BD13" i="42" l="1"/>
  <c r="BD17" i="42"/>
  <c r="BE17" i="42" s="1"/>
  <c r="BD19" i="42"/>
  <c r="BD18" i="42"/>
  <c r="BD14" i="42"/>
  <c r="BD15" i="42"/>
  <c r="BD16" i="42"/>
  <c r="BJ19" i="42"/>
  <c r="BJ18" i="42"/>
  <c r="BJ14" i="42"/>
  <c r="BJ15" i="42"/>
  <c r="BJ16" i="42"/>
  <c r="BJ13" i="42"/>
  <c r="BG19" i="42"/>
  <c r="BG18" i="42"/>
  <c r="BG14" i="42"/>
  <c r="BG15" i="42"/>
  <c r="BG16" i="42"/>
  <c r="BG13" i="42"/>
  <c r="BC14" i="42"/>
  <c r="BC15" i="42"/>
  <c r="BC16" i="42"/>
  <c r="BC17" i="42"/>
  <c r="BC18" i="42"/>
  <c r="BC19" i="42"/>
  <c r="BC20" i="42"/>
  <c r="BC21" i="42"/>
  <c r="BC22" i="42"/>
  <c r="BC23" i="42"/>
  <c r="BC24" i="42"/>
  <c r="BC25" i="42"/>
  <c r="BC26" i="42"/>
  <c r="BC27" i="42"/>
  <c r="BC28" i="42"/>
  <c r="BC29" i="42"/>
  <c r="BC13" i="42"/>
  <c r="AW14" i="42"/>
  <c r="AW15" i="42"/>
  <c r="AW16" i="42"/>
  <c r="AW17" i="42"/>
  <c r="AW18" i="42"/>
  <c r="AW19" i="42"/>
  <c r="AW20" i="42"/>
  <c r="AW21" i="42"/>
  <c r="AW22" i="42"/>
  <c r="AW23" i="42"/>
  <c r="AW24" i="42"/>
  <c r="AW25" i="42"/>
  <c r="AW26" i="42"/>
  <c r="AW27" i="42"/>
  <c r="AW28" i="42"/>
  <c r="AW29" i="42"/>
  <c r="AW13" i="42"/>
  <c r="AX19" i="42"/>
  <c r="AY19" i="42"/>
  <c r="AZ19" i="42"/>
  <c r="BA19" i="42"/>
  <c r="BB19" i="42"/>
  <c r="BB18" i="42"/>
  <c r="BA18" i="42"/>
  <c r="AZ18" i="42"/>
  <c r="AY18" i="42"/>
  <c r="AX18" i="42"/>
  <c r="AZ14" i="42"/>
  <c r="AX16" i="42"/>
  <c r="BA14" i="42"/>
  <c r="AY16" i="42"/>
  <c r="BB15" i="42"/>
  <c r="BB14" i="42"/>
  <c r="AZ16" i="42"/>
  <c r="AX15" i="42"/>
  <c r="BA16" i="42"/>
  <c r="AY15" i="42"/>
  <c r="BB16" i="42"/>
  <c r="AZ15" i="42"/>
  <c r="AX14" i="42"/>
  <c r="BA15" i="42"/>
  <c r="AY14" i="42"/>
  <c r="BB13" i="42"/>
  <c r="BA13" i="42"/>
  <c r="AZ13" i="42"/>
  <c r="AY13" i="42"/>
  <c r="AX13" i="42"/>
  <c r="BA19" i="41" l="1"/>
  <c r="AX19" i="41"/>
  <c r="AZ19" i="41"/>
  <c r="AY19" i="41"/>
  <c r="BB19" i="41"/>
  <c r="AZ18" i="41"/>
  <c r="AY18" i="41"/>
  <c r="AX18" i="41"/>
  <c r="BB18" i="41"/>
  <c r="BA18" i="41"/>
  <c r="AZ14" i="41"/>
  <c r="AX16" i="41"/>
  <c r="BB14" i="41"/>
  <c r="AX15" i="41"/>
  <c r="AY14" i="41"/>
  <c r="BA14" i="41"/>
  <c r="AY16" i="41"/>
  <c r="AZ16" i="41"/>
  <c r="BA16" i="41"/>
  <c r="AY15" i="41"/>
  <c r="BB16" i="41"/>
  <c r="AZ15" i="41"/>
  <c r="AX14" i="41"/>
  <c r="BA15" i="41"/>
  <c r="BB15" i="41"/>
  <c r="BB13" i="41"/>
  <c r="BA13" i="41"/>
  <c r="AZ13" i="41"/>
  <c r="AY13" i="41"/>
  <c r="BJ21" i="41" l="1"/>
  <c r="BJ22" i="41"/>
  <c r="BJ23" i="41"/>
  <c r="BJ24" i="41"/>
  <c r="BJ25" i="41"/>
  <c r="BJ26" i="41"/>
  <c r="BL26" i="41" s="1"/>
  <c r="BJ27" i="41"/>
  <c r="BJ28" i="41"/>
  <c r="BL28" i="41" s="1"/>
  <c r="BJ29" i="41"/>
  <c r="BJ20" i="41"/>
  <c r="BG27" i="41"/>
  <c r="BG28" i="41"/>
  <c r="BG29" i="41"/>
  <c r="BG26" i="41"/>
  <c r="BG23" i="41"/>
  <c r="BI23" i="41" s="1"/>
  <c r="BG24" i="41"/>
  <c r="BG25" i="41"/>
  <c r="BI25" i="41" s="1"/>
  <c r="BG22" i="41"/>
  <c r="BG21" i="41"/>
  <c r="BG20" i="41"/>
  <c r="BI20" i="41" s="1"/>
  <c r="BJ19" i="41"/>
  <c r="BJ18" i="41"/>
  <c r="BJ16" i="41"/>
  <c r="BJ15" i="41"/>
  <c r="BJ14" i="41"/>
  <c r="BJ13" i="41"/>
  <c r="BG19" i="41"/>
  <c r="BI19" i="41" s="1"/>
  <c r="BG18" i="41"/>
  <c r="BI18" i="41" s="1"/>
  <c r="BG14" i="41"/>
  <c r="BG15" i="41"/>
  <c r="BG16" i="41"/>
  <c r="BG13" i="41"/>
  <c r="BD19" i="41"/>
  <c r="BD18" i="41"/>
  <c r="BD16" i="41"/>
  <c r="BD15" i="41"/>
  <c r="BD14" i="41"/>
  <c r="BD13" i="41"/>
  <c r="BC27" i="41"/>
  <c r="BI27" i="41" s="1"/>
  <c r="BC28" i="41"/>
  <c r="BC29" i="41"/>
  <c r="BC26" i="41"/>
  <c r="BC23" i="41"/>
  <c r="BL23" i="41" s="1"/>
  <c r="BC24" i="41"/>
  <c r="BC25" i="41"/>
  <c r="BC22" i="41"/>
  <c r="BL22" i="41" s="1"/>
  <c r="BC21" i="41"/>
  <c r="BL21" i="41" s="1"/>
  <c r="BC20" i="41"/>
  <c r="BC14" i="41"/>
  <c r="BC15" i="41"/>
  <c r="BC16" i="41"/>
  <c r="BC17" i="41"/>
  <c r="BC18" i="41"/>
  <c r="BC19" i="41"/>
  <c r="BC13" i="41"/>
  <c r="AW27" i="41"/>
  <c r="AW28" i="41"/>
  <c r="AW29" i="41"/>
  <c r="AW26" i="41"/>
  <c r="AW23" i="41"/>
  <c r="AW24" i="41"/>
  <c r="AW25" i="41"/>
  <c r="AW22" i="41"/>
  <c r="AW21" i="41"/>
  <c r="AW20" i="41"/>
  <c r="AW19" i="41"/>
  <c r="AW18" i="41"/>
  <c r="AW14" i="41"/>
  <c r="AW15" i="41"/>
  <c r="AW16" i="41"/>
  <c r="AW17" i="41"/>
  <c r="AW13" i="41"/>
  <c r="BK29" i="42"/>
  <c r="BH29" i="42"/>
  <c r="BJ29" i="42"/>
  <c r="BL29" i="42" s="1"/>
  <c r="AQ29" i="42"/>
  <c r="BK28" i="42"/>
  <c r="BH28" i="42"/>
  <c r="BJ28" i="42"/>
  <c r="BL28" i="42" s="1"/>
  <c r="AQ28" i="42"/>
  <c r="BK27" i="42"/>
  <c r="BH27" i="42"/>
  <c r="BG27" i="42"/>
  <c r="BI27" i="42" s="1"/>
  <c r="BJ27" i="42"/>
  <c r="BL27" i="42" s="1"/>
  <c r="AQ27" i="42"/>
  <c r="BK26" i="42"/>
  <c r="BJ26" i="42"/>
  <c r="BL26" i="42" s="1"/>
  <c r="BH26" i="42"/>
  <c r="BG26" i="42"/>
  <c r="AQ26" i="42"/>
  <c r="BK25" i="42"/>
  <c r="BJ25" i="42"/>
  <c r="BL25" i="42" s="1"/>
  <c r="BH25" i="42"/>
  <c r="BG25" i="42"/>
  <c r="BI25" i="42" s="1"/>
  <c r="AQ25" i="42"/>
  <c r="BK24" i="42"/>
  <c r="BJ24" i="42"/>
  <c r="BL24" i="42" s="1"/>
  <c r="BH24" i="42"/>
  <c r="BG24" i="42"/>
  <c r="BI24" i="42" s="1"/>
  <c r="AQ24" i="42"/>
  <c r="BK23" i="42"/>
  <c r="BH23" i="42"/>
  <c r="BG23" i="42"/>
  <c r="BI23" i="42" s="1"/>
  <c r="BJ23" i="42"/>
  <c r="BL23" i="42" s="1"/>
  <c r="AQ23" i="42"/>
  <c r="BK22" i="42"/>
  <c r="BH22" i="42"/>
  <c r="BJ22" i="42"/>
  <c r="BL22" i="42" s="1"/>
  <c r="AQ22" i="42"/>
  <c r="BK21" i="42"/>
  <c r="BH21" i="42"/>
  <c r="BJ21" i="42"/>
  <c r="BL21" i="42" s="1"/>
  <c r="AT21" i="42"/>
  <c r="AQ21" i="42"/>
  <c r="BK20" i="42"/>
  <c r="BH20" i="42"/>
  <c r="BG20" i="42"/>
  <c r="BI20" i="42" s="1"/>
  <c r="BJ20" i="42"/>
  <c r="BL20" i="42" s="1"/>
  <c r="AQ20" i="42"/>
  <c r="AT20" i="42" s="1"/>
  <c r="BK19" i="42"/>
  <c r="BL19" i="42"/>
  <c r="BH19" i="42"/>
  <c r="BI19" i="42"/>
  <c r="AV19" i="42"/>
  <c r="AQ19" i="42"/>
  <c r="BL18" i="42"/>
  <c r="BK18" i="42"/>
  <c r="BH18" i="42"/>
  <c r="BI18" i="42"/>
  <c r="AV18" i="42"/>
  <c r="AQ18" i="42"/>
  <c r="AT18" i="42" s="1"/>
  <c r="BG17" i="42"/>
  <c r="AV17" i="42"/>
  <c r="AT17" i="42"/>
  <c r="AS17" i="42"/>
  <c r="BK16" i="42"/>
  <c r="BL16" i="42"/>
  <c r="BH16" i="42"/>
  <c r="BI16" i="42"/>
  <c r="AV16" i="42"/>
  <c r="AQ16" i="42"/>
  <c r="AT16" i="42" s="1"/>
  <c r="BK15" i="42"/>
  <c r="BL15" i="42"/>
  <c r="BH15" i="42"/>
  <c r="BI15" i="42"/>
  <c r="AV15" i="42"/>
  <c r="AQ15" i="42"/>
  <c r="BK14" i="42"/>
  <c r="BL14" i="42"/>
  <c r="BH14" i="42"/>
  <c r="BI14" i="42"/>
  <c r="AV14" i="42"/>
  <c r="AQ14" i="42"/>
  <c r="AT14" i="42" s="1"/>
  <c r="BK13" i="42"/>
  <c r="BL13" i="42"/>
  <c r="BH13" i="42"/>
  <c r="BI13" i="42"/>
  <c r="AV13" i="42"/>
  <c r="AQ13" i="42"/>
  <c r="BK29" i="41"/>
  <c r="BH29" i="41"/>
  <c r="BL29" i="41"/>
  <c r="AQ29" i="41"/>
  <c r="BK28" i="41"/>
  <c r="BH28" i="41"/>
  <c r="BI28" i="41"/>
  <c r="AQ28" i="41"/>
  <c r="BK27" i="41"/>
  <c r="BH27" i="41"/>
  <c r="BL27" i="41"/>
  <c r="AQ27" i="41"/>
  <c r="BK26" i="41"/>
  <c r="BH26" i="41"/>
  <c r="AQ26" i="41"/>
  <c r="BK25" i="41"/>
  <c r="BL25" i="41"/>
  <c r="BH25" i="41"/>
  <c r="AQ25" i="41"/>
  <c r="BK24" i="41"/>
  <c r="BL24" i="41"/>
  <c r="BH24" i="41"/>
  <c r="AQ24" i="41"/>
  <c r="BK23" i="41"/>
  <c r="BH23" i="41"/>
  <c r="AQ23" i="41"/>
  <c r="BK22" i="41"/>
  <c r="BH22" i="41"/>
  <c r="AQ22" i="41"/>
  <c r="BK21" i="41"/>
  <c r="BH21" i="41"/>
  <c r="AT21" i="41"/>
  <c r="AQ21" i="41"/>
  <c r="BK20" i="41"/>
  <c r="BH20" i="41"/>
  <c r="AQ20" i="41"/>
  <c r="AT20" i="41" s="1"/>
  <c r="BK19" i="41"/>
  <c r="BL19" i="41"/>
  <c r="BH19" i="41"/>
  <c r="AV19" i="41"/>
  <c r="AQ19" i="41"/>
  <c r="BL18" i="41"/>
  <c r="BK18" i="41"/>
  <c r="BH18" i="41"/>
  <c r="AV18" i="41"/>
  <c r="AT18" i="41"/>
  <c r="AQ18" i="41"/>
  <c r="BG17" i="41"/>
  <c r="AV17" i="41"/>
  <c r="AT17" i="41"/>
  <c r="AS17" i="41"/>
  <c r="BK16" i="41"/>
  <c r="BL16" i="41" s="1"/>
  <c r="BH16" i="41"/>
  <c r="BI16" i="41"/>
  <c r="AV16" i="41"/>
  <c r="AT16" i="41"/>
  <c r="AQ16" i="41"/>
  <c r="BK15" i="41"/>
  <c r="BH15" i="41"/>
  <c r="BI15" i="41"/>
  <c r="AV15" i="41"/>
  <c r="AT15" i="41"/>
  <c r="AQ15" i="41"/>
  <c r="BK14" i="41"/>
  <c r="BL14" i="41" s="1"/>
  <c r="BH14" i="41"/>
  <c r="BI14" i="41"/>
  <c r="AV14" i="41"/>
  <c r="AT14" i="41"/>
  <c r="AQ14" i="41"/>
  <c r="BK13" i="41"/>
  <c r="BH13" i="41"/>
  <c r="BI13" i="41"/>
  <c r="AV13" i="41"/>
  <c r="AT13" i="41"/>
  <c r="AQ13" i="41"/>
  <c r="AX13" i="41"/>
  <c r="AX18" i="39"/>
  <c r="BB19" i="39"/>
  <c r="BA19" i="39"/>
  <c r="AZ19" i="39"/>
  <c r="AY19" i="39"/>
  <c r="AX19" i="39"/>
  <c r="BB18" i="39"/>
  <c r="BA18" i="39"/>
  <c r="AZ18" i="39"/>
  <c r="AY18" i="39"/>
  <c r="AZ15" i="39"/>
  <c r="AX16" i="39"/>
  <c r="BA16" i="39"/>
  <c r="BA15" i="39"/>
  <c r="BB15" i="39"/>
  <c r="AY15" i="39"/>
  <c r="AY16" i="39"/>
  <c r="AZ16" i="39"/>
  <c r="AX15" i="39"/>
  <c r="BB16" i="39"/>
  <c r="AZ14" i="39"/>
  <c r="BB14" i="39"/>
  <c r="BA14" i="39"/>
  <c r="AY14" i="39"/>
  <c r="AX14" i="39"/>
  <c r="BB13" i="39"/>
  <c r="BA13" i="39"/>
  <c r="AZ13" i="39"/>
  <c r="AY13" i="39"/>
  <c r="AX13" i="39"/>
  <c r="AU13" i="39"/>
  <c r="AS13" i="39"/>
  <c r="AS15" i="42"/>
  <c r="AS15" i="41"/>
  <c r="AS13" i="41"/>
  <c r="AX17" i="42"/>
  <c r="AS13" i="42"/>
  <c r="AS18" i="41"/>
  <c r="AZ17" i="42"/>
  <c r="AY17" i="42"/>
  <c r="AU13" i="41"/>
  <c r="AS16" i="42"/>
  <c r="AX17" i="41"/>
  <c r="AS19" i="41"/>
  <c r="BB17" i="41"/>
  <c r="AY17" i="41"/>
  <c r="AS14" i="42"/>
  <c r="AU17" i="42"/>
  <c r="BA17" i="42"/>
  <c r="AS16" i="41"/>
  <c r="AU17" i="41"/>
  <c r="AU19" i="41"/>
  <c r="AU16" i="42"/>
  <c r="AU13" i="42"/>
  <c r="AU15" i="41"/>
  <c r="BB17" i="42"/>
  <c r="BA17" i="41"/>
  <c r="AS14" i="41"/>
  <c r="AZ17" i="41"/>
  <c r="AU15" i="42"/>
  <c r="AU18" i="41"/>
  <c r="AU14" i="42"/>
  <c r="AU16" i="41"/>
  <c r="AU14" i="41"/>
  <c r="BU21" i="41"/>
  <c r="CF20" i="41"/>
  <c r="BS22" i="41"/>
  <c r="BY29" i="41"/>
  <c r="BV16" i="41"/>
  <c r="CC21" i="41"/>
  <c r="BV29" i="41"/>
  <c r="CE18" i="41"/>
  <c r="CF26" i="41"/>
  <c r="BU19" i="41"/>
  <c r="BZ28" i="41"/>
  <c r="CD18" i="41"/>
  <c r="BO26" i="41"/>
  <c r="BS18" i="41"/>
  <c r="BV19" i="41"/>
  <c r="BO24" i="41"/>
  <c r="CG26" i="41"/>
  <c r="BQ21" i="41"/>
  <c r="CD27" i="41"/>
  <c r="BW22" i="41"/>
  <c r="BV21" i="41"/>
  <c r="BO29" i="41"/>
  <c r="BX18" i="41"/>
  <c r="BP25" i="41"/>
  <c r="BR18" i="41"/>
  <c r="BR21" i="41"/>
  <c r="CC23" i="41"/>
  <c r="CE20" i="41"/>
  <c r="CD19" i="41"/>
  <c r="CH27" i="41"/>
  <c r="BU25" i="41"/>
  <c r="BX19" i="41"/>
  <c r="BN17" i="41"/>
  <c r="CD25" i="41"/>
  <c r="CG18" i="41"/>
  <c r="CG22" i="41"/>
  <c r="BS20" i="41"/>
  <c r="CH23" i="41"/>
  <c r="BS27" i="41"/>
  <c r="CF29" i="41"/>
  <c r="CE26" i="41"/>
  <c r="BP21" i="41"/>
  <c r="BS17" i="41"/>
  <c r="BN23" i="41"/>
  <c r="BO22" i="41"/>
  <c r="BU16" i="41"/>
  <c r="BP26" i="41"/>
  <c r="CD24" i="41"/>
  <c r="BN18" i="41"/>
  <c r="BT25" i="41"/>
  <c r="BW28" i="41"/>
  <c r="CC29" i="41"/>
  <c r="BQ25" i="41"/>
  <c r="CD22" i="41"/>
  <c r="CA22" i="41"/>
  <c r="CG29" i="41"/>
  <c r="CD17" i="41"/>
  <c r="BO17" i="41"/>
  <c r="CE21" i="41"/>
  <c r="BP29" i="41"/>
  <c r="BT21" i="41"/>
  <c r="BW19" i="41"/>
  <c r="BP27" i="41"/>
  <c r="BQ16" i="41"/>
  <c r="BR24" i="41"/>
  <c r="BW20" i="41"/>
  <c r="BN16" i="41"/>
  <c r="BW24" i="41"/>
  <c r="CE28" i="41"/>
  <c r="BY21" i="41"/>
  <c r="BQ28" i="41"/>
  <c r="BW25" i="41"/>
  <c r="CE25" i="41"/>
  <c r="CD26" i="41"/>
  <c r="BU27" i="41"/>
  <c r="CE22" i="41"/>
  <c r="BS29" i="41"/>
  <c r="BY28" i="41"/>
  <c r="BY22" i="41"/>
  <c r="BV22" i="41"/>
  <c r="BQ20" i="41"/>
  <c r="CG19" i="41"/>
  <c r="BV28" i="41"/>
  <c r="CA29" i="41"/>
  <c r="CA18" i="41"/>
  <c r="CA23" i="41"/>
  <c r="BR23" i="41"/>
  <c r="BN22" i="41"/>
  <c r="BO27" i="41"/>
  <c r="CF16" i="41"/>
  <c r="CE27" i="41"/>
  <c r="BO21" i="41"/>
  <c r="BU28" i="41"/>
  <c r="BP17" i="41"/>
  <c r="CF27" i="41"/>
  <c r="BR28" i="41"/>
  <c r="BV18" i="41"/>
  <c r="CB25" i="41"/>
  <c r="CC19" i="41"/>
  <c r="CD21" i="41"/>
  <c r="CE16" i="41"/>
  <c r="BS25" i="41"/>
  <c r="BT16" i="41"/>
  <c r="BU24" i="41"/>
  <c r="CF22" i="41"/>
  <c r="CF23" i="41"/>
  <c r="BZ19" i="41"/>
  <c r="CA27" i="41"/>
  <c r="CG23" i="41"/>
  <c r="CE19" i="41"/>
  <c r="BX27" i="41"/>
  <c r="BY16" i="41"/>
  <c r="CH24" i="41"/>
  <c r="CC22" i="41"/>
  <c r="BU22" i="41"/>
  <c r="BP19" i="41"/>
  <c r="CE29" i="41"/>
  <c r="BS19" i="41"/>
  <c r="CF25" i="41"/>
  <c r="CB22" i="41"/>
  <c r="BQ17" i="41"/>
  <c r="BZ25" i="41"/>
  <c r="BO18" i="41"/>
  <c r="BS26" i="41"/>
  <c r="CF19" i="41"/>
  <c r="CA26" i="41"/>
  <c r="CB26" i="41"/>
  <c r="BY19" i="41"/>
  <c r="CD28" i="41"/>
  <c r="BR27" i="41"/>
  <c r="CC24" i="41"/>
  <c r="BV26" i="41"/>
  <c r="BY26" i="41"/>
  <c r="BX24" i="41"/>
  <c r="BV25" i="41"/>
  <c r="BY20" i="41"/>
  <c r="BW29" i="41"/>
  <c r="BR29" i="41"/>
  <c r="BW21" i="41"/>
  <c r="CC28" i="41"/>
  <c r="BX17" i="41"/>
  <c r="BQ24" i="41"/>
  <c r="CA20" i="41"/>
  <c r="BT28" i="41"/>
  <c r="CD20" i="41"/>
  <c r="BV27" i="41"/>
  <c r="CG25" i="41"/>
  <c r="CC27" i="41"/>
  <c r="BV23" i="41"/>
  <c r="BY18" i="41"/>
  <c r="BR20" i="41"/>
  <c r="BS23" i="41"/>
  <c r="BQ26" i="41"/>
  <c r="CH19" i="41"/>
  <c r="BN28" i="41"/>
  <c r="CF28" i="41"/>
  <c r="CF17" i="41"/>
  <c r="BQ22" i="41"/>
  <c r="BP20" i="41"/>
  <c r="BT22" i="41"/>
  <c r="CG28" i="41"/>
  <c r="BQ29" i="41"/>
  <c r="CH20" i="41"/>
  <c r="CA28" i="41"/>
  <c r="CF21" i="41"/>
  <c r="CH29" i="41"/>
  <c r="CB19" i="41"/>
  <c r="CG27" i="41"/>
  <c r="BO19" i="41"/>
  <c r="CH18" i="41"/>
  <c r="BU23" i="41"/>
  <c r="BR26" i="41"/>
  <c r="BS28" i="41"/>
  <c r="BW27" i="41"/>
  <c r="CG16" i="41"/>
  <c r="BN21" i="41"/>
  <c r="BU18" i="41"/>
  <c r="BO28" i="41"/>
  <c r="BQ27" i="41"/>
  <c r="BO16" i="41"/>
  <c r="BY27" i="41"/>
  <c r="BR16" i="41"/>
  <c r="BZ23" i="41"/>
  <c r="BT19" i="41"/>
  <c r="BW16" i="41"/>
  <c r="CF24" i="41"/>
  <c r="CB27" i="41"/>
  <c r="CG20" i="41"/>
  <c r="BX25" i="41"/>
  <c r="CB23" i="41"/>
  <c r="CA24" i="41"/>
  <c r="CE23" i="41"/>
  <c r="CA21" i="41"/>
  <c r="CH28" i="41"/>
  <c r="BQ19" i="41"/>
  <c r="BW26" i="41"/>
  <c r="BT24" i="41"/>
  <c r="CC18" i="41"/>
  <c r="BT26" i="41"/>
  <c r="BP16" i="41"/>
  <c r="CD23" i="41"/>
  <c r="BO20" i="41"/>
  <c r="CG17" i="41"/>
  <c r="CD16" i="41"/>
  <c r="BR25" i="41"/>
  <c r="BT17" i="41"/>
  <c r="CC25" i="41"/>
  <c r="BT27" i="41"/>
  <c r="CC16" i="41"/>
  <c r="BV24" i="41"/>
  <c r="BZ18" i="41"/>
  <c r="CG24" i="41"/>
  <c r="BX16" i="41"/>
  <c r="BN20" i="41"/>
  <c r="BZ16" i="41"/>
  <c r="CC26" i="41"/>
  <c r="BR22" i="41"/>
  <c r="BU29" i="41"/>
  <c r="BZ20" i="41"/>
  <c r="CE17" i="41"/>
  <c r="BP23" i="41"/>
  <c r="CB28" i="41"/>
  <c r="BN26" i="41"/>
  <c r="BZ27" i="41"/>
  <c r="BP24" i="41"/>
  <c r="CH25" i="41"/>
  <c r="CB24" i="41"/>
  <c r="BO23" i="41"/>
  <c r="CB29" i="41"/>
  <c r="BN25" i="41"/>
  <c r="BT23" i="41"/>
  <c r="CH21" i="41"/>
  <c r="BV20" i="41"/>
  <c r="BN27" i="41"/>
  <c r="BP22" i="41"/>
  <c r="CD29" i="41"/>
  <c r="BR19" i="41"/>
  <c r="BS16" i="41"/>
  <c r="CE24" i="41"/>
  <c r="BR17" i="41"/>
  <c r="CA25" i="41"/>
  <c r="BX20" i="41"/>
  <c r="CB21" i="41"/>
  <c r="BU20" i="41"/>
  <c r="BS21" i="41"/>
  <c r="CH22" i="41"/>
  <c r="CA16" i="41"/>
  <c r="BN19" i="41"/>
  <c r="BY23" i="41"/>
  <c r="BN24" i="41"/>
  <c r="CB16" i="41"/>
  <c r="BY24" i="41"/>
  <c r="BX23" i="41"/>
  <c r="CH17" i="41"/>
  <c r="BT29" i="41"/>
  <c r="BS24" i="41"/>
  <c r="CB20" i="41"/>
  <c r="CA19" i="41"/>
  <c r="BX28" i="41"/>
  <c r="CH16" i="41"/>
  <c r="BT18" i="41"/>
  <c r="BN29" i="41"/>
  <c r="BW18" i="41"/>
  <c r="BX26" i="41"/>
  <c r="BW17" i="41"/>
  <c r="CB18" i="41"/>
  <c r="BU26" i="41"/>
  <c r="CH26" i="41"/>
  <c r="BW23" i="41"/>
  <c r="BQ18" i="41"/>
  <c r="BY25" i="41"/>
  <c r="BO25" i="41"/>
  <c r="CF18" i="41"/>
  <c r="BP18" i="41"/>
  <c r="CG21" i="41"/>
  <c r="BQ23" i="41"/>
  <c r="BT20" i="41"/>
  <c r="BP28" i="41"/>
  <c r="AS19" i="42"/>
  <c r="AU19" i="42"/>
  <c r="AS18" i="42"/>
  <c r="AU18" i="42"/>
  <c r="BO16" i="42"/>
  <c r="CC23" i="42"/>
  <c r="BZ16" i="42"/>
  <c r="BV25" i="42"/>
  <c r="BU29" i="42"/>
  <c r="BO21" i="42"/>
  <c r="CD25" i="42"/>
  <c r="BS26" i="42"/>
  <c r="CC28" i="42"/>
  <c r="CG22" i="42"/>
  <c r="CG20" i="42"/>
  <c r="BY29" i="42"/>
  <c r="BV22" i="42"/>
  <c r="BN24" i="42"/>
  <c r="BT29" i="42"/>
  <c r="BQ24" i="42"/>
  <c r="BY26" i="42"/>
  <c r="BR18" i="42"/>
  <c r="CD29" i="42"/>
  <c r="CF17" i="42"/>
  <c r="BS29" i="42"/>
  <c r="CC21" i="42"/>
  <c r="BP17" i="42"/>
  <c r="CF21" i="42"/>
  <c r="BY20" i="42"/>
  <c r="BY23" i="42"/>
  <c r="BN28" i="42"/>
  <c r="CG18" i="42"/>
  <c r="BU18" i="42"/>
  <c r="BQ16" i="42"/>
  <c r="BY25" i="42"/>
  <c r="CH16" i="42"/>
  <c r="CD26" i="42"/>
  <c r="CE28" i="42"/>
  <c r="CH25" i="42"/>
  <c r="BN17" i="42"/>
  <c r="CD18" i="42"/>
  <c r="BY24" i="42"/>
  <c r="BX16" i="42"/>
  <c r="CB27" i="42"/>
  <c r="BR25" i="42"/>
  <c r="CH18" i="42"/>
  <c r="BR16" i="42"/>
  <c r="BV24" i="42"/>
  <c r="BX27" i="42"/>
  <c r="BP19" i="42"/>
  <c r="BQ22" i="42"/>
  <c r="CE29" i="42"/>
  <c r="CB22" i="42"/>
  <c r="BX25" i="42"/>
  <c r="BY18" i="42"/>
  <c r="BX19" i="42"/>
  <c r="BQ27" i="42"/>
  <c r="BO23" i="42"/>
  <c r="BQ28" i="42"/>
  <c r="CE25" i="42"/>
  <c r="BN25" i="42"/>
  <c r="BN29" i="42"/>
  <c r="CD23" i="42"/>
  <c r="BO20" i="42"/>
  <c r="BV26" i="42"/>
  <c r="CA18" i="42"/>
  <c r="CE21" i="42"/>
  <c r="CC16" i="42"/>
  <c r="CF28" i="42"/>
  <c r="BU21" i="42"/>
  <c r="BQ19" i="42"/>
  <c r="BZ27" i="42"/>
  <c r="CE20" i="42"/>
  <c r="CE27" i="42"/>
  <c r="BY19" i="42"/>
  <c r="CH27" i="42"/>
  <c r="BR21" i="42"/>
  <c r="CA29" i="42"/>
  <c r="CG23" i="42"/>
  <c r="BN16" i="42"/>
  <c r="BW24" i="42"/>
  <c r="BT25" i="42"/>
  <c r="BW29" i="42"/>
  <c r="BY22" i="42"/>
  <c r="BR26" i="42"/>
  <c r="BP23" i="42"/>
  <c r="BQ20" i="42"/>
  <c r="BS17" i="42"/>
  <c r="CF16" i="42"/>
  <c r="BT22" i="42"/>
  <c r="CD16" i="42"/>
  <c r="CE19" i="42"/>
  <c r="BS28" i="42"/>
  <c r="CH19" i="42"/>
  <c r="CD28" i="42"/>
  <c r="CA21" i="42"/>
  <c r="BQ17" i="42"/>
  <c r="BZ25" i="42"/>
  <c r="BT17" i="42"/>
  <c r="BQ29" i="42"/>
  <c r="BN22" i="42"/>
  <c r="BZ20" i="42"/>
  <c r="BV18" i="42"/>
  <c r="CF29" i="42"/>
  <c r="BQ26" i="42"/>
  <c r="CD22" i="42"/>
  <c r="CH21" i="42"/>
  <c r="BS20" i="42"/>
  <c r="CG27" i="42"/>
  <c r="CE23" i="42"/>
  <c r="CD27" i="42"/>
  <c r="BW27" i="42"/>
  <c r="BS25" i="42"/>
  <c r="BP18" i="42"/>
  <c r="CG26" i="42"/>
  <c r="BZ19" i="42"/>
  <c r="CH17" i="42"/>
  <c r="CA25" i="42"/>
  <c r="BX18" i="42"/>
  <c r="BT27" i="42"/>
  <c r="BR19" i="42"/>
  <c r="CD21" i="42"/>
  <c r="BP22" i="42"/>
  <c r="BN19" i="42"/>
  <c r="CG21" i="42"/>
  <c r="BO28" i="42"/>
  <c r="CD19" i="42"/>
  <c r="CG28" i="42"/>
  <c r="BW25" i="42"/>
  <c r="BT18" i="42"/>
  <c r="CF20" i="42"/>
  <c r="CF27" i="42"/>
  <c r="CC25" i="42"/>
  <c r="BP26" i="42"/>
  <c r="CE26" i="42"/>
  <c r="CD20" i="42"/>
  <c r="CF23" i="42"/>
  <c r="BS24" i="42"/>
  <c r="CF22" i="42"/>
  <c r="CE22" i="42"/>
  <c r="BN23" i="42"/>
  <c r="BS16" i="42"/>
  <c r="CB24" i="42"/>
  <c r="BR20" i="42"/>
  <c r="CA28" i="42"/>
  <c r="BU20" i="42"/>
  <c r="CA16" i="42"/>
  <c r="BO25" i="42"/>
  <c r="BV16" i="42"/>
  <c r="CA23" i="42"/>
  <c r="BW21" i="42"/>
  <c r="BV20" i="42"/>
  <c r="BR29" i="42"/>
  <c r="BQ23" i="42"/>
  <c r="BS21" i="42"/>
  <c r="BT23" i="42"/>
  <c r="BZ23" i="42"/>
  <c r="CF26" i="42"/>
  <c r="BT21" i="42"/>
  <c r="CA20" i="42"/>
  <c r="BT28" i="42"/>
  <c r="BQ21" i="42"/>
  <c r="CH29" i="42"/>
  <c r="BV28" i="42"/>
  <c r="BN21" i="42"/>
  <c r="CB28" i="42"/>
  <c r="BY21" i="42"/>
  <c r="BX17" i="42"/>
  <c r="BU28" i="42"/>
  <c r="BT20" i="42"/>
  <c r="BQ25" i="42"/>
  <c r="CH22" i="42"/>
  <c r="BU24" i="42"/>
  <c r="BU27" i="42"/>
  <c r="CF19" i="42"/>
  <c r="BW28" i="42"/>
  <c r="CE24" i="42"/>
  <c r="CC19" i="42"/>
  <c r="CD17" i="42"/>
  <c r="BQ18" i="42"/>
  <c r="BS22" i="42"/>
  <c r="CE16" i="42"/>
  <c r="BY16" i="42"/>
  <c r="BS18" i="42"/>
  <c r="BN27" i="42"/>
  <c r="CF24" i="42"/>
  <c r="BW22" i="42"/>
  <c r="BO19" i="42"/>
  <c r="CG25" i="42"/>
  <c r="BO26" i="42"/>
  <c r="BT19" i="42"/>
  <c r="CC27" i="42"/>
  <c r="BS23" i="42"/>
  <c r="CC24" i="42"/>
  <c r="BV23" i="42"/>
  <c r="CB19" i="42"/>
  <c r="BP28" i="42"/>
  <c r="CC18" i="42"/>
  <c r="CB26" i="42"/>
  <c r="BX24" i="42"/>
  <c r="BW23" i="42"/>
  <c r="BT16" i="42"/>
  <c r="CA24" i="42"/>
  <c r="CG17" i="42"/>
  <c r="BU26" i="42"/>
  <c r="BO18" i="42"/>
  <c r="CG29" i="42"/>
  <c r="CB25" i="42"/>
  <c r="CB23" i="42"/>
  <c r="CA26" i="42"/>
  <c r="BR24" i="42"/>
  <c r="BO17" i="42"/>
  <c r="BR23" i="42"/>
  <c r="BO24" i="42"/>
  <c r="CB29" i="42"/>
  <c r="BZ24" i="42"/>
  <c r="BW17" i="42"/>
  <c r="CF18" i="42"/>
  <c r="CA22" i="42"/>
  <c r="BR28" i="42"/>
  <c r="BN26" i="42"/>
  <c r="CE17" i="42"/>
  <c r="BW16" i="42"/>
  <c r="BR27" i="42"/>
  <c r="CD24" i="42"/>
  <c r="BT24" i="42"/>
  <c r="CG16" i="42"/>
  <c r="BV19" i="42"/>
  <c r="BR17" i="42"/>
  <c r="BO22" i="42"/>
  <c r="CF25" i="42"/>
  <c r="BY28" i="42"/>
  <c r="CH28" i="42"/>
  <c r="CB20" i="42"/>
  <c r="BP29" i="42"/>
  <c r="BU22" i="42"/>
  <c r="CB21" i="42"/>
  <c r="BT26" i="42"/>
  <c r="BN18" i="42"/>
  <c r="BW26" i="42"/>
  <c r="CC22" i="42"/>
  <c r="CH23" i="42"/>
  <c r="BU23" i="42"/>
  <c r="CC29" i="42"/>
  <c r="BY27" i="42"/>
  <c r="BX26" i="42"/>
  <c r="BU19" i="42"/>
  <c r="CH26" i="42"/>
  <c r="CH20" i="42"/>
  <c r="BV29" i="42"/>
  <c r="BP21" i="42"/>
  <c r="BW20" i="42"/>
  <c r="BV27" i="42"/>
  <c r="CC26" i="42"/>
  <c r="BW18" i="42"/>
  <c r="BS27" i="42"/>
  <c r="BP20" i="42"/>
  <c r="CB18" i="42"/>
  <c r="BP27" i="42"/>
  <c r="CE18" i="42"/>
  <c r="CA27" i="42"/>
  <c r="BX20" i="42"/>
  <c r="CH24" i="42"/>
  <c r="BS19" i="42"/>
  <c r="BP25" i="42"/>
  <c r="BO29" i="42"/>
  <c r="BU16" i="42"/>
  <c r="CG19" i="42"/>
  <c r="CA19" i="42"/>
  <c r="BP24" i="42"/>
  <c r="BN20" i="42"/>
  <c r="CB16" i="42"/>
  <c r="BU25" i="42"/>
  <c r="CC20" i="42"/>
  <c r="BO27" i="42"/>
  <c r="BP16" i="42"/>
  <c r="CG24" i="42"/>
  <c r="BV21" i="42"/>
  <c r="BZ18" i="42"/>
  <c r="BX23" i="42"/>
  <c r="BR22" i="42"/>
  <c r="BW19" i="42"/>
  <c r="BI26" i="42" l="1"/>
  <c r="BD17" i="41"/>
  <c r="BL20" i="41"/>
  <c r="BI26" i="41"/>
  <c r="BI24" i="41"/>
  <c r="BL15" i="41"/>
  <c r="BL13" i="41"/>
  <c r="BE17" i="41"/>
  <c r="BM13" i="42"/>
  <c r="BM15" i="42"/>
  <c r="BM19" i="42"/>
  <c r="BM14" i="42"/>
  <c r="BM16" i="42"/>
  <c r="BM18" i="42"/>
  <c r="BM17" i="42"/>
  <c r="BJ17" i="42"/>
  <c r="BG28" i="42"/>
  <c r="AT13" i="42"/>
  <c r="AT15" i="42"/>
  <c r="AT19" i="42"/>
  <c r="BG21" i="42"/>
  <c r="BG29" i="42"/>
  <c r="BG22" i="42"/>
  <c r="BM19" i="41"/>
  <c r="BM13" i="41"/>
  <c r="BM15" i="41"/>
  <c r="BM14" i="41"/>
  <c r="BM16" i="41"/>
  <c r="BM18" i="41"/>
  <c r="BM17" i="41"/>
  <c r="BJ17" i="41"/>
  <c r="AT19" i="41"/>
  <c r="BJ21" i="39"/>
  <c r="BL21" i="39" s="1"/>
  <c r="BJ22" i="39"/>
  <c r="BJ23" i="39"/>
  <c r="BJ24" i="39"/>
  <c r="BJ25" i="39"/>
  <c r="BJ26" i="39"/>
  <c r="BJ27" i="39"/>
  <c r="BJ28" i="39"/>
  <c r="BJ29" i="39"/>
  <c r="BJ20" i="39"/>
  <c r="BG21" i="39"/>
  <c r="BI21" i="39" s="1"/>
  <c r="BG22" i="39"/>
  <c r="BI22" i="39" s="1"/>
  <c r="BG23" i="39"/>
  <c r="BG24" i="39"/>
  <c r="BG25" i="39"/>
  <c r="BI25" i="39" s="1"/>
  <c r="BG26" i="39"/>
  <c r="BI26" i="39" s="1"/>
  <c r="BG27" i="39"/>
  <c r="BG28" i="39"/>
  <c r="BG29" i="39"/>
  <c r="BI29" i="39" s="1"/>
  <c r="BG20" i="39"/>
  <c r="AQ22" i="39"/>
  <c r="AQ23" i="39"/>
  <c r="AQ24" i="39"/>
  <c r="AQ25" i="39"/>
  <c r="AQ26" i="39"/>
  <c r="AQ27" i="39"/>
  <c r="AQ28" i="39"/>
  <c r="AQ29" i="39"/>
  <c r="AQ21" i="39"/>
  <c r="AT21" i="39"/>
  <c r="AQ20" i="39"/>
  <c r="AT20" i="39" s="1"/>
  <c r="BL20" i="39"/>
  <c r="BL22" i="39"/>
  <c r="BL23" i="39"/>
  <c r="BL24" i="39"/>
  <c r="BL25" i="39"/>
  <c r="BL26" i="39"/>
  <c r="BL27" i="39"/>
  <c r="BL28" i="39"/>
  <c r="BL29" i="39"/>
  <c r="BK21" i="39"/>
  <c r="BK22" i="39"/>
  <c r="BK23" i="39"/>
  <c r="BK24" i="39"/>
  <c r="BK25" i="39"/>
  <c r="BK26" i="39"/>
  <c r="BK27" i="39"/>
  <c r="BK28" i="39"/>
  <c r="BK29" i="39"/>
  <c r="BI20" i="39"/>
  <c r="BI23" i="39"/>
  <c r="BI24" i="39"/>
  <c r="BI27" i="39"/>
  <c r="BI28" i="39"/>
  <c r="BH21" i="39"/>
  <c r="BH22" i="39"/>
  <c r="BH23" i="39"/>
  <c r="BH24" i="39"/>
  <c r="BH25" i="39"/>
  <c r="BH26" i="39"/>
  <c r="BH27" i="39"/>
  <c r="BH28" i="39"/>
  <c r="BH29" i="39"/>
  <c r="BH20" i="39"/>
  <c r="BK20" i="39"/>
  <c r="BC20" i="39"/>
  <c r="BC21" i="39"/>
  <c r="BC22" i="39"/>
  <c r="BC23" i="39"/>
  <c r="BC24" i="39"/>
  <c r="BC25" i="39"/>
  <c r="BC26" i="39"/>
  <c r="BC27" i="39"/>
  <c r="BC28" i="39"/>
  <c r="BC29" i="39"/>
  <c r="AW20" i="39"/>
  <c r="AW21" i="39"/>
  <c r="AW22" i="39"/>
  <c r="AW23" i="39"/>
  <c r="AW24" i="39"/>
  <c r="AW25" i="39"/>
  <c r="AW26" i="39"/>
  <c r="AW27" i="39"/>
  <c r="AW28" i="39"/>
  <c r="AW29" i="39"/>
  <c r="BJ17" i="39"/>
  <c r="BG17" i="39"/>
  <c r="AS17" i="39"/>
  <c r="AT17" i="39"/>
  <c r="AV17" i="39"/>
  <c r="AW17" i="39"/>
  <c r="BC17" i="39"/>
  <c r="AQ18" i="39"/>
  <c r="AT18" i="39" s="1"/>
  <c r="AV18" i="39"/>
  <c r="AW18" i="39"/>
  <c r="BC18" i="39"/>
  <c r="BG18" i="39"/>
  <c r="BH18" i="39"/>
  <c r="BI18" i="39" s="1"/>
  <c r="BJ18" i="39"/>
  <c r="BL18" i="39" s="1"/>
  <c r="BK18" i="39"/>
  <c r="AQ19" i="39"/>
  <c r="AT19" i="39" s="1"/>
  <c r="AV19" i="39"/>
  <c r="AW19" i="39"/>
  <c r="BC19" i="39"/>
  <c r="BD19" i="39"/>
  <c r="BG19" i="39"/>
  <c r="BI19" i="39" s="1"/>
  <c r="BH19" i="39"/>
  <c r="BJ19" i="39"/>
  <c r="BK19" i="39"/>
  <c r="AQ14" i="39"/>
  <c r="AT14" i="39"/>
  <c r="AV14" i="39"/>
  <c r="AW14" i="39"/>
  <c r="BC14" i="39"/>
  <c r="BD14" i="39"/>
  <c r="BG14" i="39"/>
  <c r="BH14" i="39"/>
  <c r="BI14" i="39" s="1"/>
  <c r="BJ14" i="39"/>
  <c r="BK14" i="39"/>
  <c r="AQ15" i="39"/>
  <c r="BD15" i="39" s="1"/>
  <c r="AT15" i="39"/>
  <c r="AV15" i="39"/>
  <c r="AW15" i="39"/>
  <c r="BC15" i="39"/>
  <c r="BG15" i="39"/>
  <c r="BH15" i="39"/>
  <c r="BI15" i="39"/>
  <c r="BJ15" i="39"/>
  <c r="BK15" i="39"/>
  <c r="BL15" i="39"/>
  <c r="AQ16" i="39"/>
  <c r="AT16" i="39"/>
  <c r="AV16" i="39"/>
  <c r="AW16" i="39"/>
  <c r="BC16" i="39"/>
  <c r="BD16" i="39"/>
  <c r="BG16" i="39"/>
  <c r="BH16" i="39"/>
  <c r="BI16" i="39" s="1"/>
  <c r="BJ16" i="39"/>
  <c r="BK16" i="39"/>
  <c r="BJ13" i="39"/>
  <c r="BG13" i="39"/>
  <c r="BC13" i="39"/>
  <c r="AU17" i="39"/>
  <c r="AZ17" i="39"/>
  <c r="BA17" i="39"/>
  <c r="AS19" i="39"/>
  <c r="AX17" i="39"/>
  <c r="AS15" i="39"/>
  <c r="AS14" i="39"/>
  <c r="AS18" i="39"/>
  <c r="BB17" i="39"/>
  <c r="AY17" i="39"/>
  <c r="AS16" i="39"/>
  <c r="AU15" i="39"/>
  <c r="AU18" i="39"/>
  <c r="AU19" i="39"/>
  <c r="AU14" i="39"/>
  <c r="AU16" i="39"/>
  <c r="BX21" i="41"/>
  <c r="CC20" i="41"/>
  <c r="BZ26" i="41"/>
  <c r="CA17" i="41"/>
  <c r="BZ24" i="41"/>
  <c r="BU17" i="41"/>
  <c r="BV17" i="41"/>
  <c r="BX29" i="41"/>
  <c r="BX22" i="41"/>
  <c r="BX28" i="42"/>
  <c r="BX29" i="42"/>
  <c r="BX22" i="42"/>
  <c r="CA17" i="42"/>
  <c r="BX21" i="42"/>
  <c r="BZ26" i="42"/>
  <c r="BU17" i="42"/>
  <c r="BI21" i="42" l="1"/>
  <c r="BI22" i="42"/>
  <c r="BI29" i="42"/>
  <c r="BI28" i="42"/>
  <c r="BH17" i="42"/>
  <c r="BI29" i="41"/>
  <c r="BI22" i="41"/>
  <c r="BI21" i="41"/>
  <c r="BH17" i="41"/>
  <c r="BK17" i="41"/>
  <c r="BD17" i="39"/>
  <c r="BE17" i="39" s="1"/>
  <c r="BL19" i="39"/>
  <c r="BM19" i="39"/>
  <c r="BM17" i="39"/>
  <c r="BM18" i="39"/>
  <c r="BD18" i="39"/>
  <c r="BL16" i="39"/>
  <c r="BL14" i="39"/>
  <c r="BM15" i="39"/>
  <c r="BM16" i="39"/>
  <c r="BM14" i="39"/>
  <c r="H10" i="37"/>
  <c r="BM26" i="37" s="1"/>
  <c r="BK27" i="37"/>
  <c r="BR27" i="37" s="1"/>
  <c r="BI27" i="37"/>
  <c r="BQ27" i="37" s="1"/>
  <c r="BS27" i="37" s="1"/>
  <c r="BC27" i="37"/>
  <c r="BB27" i="37"/>
  <c r="BA27" i="37"/>
  <c r="AZ27" i="37"/>
  <c r="AX27" i="37"/>
  <c r="AV27" i="37"/>
  <c r="AT27" i="37"/>
  <c r="AU27" i="37" s="1"/>
  <c r="AW27" i="37" s="1"/>
  <c r="BK26" i="37"/>
  <c r="BR26" i="37" s="1"/>
  <c r="BI26" i="37"/>
  <c r="BC26" i="37"/>
  <c r="BB26" i="37"/>
  <c r="BA26" i="37"/>
  <c r="AZ26" i="37"/>
  <c r="AX26" i="37"/>
  <c r="AV26" i="37"/>
  <c r="AT26" i="37"/>
  <c r="AU26" i="37" s="1"/>
  <c r="AW26" i="37" s="1"/>
  <c r="BO25" i="37"/>
  <c r="BK25" i="37"/>
  <c r="BR25" i="37" s="1"/>
  <c r="BI25" i="37"/>
  <c r="BC25" i="37"/>
  <c r="BB25" i="37"/>
  <c r="BA25" i="37"/>
  <c r="AZ25" i="37"/>
  <c r="AX25" i="37"/>
  <c r="AV25" i="37"/>
  <c r="AT25" i="37"/>
  <c r="AU25" i="37" s="1"/>
  <c r="AW25" i="37" s="1"/>
  <c r="BR24" i="37"/>
  <c r="BO24" i="37"/>
  <c r="BK24" i="37"/>
  <c r="BI24" i="37"/>
  <c r="BQ24" i="37" s="1"/>
  <c r="BS24" i="37" s="1"/>
  <c r="BC24" i="37"/>
  <c r="BB24" i="37"/>
  <c r="BA24" i="37"/>
  <c r="AZ24" i="37"/>
  <c r="AX24" i="37"/>
  <c r="AV24" i="37"/>
  <c r="AT24" i="37"/>
  <c r="AU24" i="37" s="1"/>
  <c r="AW24" i="37" s="1"/>
  <c r="BK23" i="37"/>
  <c r="BR23" i="37" s="1"/>
  <c r="BI23" i="37"/>
  <c r="BQ23" i="37" s="1"/>
  <c r="BC23" i="37"/>
  <c r="BB23" i="37"/>
  <c r="BA23" i="37"/>
  <c r="AZ23" i="37"/>
  <c r="AX23" i="37"/>
  <c r="AV23" i="37"/>
  <c r="AT23" i="37"/>
  <c r="AU23" i="37" s="1"/>
  <c r="AW23" i="37" s="1"/>
  <c r="BI22" i="37"/>
  <c r="BN22" i="37" s="1"/>
  <c r="BC22" i="37"/>
  <c r="AX22" i="37"/>
  <c r="BJ22" i="37" s="1"/>
  <c r="BK22" i="37" s="1"/>
  <c r="AV22" i="37"/>
  <c r="AU22" i="37"/>
  <c r="AW22" i="37" s="1"/>
  <c r="AT22" i="37"/>
  <c r="BI21" i="37"/>
  <c r="BQ21" i="37" s="1"/>
  <c r="BC21" i="37"/>
  <c r="AZ21" i="37"/>
  <c r="AX21" i="37"/>
  <c r="BJ21" i="37" s="1"/>
  <c r="BK21" i="37" s="1"/>
  <c r="AV21" i="37"/>
  <c r="AU21" i="37"/>
  <c r="AW21" i="37" s="1"/>
  <c r="AT21" i="37"/>
  <c r="BI20" i="37"/>
  <c r="BQ20" i="37" s="1"/>
  <c r="BC20" i="37"/>
  <c r="AZ20" i="37"/>
  <c r="AX20" i="37"/>
  <c r="BJ20" i="37" s="1"/>
  <c r="BK20" i="37" s="1"/>
  <c r="AW20" i="37"/>
  <c r="AV20" i="37"/>
  <c r="AU20" i="37"/>
  <c r="AT20" i="37"/>
  <c r="BI19" i="37"/>
  <c r="BQ19" i="37" s="1"/>
  <c r="BC19" i="37"/>
  <c r="AX19" i="37"/>
  <c r="AZ19" i="37" s="1"/>
  <c r="AV19" i="37"/>
  <c r="AT19" i="37"/>
  <c r="AU19" i="37" s="1"/>
  <c r="AW19" i="37" s="1"/>
  <c r="BI18" i="37"/>
  <c r="BN18" i="37" s="1"/>
  <c r="BC18" i="37"/>
  <c r="AX18" i="37"/>
  <c r="BJ18" i="37" s="1"/>
  <c r="BK18" i="37" s="1"/>
  <c r="AV18" i="37"/>
  <c r="AU18" i="37"/>
  <c r="AW18" i="37" s="1"/>
  <c r="AT18" i="37"/>
  <c r="BI17" i="37"/>
  <c r="BQ17" i="37" s="1"/>
  <c r="BC17" i="37"/>
  <c r="AZ17" i="37"/>
  <c r="AX17" i="37"/>
  <c r="AV17" i="37"/>
  <c r="AT17" i="37"/>
  <c r="AU17" i="37" s="1"/>
  <c r="BI16" i="37"/>
  <c r="BN16" i="37" s="1"/>
  <c r="BC16" i="37"/>
  <c r="AZ16" i="37"/>
  <c r="AX16" i="37"/>
  <c r="BJ16" i="37" s="1"/>
  <c r="BK16" i="37" s="1"/>
  <c r="AV16" i="37"/>
  <c r="AT16" i="37"/>
  <c r="AU16" i="37" s="1"/>
  <c r="AW16" i="37" s="1"/>
  <c r="BI15" i="37"/>
  <c r="BN15" i="37" s="1"/>
  <c r="BC15" i="37"/>
  <c r="AZ15" i="37"/>
  <c r="AX15" i="37"/>
  <c r="BJ15" i="37" s="1"/>
  <c r="BK15" i="37" s="1"/>
  <c r="AV15" i="37"/>
  <c r="AT15" i="37"/>
  <c r="AU15" i="37" s="1"/>
  <c r="AW15" i="37" s="1"/>
  <c r="BI14" i="37"/>
  <c r="BN14" i="37" s="1"/>
  <c r="BC14" i="37"/>
  <c r="AZ14" i="37"/>
  <c r="AX14" i="37"/>
  <c r="BJ14" i="37" s="1"/>
  <c r="BK14" i="37" s="1"/>
  <c r="AV14" i="37"/>
  <c r="AU14" i="37"/>
  <c r="AW14" i="37" s="1"/>
  <c r="AT14" i="37"/>
  <c r="BI13" i="37"/>
  <c r="BQ13" i="37" s="1"/>
  <c r="BC13" i="37"/>
  <c r="AX13" i="37"/>
  <c r="BJ13" i="37" s="1"/>
  <c r="BK13" i="37" s="1"/>
  <c r="AV13" i="37"/>
  <c r="AT13" i="37"/>
  <c r="AU13" i="37" s="1"/>
  <c r="AW13" i="37" s="1"/>
  <c r="AQ27" i="37"/>
  <c r="AJ27" i="37"/>
  <c r="AF27" i="37"/>
  <c r="AG27" i="37" s="1"/>
  <c r="AE27" i="37"/>
  <c r="AQ26" i="37"/>
  <c r="AJ26" i="37"/>
  <c r="AG26" i="37"/>
  <c r="AF26" i="37"/>
  <c r="AE26" i="37"/>
  <c r="AQ25" i="37"/>
  <c r="AJ25" i="37"/>
  <c r="AF25" i="37"/>
  <c r="AG25" i="37" s="1"/>
  <c r="AE25" i="37"/>
  <c r="AQ24" i="37"/>
  <c r="AJ24" i="37"/>
  <c r="AF24" i="37"/>
  <c r="AG24" i="37" s="1"/>
  <c r="AE24" i="37"/>
  <c r="AQ23" i="37"/>
  <c r="AL23" i="37"/>
  <c r="AJ23" i="37"/>
  <c r="AG23" i="37"/>
  <c r="AF23" i="37"/>
  <c r="AE23" i="37"/>
  <c r="AQ22" i="37"/>
  <c r="AL22" i="37"/>
  <c r="AJ22" i="37"/>
  <c r="AF22" i="37"/>
  <c r="AE22" i="37"/>
  <c r="AQ21" i="37"/>
  <c r="AL21" i="37"/>
  <c r="AJ21" i="37"/>
  <c r="AF21" i="37"/>
  <c r="AE21" i="37"/>
  <c r="AQ20" i="37"/>
  <c r="AL20" i="37"/>
  <c r="AJ20" i="37"/>
  <c r="AF20" i="37"/>
  <c r="AE20" i="37"/>
  <c r="AQ19" i="37"/>
  <c r="AL19" i="37"/>
  <c r="AJ19" i="37"/>
  <c r="AF19" i="37"/>
  <c r="AE19" i="37"/>
  <c r="AQ18" i="37"/>
  <c r="AL18" i="37"/>
  <c r="AJ18" i="37"/>
  <c r="AF18" i="37"/>
  <c r="AE18" i="37"/>
  <c r="AR17" i="37"/>
  <c r="AQ17" i="37"/>
  <c r="AP17" i="37"/>
  <c r="AL17" i="37"/>
  <c r="AJ17" i="37"/>
  <c r="AF17" i="37"/>
  <c r="AG17" i="37" s="1"/>
  <c r="AE17" i="37"/>
  <c r="AR16" i="37"/>
  <c r="AQ16" i="37"/>
  <c r="AP16" i="37"/>
  <c r="AL16" i="37"/>
  <c r="AJ16" i="37"/>
  <c r="AF16" i="37"/>
  <c r="AG16" i="37" s="1"/>
  <c r="AE16" i="37"/>
  <c r="AR15" i="37"/>
  <c r="AQ15" i="37"/>
  <c r="AP15" i="37"/>
  <c r="AL15" i="37"/>
  <c r="AJ15" i="37"/>
  <c r="AF15" i="37"/>
  <c r="AG15" i="37" s="1"/>
  <c r="AE15" i="37"/>
  <c r="AR14" i="37"/>
  <c r="AQ14" i="37"/>
  <c r="AP14" i="37"/>
  <c r="AL14" i="37"/>
  <c r="AJ14" i="37"/>
  <c r="AF14" i="37"/>
  <c r="AG14" i="37" s="1"/>
  <c r="AE14" i="37"/>
  <c r="AR13" i="37"/>
  <c r="AQ13" i="37"/>
  <c r="AN13" i="37"/>
  <c r="AP13" i="37" s="1"/>
  <c r="AL13" i="37"/>
  <c r="AJ13" i="37"/>
  <c r="AG13" i="37"/>
  <c r="AF13" i="37"/>
  <c r="AE13" i="37"/>
  <c r="BV26" i="37"/>
  <c r="BU13" i="37"/>
  <c r="BV25" i="37"/>
  <c r="CK26" i="37"/>
  <c r="CH23" i="37"/>
  <c r="BV17" i="37"/>
  <c r="CC26" i="37"/>
  <c r="BZ21" i="37"/>
  <c r="CA15" i="37"/>
  <c r="BZ17" i="37"/>
  <c r="CI27" i="37"/>
  <c r="BX13" i="37"/>
  <c r="CB21" i="37"/>
  <c r="CF27" i="37"/>
  <c r="CC22" i="37"/>
  <c r="CO25" i="37"/>
  <c r="CD23" i="37"/>
  <c r="CC20" i="37"/>
  <c r="CA25" i="37"/>
  <c r="CO23" i="37"/>
  <c r="BZ18" i="37"/>
  <c r="CL24" i="37"/>
  <c r="CI25" i="37"/>
  <c r="BV27" i="37"/>
  <c r="BU22" i="37"/>
  <c r="CC18" i="37"/>
  <c r="BU16" i="37"/>
  <c r="CM26" i="37"/>
  <c r="BU18" i="37"/>
  <c r="CD19" i="37"/>
  <c r="CA16" i="37"/>
  <c r="CB20" i="37"/>
  <c r="CH19" i="37"/>
  <c r="BU25" i="37"/>
  <c r="CD13" i="37"/>
  <c r="CH24" i="37"/>
  <c r="CM24" i="37"/>
  <c r="BX25" i="37"/>
  <c r="CA27" i="37"/>
  <c r="CN27" i="37"/>
  <c r="BX17" i="37"/>
  <c r="CM23" i="37"/>
  <c r="CB23" i="37"/>
  <c r="CC24" i="37"/>
  <c r="BU14" i="37"/>
  <c r="CB22" i="37"/>
  <c r="CB24" i="37"/>
  <c r="CC25" i="37"/>
  <c r="BU26" i="37"/>
  <c r="CL23" i="37"/>
  <c r="CD14" i="37"/>
  <c r="BV13" i="37"/>
  <c r="BV20" i="37"/>
  <c r="BZ26" i="37"/>
  <c r="BW16" i="37"/>
  <c r="BW23" i="37"/>
  <c r="CO26" i="37"/>
  <c r="CE15" i="37"/>
  <c r="BW18" i="37"/>
  <c r="CB14" i="37"/>
  <c r="BW25" i="37"/>
  <c r="BV16" i="37"/>
  <c r="CE22" i="37"/>
  <c r="AY25" i="37"/>
  <c r="BZ22" i="37"/>
  <c r="BU24" i="37"/>
  <c r="CH13" i="37"/>
  <c r="CA14" i="37"/>
  <c r="CE18" i="37"/>
  <c r="CK25" i="37"/>
  <c r="CM27" i="37"/>
  <c r="BZ15" i="37"/>
  <c r="BV23" i="37"/>
  <c r="BX16" i="37"/>
  <c r="CN25" i="37"/>
  <c r="BZ16" i="37"/>
  <c r="CB26" i="37"/>
  <c r="BU19" i="37"/>
  <c r="CD20" i="37"/>
  <c r="CA20" i="37"/>
  <c r="BW22" i="37"/>
  <c r="BZ24" i="37"/>
  <c r="BW24" i="37"/>
  <c r="CB13" i="37"/>
  <c r="CA19" i="37"/>
  <c r="BX19" i="37"/>
  <c r="BZ27" i="37"/>
  <c r="CF26" i="37"/>
  <c r="CI23" i="37"/>
  <c r="BV19" i="37"/>
  <c r="BW19" i="37"/>
  <c r="CA22" i="37"/>
  <c r="BW14" i="37"/>
  <c r="CE16" i="37"/>
  <c r="BW15" i="37"/>
  <c r="CM25" i="37"/>
  <c r="CF25" i="37"/>
  <c r="BU27" i="37"/>
  <c r="CD22" i="37"/>
  <c r="BV22" i="37"/>
  <c r="CD16" i="37"/>
  <c r="BY15" i="37"/>
  <c r="BX24" i="37"/>
  <c r="CL26" i="37"/>
  <c r="BU23" i="37"/>
  <c r="BV18" i="37"/>
  <c r="CC16" i="37"/>
  <c r="BX18" i="37"/>
  <c r="BV24" i="37"/>
  <c r="CJ24" i="37"/>
  <c r="AY24" i="37"/>
  <c r="CA13" i="37"/>
  <c r="BX27" i="37"/>
  <c r="BX21" i="37"/>
  <c r="BH20" i="37"/>
  <c r="CH20" i="37"/>
  <c r="CN20" i="37"/>
  <c r="BZ13" i="37"/>
  <c r="BZ20" i="37"/>
  <c r="BX20" i="37"/>
  <c r="BU17" i="37"/>
  <c r="CD21" i="37"/>
  <c r="CK27" i="37"/>
  <c r="AY23" i="37"/>
  <c r="BY23" i="37" s="1"/>
  <c r="CD15" i="37"/>
  <c r="CH27" i="37"/>
  <c r="CF23" i="37"/>
  <c r="BY25" i="37"/>
  <c r="BV15" i="37"/>
  <c r="CD24" i="37"/>
  <c r="CA21" i="37"/>
  <c r="CA17" i="37"/>
  <c r="CO24" i="37"/>
  <c r="CI24" i="37"/>
  <c r="BW21" i="37"/>
  <c r="BY24" i="37"/>
  <c r="CJ27" i="37"/>
  <c r="AY26" i="37"/>
  <c r="BW27" i="37"/>
  <c r="CB27" i="37"/>
  <c r="BZ25" i="37"/>
  <c r="CA18" i="37"/>
  <c r="BW20" i="37"/>
  <c r="CK23" i="37"/>
  <c r="CB18" i="37"/>
  <c r="BV14" i="37"/>
  <c r="CD26" i="37"/>
  <c r="CL27" i="37"/>
  <c r="CL25" i="37"/>
  <c r="CD18" i="37"/>
  <c r="CC21" i="37"/>
  <c r="BW26" i="37"/>
  <c r="BZ19" i="37"/>
  <c r="CB15" i="37"/>
  <c r="CN24" i="37"/>
  <c r="CH17" i="37"/>
  <c r="BX22" i="37"/>
  <c r="BW17" i="37"/>
  <c r="BU21" i="37"/>
  <c r="CB16" i="37"/>
  <c r="BW13" i="37"/>
  <c r="CI26" i="37"/>
  <c r="CH21" i="37"/>
  <c r="CB25" i="37"/>
  <c r="CA26" i="37"/>
  <c r="CA24" i="37"/>
  <c r="CO27" i="37"/>
  <c r="CA23" i="37"/>
  <c r="CN23" i="37"/>
  <c r="BV21" i="37"/>
  <c r="CE14" i="37"/>
  <c r="BX15" i="37"/>
  <c r="CC15" i="37"/>
  <c r="BX14" i="37"/>
  <c r="BY26" i="37"/>
  <c r="CC23" i="37"/>
  <c r="CK24" i="37"/>
  <c r="CC14" i="37"/>
  <c r="BZ14" i="37"/>
  <c r="CC13" i="37"/>
  <c r="CD25" i="37"/>
  <c r="CD17" i="37"/>
  <c r="BZ23" i="37"/>
  <c r="CF24" i="37"/>
  <c r="BU20" i="37"/>
  <c r="CC27" i="37"/>
  <c r="BY16" i="37"/>
  <c r="BX23" i="37"/>
  <c r="BU15" i="37"/>
  <c r="CN26" i="37"/>
  <c r="CD27" i="37"/>
  <c r="BX26" i="37"/>
  <c r="AY27" i="37"/>
  <c r="CF19" i="39"/>
  <c r="CA25" i="39"/>
  <c r="BO20" i="39"/>
  <c r="BX17" i="39"/>
  <c r="BU29" i="39"/>
  <c r="BP27" i="39"/>
  <c r="BN18" i="39"/>
  <c r="CG25" i="39"/>
  <c r="BT25" i="39"/>
  <c r="BN20" i="39"/>
  <c r="CA21" i="39"/>
  <c r="BW29" i="39"/>
  <c r="BS24" i="39"/>
  <c r="BN19" i="39"/>
  <c r="CE18" i="39"/>
  <c r="BV18" i="39"/>
  <c r="BZ24" i="39"/>
  <c r="BR26" i="39"/>
  <c r="CE26" i="39"/>
  <c r="CC29" i="39"/>
  <c r="BU18" i="39"/>
  <c r="CD24" i="39"/>
  <c r="CC20" i="39"/>
  <c r="CF18" i="39"/>
  <c r="BX20" i="39"/>
  <c r="CG28" i="39"/>
  <c r="BO25" i="39"/>
  <c r="CB21" i="39"/>
  <c r="BO19" i="39"/>
  <c r="BZ25" i="39"/>
  <c r="BX21" i="39"/>
  <c r="CD25" i="39"/>
  <c r="BR23" i="39"/>
  <c r="CB25" i="39"/>
  <c r="BQ18" i="39"/>
  <c r="CC19" i="39"/>
  <c r="CB22" i="39"/>
  <c r="BX23" i="39"/>
  <c r="CA27" i="39"/>
  <c r="BY29" i="39"/>
  <c r="CD19" i="39"/>
  <c r="BO16" i="39"/>
  <c r="BS23" i="39"/>
  <c r="CA24" i="39"/>
  <c r="BN24" i="39"/>
  <c r="CE20" i="39"/>
  <c r="CC22" i="39"/>
  <c r="BN16" i="39"/>
  <c r="CG22" i="39"/>
  <c r="CB28" i="39"/>
  <c r="BP23" i="39"/>
  <c r="BY20" i="39"/>
  <c r="CC26" i="39"/>
  <c r="CC23" i="39"/>
  <c r="BP29" i="39"/>
  <c r="CH28" i="39"/>
  <c r="CF16" i="39"/>
  <c r="BO23" i="39"/>
  <c r="CB24" i="39"/>
  <c r="BX26" i="39"/>
  <c r="BX28" i="39"/>
  <c r="CD16" i="39"/>
  <c r="CG26" i="39"/>
  <c r="BW21" i="39"/>
  <c r="CH29" i="39"/>
  <c r="BS29" i="39"/>
  <c r="CA20" i="39"/>
  <c r="CG16" i="39"/>
  <c r="BO21" i="39"/>
  <c r="CE27" i="39"/>
  <c r="CE28" i="39"/>
  <c r="CG21" i="39"/>
  <c r="BY23" i="39"/>
  <c r="BW26" i="39"/>
  <c r="BU24" i="39"/>
  <c r="BO27" i="39"/>
  <c r="BP22" i="39"/>
  <c r="CA28" i="39"/>
  <c r="BR29" i="39"/>
  <c r="CE17" i="39"/>
  <c r="BS26" i="39"/>
  <c r="CD17" i="39"/>
  <c r="BV22" i="39"/>
  <c r="BW28" i="39"/>
  <c r="BX16" i="39"/>
  <c r="BP28" i="39"/>
  <c r="BT23" i="39"/>
  <c r="BO24" i="39"/>
  <c r="CF27" i="39"/>
  <c r="BX25" i="39"/>
  <c r="CG27" i="39"/>
  <c r="CE29" i="39"/>
  <c r="CA16" i="39"/>
  <c r="BN21" i="39"/>
  <c r="BZ16" i="39"/>
  <c r="CC21" i="39"/>
  <c r="BQ28" i="39"/>
  <c r="BQ20" i="39"/>
  <c r="BW19" i="39"/>
  <c r="CH25" i="39"/>
  <c r="BN23" i="39"/>
  <c r="BQ26" i="39"/>
  <c r="BZ23" i="39"/>
  <c r="BU23" i="39"/>
  <c r="CD20" i="39"/>
  <c r="BZ21" i="39"/>
  <c r="CG24" i="39"/>
  <c r="CG19" i="39"/>
  <c r="BP26" i="39"/>
  <c r="CC27" i="39"/>
  <c r="CH18" i="39"/>
  <c r="CD27" i="39"/>
  <c r="BQ17" i="39"/>
  <c r="CC18" i="39"/>
  <c r="BX24" i="39"/>
  <c r="CG18" i="39"/>
  <c r="BU16" i="39"/>
  <c r="BR27" i="39"/>
  <c r="CD26" i="39"/>
  <c r="BP18" i="39"/>
  <c r="BU20" i="39"/>
  <c r="CD18" i="39"/>
  <c r="CH24" i="39"/>
  <c r="BZ26" i="39"/>
  <c r="BT17" i="39"/>
  <c r="CA23" i="39"/>
  <c r="BO18" i="39"/>
  <c r="BQ25" i="39"/>
  <c r="BS22" i="39"/>
  <c r="BS19" i="39"/>
  <c r="CF20" i="39"/>
  <c r="BT29" i="39"/>
  <c r="BN22" i="39"/>
  <c r="CC24" i="39"/>
  <c r="CA22" i="39"/>
  <c r="CA18" i="39"/>
  <c r="BQ22" i="39"/>
  <c r="BQ29" i="39"/>
  <c r="CF25" i="39"/>
  <c r="BX22" i="39"/>
  <c r="BN29" i="39"/>
  <c r="BR16" i="39"/>
  <c r="BR18" i="39"/>
  <c r="CA26" i="39"/>
  <c r="BV20" i="39"/>
  <c r="CD28" i="39"/>
  <c r="CE25" i="39"/>
  <c r="CE16" i="39"/>
  <c r="CH22" i="39"/>
  <c r="BV17" i="39"/>
  <c r="CF29" i="39"/>
  <c r="BS18" i="39"/>
  <c r="BY16" i="39"/>
  <c r="CG17" i="39"/>
  <c r="CD21" i="39"/>
  <c r="BY27" i="39"/>
  <c r="CH21" i="39"/>
  <c r="BV19" i="39"/>
  <c r="BV26" i="39"/>
  <c r="CE23" i="39"/>
  <c r="BY18" i="39"/>
  <c r="BZ29" i="39"/>
  <c r="CE21" i="39"/>
  <c r="BS16" i="39"/>
  <c r="CA29" i="39"/>
  <c r="BR20" i="39"/>
  <c r="CH17" i="39"/>
  <c r="BQ27" i="39"/>
  <c r="BR28" i="39"/>
  <c r="BP16" i="39"/>
  <c r="BT22" i="39"/>
  <c r="CG23" i="39"/>
  <c r="CC28" i="39"/>
  <c r="BT21" i="39"/>
  <c r="CF26" i="39"/>
  <c r="BZ28" i="39"/>
  <c r="BS27" i="39"/>
  <c r="BV16" i="39"/>
  <c r="CH23" i="39"/>
  <c r="BU21" i="39"/>
  <c r="BO17" i="39"/>
  <c r="BO22" i="39"/>
  <c r="BT20" i="39"/>
  <c r="BR22" i="39"/>
  <c r="BN28" i="39"/>
  <c r="CD29" i="39"/>
  <c r="BR19" i="39"/>
  <c r="BW17" i="39"/>
  <c r="BT28" i="39"/>
  <c r="BZ27" i="39"/>
  <c r="BY25" i="39"/>
  <c r="CD23" i="39"/>
  <c r="CA19" i="39"/>
  <c r="BS21" i="39"/>
  <c r="CB29" i="39"/>
  <c r="CF23" i="39"/>
  <c r="BU19" i="39"/>
  <c r="BP25" i="39"/>
  <c r="BS20" i="39"/>
  <c r="BN26" i="39"/>
  <c r="BW20" i="39"/>
  <c r="CF17" i="39"/>
  <c r="CB26" i="39"/>
  <c r="BX27" i="39"/>
  <c r="BT18" i="39"/>
  <c r="CE24" i="39"/>
  <c r="BW18" i="39"/>
  <c r="BN25" i="39"/>
  <c r="BW22" i="39"/>
  <c r="BW23" i="39"/>
  <c r="BT16" i="39"/>
  <c r="CD22" i="39"/>
  <c r="BP19" i="39"/>
  <c r="CF24" i="39"/>
  <c r="BT19" i="39"/>
  <c r="CC16" i="39"/>
  <c r="CB23" i="39"/>
  <c r="BX29" i="39"/>
  <c r="BT27" i="39"/>
  <c r="CF21" i="39"/>
  <c r="BQ19" i="39"/>
  <c r="BU25" i="39"/>
  <c r="CH26" i="39"/>
  <c r="BN27" i="39"/>
  <c r="BZ20" i="39"/>
  <c r="BW24" i="39"/>
  <c r="BT24" i="39"/>
  <c r="BO29" i="39"/>
  <c r="BP24" i="39"/>
  <c r="BO28" i="39"/>
  <c r="BU22" i="39"/>
  <c r="CB16" i="39"/>
  <c r="BO26" i="39"/>
  <c r="BU17" i="39"/>
  <c r="BQ24" i="39"/>
  <c r="CG29" i="39"/>
  <c r="BY22" i="39"/>
  <c r="BR24" i="39"/>
  <c r="BV23" i="39"/>
  <c r="BY19" i="39"/>
  <c r="CC25" i="39"/>
  <c r="BU27" i="39"/>
  <c r="CG20" i="39"/>
  <c r="BV27" i="39"/>
  <c r="CH20" i="39"/>
  <c r="CE19" i="39"/>
  <c r="BU26" i="39"/>
  <c r="BY24" i="39"/>
  <c r="BY26" i="39"/>
  <c r="BT26" i="39"/>
  <c r="CB20" i="39"/>
  <c r="BQ21" i="39"/>
  <c r="BV24" i="39"/>
  <c r="BZ19" i="39"/>
  <c r="BX18" i="39"/>
  <c r="BP20" i="39"/>
  <c r="BY28" i="39"/>
  <c r="BV28" i="39"/>
  <c r="BP21" i="39"/>
  <c r="CB18" i="39"/>
  <c r="BR25" i="39"/>
  <c r="CH19" i="39"/>
  <c r="BV25" i="39"/>
  <c r="CE22" i="39"/>
  <c r="CH16" i="39"/>
  <c r="BR21" i="39"/>
  <c r="CF28" i="39"/>
  <c r="BX19" i="39"/>
  <c r="BS25" i="39"/>
  <c r="CB19" i="39"/>
  <c r="BP17" i="39"/>
  <c r="BR17" i="39"/>
  <c r="CA17" i="39"/>
  <c r="BQ16" i="39"/>
  <c r="BW16" i="39"/>
  <c r="BZ22" i="39"/>
  <c r="BN17" i="39"/>
  <c r="CH27" i="39"/>
  <c r="CB27" i="39"/>
  <c r="BU28" i="39"/>
  <c r="BV21" i="39"/>
  <c r="CF22" i="39"/>
  <c r="BV29" i="39"/>
  <c r="BZ18" i="39"/>
  <c r="BW27" i="39"/>
  <c r="BY21" i="39"/>
  <c r="BQ23" i="39"/>
  <c r="BS28" i="39"/>
  <c r="BW25" i="39"/>
  <c r="BS17" i="39"/>
  <c r="BY17" i="41"/>
  <c r="CB17" i="41"/>
  <c r="BZ29" i="41"/>
  <c r="BZ22" i="41"/>
  <c r="BZ21" i="41"/>
  <c r="BZ21" i="42"/>
  <c r="BZ22" i="42"/>
  <c r="BZ29" i="42"/>
  <c r="BZ28" i="42"/>
  <c r="BY17" i="42"/>
  <c r="BV17" i="42"/>
  <c r="BK17" i="42" l="1"/>
  <c r="BI17" i="42"/>
  <c r="BI17" i="41"/>
  <c r="BL17" i="41"/>
  <c r="BH17" i="39"/>
  <c r="BK17" i="39"/>
  <c r="BM25" i="37"/>
  <c r="BN25" i="37"/>
  <c r="BN13" i="37"/>
  <c r="BN19" i="37"/>
  <c r="BN21" i="37"/>
  <c r="BQ22" i="37"/>
  <c r="BQ25" i="37"/>
  <c r="BQ26" i="37"/>
  <c r="BN17" i="37"/>
  <c r="BQ18" i="37"/>
  <c r="BN23" i="37"/>
  <c r="BN26" i="37"/>
  <c r="BO21" i="37"/>
  <c r="BR21" i="37"/>
  <c r="BO13" i="37"/>
  <c r="BR13" i="37"/>
  <c r="BR20" i="37"/>
  <c r="BS20" i="37" s="1"/>
  <c r="BO20" i="37"/>
  <c r="BO22" i="37"/>
  <c r="BR22" i="37"/>
  <c r="BR18" i="37"/>
  <c r="BO18" i="37"/>
  <c r="BP22" i="37"/>
  <c r="BR15" i="37"/>
  <c r="BO15" i="37"/>
  <c r="BR14" i="37"/>
  <c r="BO14" i="37"/>
  <c r="BR16" i="37"/>
  <c r="BO16" i="37"/>
  <c r="BS22" i="37"/>
  <c r="BS23" i="37"/>
  <c r="AW17" i="37"/>
  <c r="BJ19" i="37"/>
  <c r="AZ22" i="37"/>
  <c r="BO23" i="37"/>
  <c r="BP23" i="37" s="1"/>
  <c r="BO26" i="37"/>
  <c r="BP26" i="37" s="1"/>
  <c r="AZ13" i="37"/>
  <c r="BQ14" i="37"/>
  <c r="BQ15" i="37"/>
  <c r="BQ16" i="37"/>
  <c r="BN24" i="37"/>
  <c r="BN27" i="37"/>
  <c r="BN20" i="37"/>
  <c r="BO27" i="37"/>
  <c r="AZ18" i="37"/>
  <c r="BC14" i="36"/>
  <c r="BC15" i="36"/>
  <c r="BC16" i="36"/>
  <c r="BC17" i="36"/>
  <c r="BC18" i="36"/>
  <c r="BC19" i="36"/>
  <c r="BC20" i="36"/>
  <c r="BC21" i="36"/>
  <c r="BC24" i="36"/>
  <c r="BC25" i="36"/>
  <c r="BC26" i="36"/>
  <c r="BC27" i="36"/>
  <c r="BC13" i="36"/>
  <c r="AL14" i="36"/>
  <c r="AL15" i="36"/>
  <c r="AL16" i="36"/>
  <c r="AL17" i="36"/>
  <c r="AL18" i="36"/>
  <c r="AL19" i="36"/>
  <c r="AL20" i="36"/>
  <c r="AL21" i="36"/>
  <c r="AL13" i="36"/>
  <c r="BY27" i="37"/>
  <c r="BH18" i="37"/>
  <c r="BH19" i="37"/>
  <c r="CI14" i="37"/>
  <c r="BB20" i="37"/>
  <c r="CB19" i="37"/>
  <c r="BH15" i="37"/>
  <c r="AY13" i="37"/>
  <c r="CI21" i="37"/>
  <c r="BH14" i="37"/>
  <c r="CI20" i="37"/>
  <c r="BF13" i="37"/>
  <c r="CG26" i="37"/>
  <c r="CE23" i="37"/>
  <c r="CJ20" i="37"/>
  <c r="CE13" i="37"/>
  <c r="CE24" i="37"/>
  <c r="BD16" i="37"/>
  <c r="CF20" i="37"/>
  <c r="CE19" i="37"/>
  <c r="BE13" i="37"/>
  <c r="CE17" i="37"/>
  <c r="AY19" i="37"/>
  <c r="BH16" i="37"/>
  <c r="BA15" i="37"/>
  <c r="BH13" i="37"/>
  <c r="CH15" i="37"/>
  <c r="AY14" i="37"/>
  <c r="CE21" i="37"/>
  <c r="BH22" i="37"/>
  <c r="BE15" i="37"/>
  <c r="BF20" i="37"/>
  <c r="CI16" i="37"/>
  <c r="BB16" i="37"/>
  <c r="BF21" i="37"/>
  <c r="CE27" i="37"/>
  <c r="BD15" i="37"/>
  <c r="CJ23" i="37"/>
  <c r="CJ22" i="37"/>
  <c r="BG16" i="37"/>
  <c r="BJ17" i="37"/>
  <c r="BE14" i="37"/>
  <c r="AY22" i="37"/>
  <c r="BF14" i="37"/>
  <c r="BD14" i="37"/>
  <c r="CH22" i="37"/>
  <c r="BB18" i="37"/>
  <c r="BB19" i="37"/>
  <c r="BA14" i="37"/>
  <c r="CG23" i="37"/>
  <c r="CH18" i="37"/>
  <c r="BD21" i="37"/>
  <c r="BE16" i="37"/>
  <c r="CF13" i="37"/>
  <c r="BE18" i="37"/>
  <c r="BF16" i="37"/>
  <c r="CE25" i="37"/>
  <c r="BB14" i="37"/>
  <c r="CF14" i="37"/>
  <c r="BF22" i="37"/>
  <c r="CF22" i="37"/>
  <c r="BB21" i="37"/>
  <c r="BD13" i="37"/>
  <c r="BG14" i="37"/>
  <c r="BB15" i="37"/>
  <c r="CI15" i="37"/>
  <c r="CI13" i="37"/>
  <c r="BF19" i="37"/>
  <c r="CH14" i="37"/>
  <c r="AY20" i="37"/>
  <c r="CF15" i="37"/>
  <c r="BJ17" i="36"/>
  <c r="BG15" i="37"/>
  <c r="CI22" i="37"/>
  <c r="BE22" i="37"/>
  <c r="CG22" i="37"/>
  <c r="BH21" i="37"/>
  <c r="CI18" i="37"/>
  <c r="AY18" i="37"/>
  <c r="BA13" i="37"/>
  <c r="BY14" i="37"/>
  <c r="BE21" i="37"/>
  <c r="CF16" i="37"/>
  <c r="AY21" i="37"/>
  <c r="BY21" i="37" s="1"/>
  <c r="BE19" i="37"/>
  <c r="CF18" i="37"/>
  <c r="BB13" i="37"/>
  <c r="BE20" i="37"/>
  <c r="CE26" i="37"/>
  <c r="BF15" i="37"/>
  <c r="CE20" i="37"/>
  <c r="BD22" i="37"/>
  <c r="CH25" i="37"/>
  <c r="BG21" i="37"/>
  <c r="CF21" i="37"/>
  <c r="BF18" i="37"/>
  <c r="BY13" i="37"/>
  <c r="BD18" i="37"/>
  <c r="CH16" i="37"/>
  <c r="CH26" i="37"/>
  <c r="BB22" i="37"/>
  <c r="BA16" i="37"/>
  <c r="BD19" i="37"/>
  <c r="BA19" i="37"/>
  <c r="BG19" i="37"/>
  <c r="BY22" i="37"/>
  <c r="BA22" i="37"/>
  <c r="BG22" i="37"/>
  <c r="BY20" i="37"/>
  <c r="BD20" i="37"/>
  <c r="BG20" i="37"/>
  <c r="BA18" i="37"/>
  <c r="BY18" i="37"/>
  <c r="BG18" i="37"/>
  <c r="CB17" i="39"/>
  <c r="BY17" i="39"/>
  <c r="CC17" i="41"/>
  <c r="BZ17" i="41"/>
  <c r="CB17" i="42"/>
  <c r="BZ17" i="42"/>
  <c r="BL17" i="42" l="1"/>
  <c r="BL17" i="39"/>
  <c r="BI17" i="39"/>
  <c r="BP21" i="37"/>
  <c r="BP25" i="37"/>
  <c r="BP15" i="37"/>
  <c r="BP13" i="37"/>
  <c r="BK19" i="37"/>
  <c r="BO19" i="37" s="1"/>
  <c r="BS25" i="37"/>
  <c r="BS21" i="37"/>
  <c r="BS16" i="37"/>
  <c r="BS13" i="37"/>
  <c r="BP20" i="37"/>
  <c r="BS26" i="37"/>
  <c r="BP24" i="37"/>
  <c r="BS18" i="37"/>
  <c r="BS15" i="37"/>
  <c r="BP16" i="37"/>
  <c r="BP14" i="37"/>
  <c r="BS14" i="37"/>
  <c r="BP18" i="37"/>
  <c r="BT19" i="37"/>
  <c r="BT18" i="37"/>
  <c r="BK17" i="37"/>
  <c r="BT22" i="37"/>
  <c r="BT15" i="37"/>
  <c r="BT20" i="37"/>
  <c r="BT13" i="37"/>
  <c r="BT16" i="37"/>
  <c r="BT14" i="37"/>
  <c r="BT21" i="37"/>
  <c r="BP27" i="37"/>
  <c r="BR19" i="37"/>
  <c r="AY17" i="37"/>
  <c r="BF17" i="37"/>
  <c r="BE17" i="37"/>
  <c r="BK27" i="36"/>
  <c r="BR27" i="36" s="1"/>
  <c r="BB27" i="36"/>
  <c r="BA27" i="36"/>
  <c r="AZ27" i="36"/>
  <c r="AX27" i="36"/>
  <c r="AV27" i="36"/>
  <c r="BK26" i="36"/>
  <c r="BR26" i="36" s="1"/>
  <c r="BB26" i="36"/>
  <c r="BA26" i="36"/>
  <c r="AZ26" i="36"/>
  <c r="AX26" i="36"/>
  <c r="AV26" i="36"/>
  <c r="BK25" i="36"/>
  <c r="BR25" i="36" s="1"/>
  <c r="BB25" i="36"/>
  <c r="BA25" i="36"/>
  <c r="AZ25" i="36"/>
  <c r="AX25" i="36"/>
  <c r="AV25" i="36"/>
  <c r="BK24" i="36"/>
  <c r="BO24" i="36" s="1"/>
  <c r="BB24" i="36"/>
  <c r="BA24" i="36"/>
  <c r="AZ24" i="36"/>
  <c r="AX24" i="36"/>
  <c r="AV24" i="36"/>
  <c r="BK23" i="36"/>
  <c r="BR23" i="36" s="1"/>
  <c r="BB23" i="36"/>
  <c r="BA23" i="36"/>
  <c r="AZ23" i="36"/>
  <c r="AX23" i="36"/>
  <c r="AV23" i="36"/>
  <c r="AX22" i="36"/>
  <c r="AZ22" i="36" s="1"/>
  <c r="AV22" i="36"/>
  <c r="AZ21" i="36"/>
  <c r="AX21" i="36"/>
  <c r="AV21" i="36"/>
  <c r="AX20" i="36"/>
  <c r="AZ20" i="36" s="1"/>
  <c r="AV20" i="36"/>
  <c r="AZ19" i="36"/>
  <c r="AX19" i="36"/>
  <c r="AV19" i="36"/>
  <c r="AZ18" i="36"/>
  <c r="AX18" i="36"/>
  <c r="AV18" i="36"/>
  <c r="AX17" i="36"/>
  <c r="AZ17" i="36" s="1"/>
  <c r="AV17" i="36"/>
  <c r="AX16" i="36"/>
  <c r="AZ16" i="36" s="1"/>
  <c r="AV16" i="36"/>
  <c r="AX15" i="36"/>
  <c r="AZ15" i="36" s="1"/>
  <c r="AV15" i="36"/>
  <c r="AZ14" i="36"/>
  <c r="AX14" i="36"/>
  <c r="AV14" i="36"/>
  <c r="AX13" i="36"/>
  <c r="AV13" i="36"/>
  <c r="CO18" i="37"/>
  <c r="CI19" i="37"/>
  <c r="CJ21" i="37"/>
  <c r="CD23" i="36"/>
  <c r="CD19" i="36"/>
  <c r="BW22" i="36"/>
  <c r="CL24" i="36"/>
  <c r="CO25" i="36"/>
  <c r="CC24" i="36"/>
  <c r="CD14" i="36"/>
  <c r="CG14" i="37"/>
  <c r="CO20" i="37"/>
  <c r="CK22" i="37"/>
  <c r="CM19" i="37"/>
  <c r="CK14" i="37"/>
  <c r="CN22" i="37"/>
  <c r="CN15" i="37"/>
  <c r="CD15" i="36"/>
  <c r="CN24" i="36"/>
  <c r="CN26" i="36"/>
  <c r="CG20" i="37"/>
  <c r="BG17" i="37"/>
  <c r="CK20" i="37"/>
  <c r="CM15" i="37"/>
  <c r="CO14" i="37"/>
  <c r="CM14" i="37"/>
  <c r="CN13" i="37"/>
  <c r="CN19" i="37"/>
  <c r="CD24" i="36"/>
  <c r="CD20" i="36"/>
  <c r="CC23" i="36"/>
  <c r="CI25" i="36"/>
  <c r="CL27" i="36"/>
  <c r="BA20" i="37"/>
  <c r="CB24" i="36"/>
  <c r="CL17" i="37"/>
  <c r="CC27" i="36"/>
  <c r="CL23" i="36"/>
  <c r="CD17" i="36"/>
  <c r="CO22" i="37"/>
  <c r="CL20" i="37"/>
  <c r="CK13" i="37"/>
  <c r="CL14" i="37"/>
  <c r="CN16" i="37"/>
  <c r="CN18" i="37"/>
  <c r="CK26" i="36"/>
  <c r="CF24" i="36"/>
  <c r="CB26" i="36"/>
  <c r="BZ14" i="36"/>
  <c r="CI26" i="36"/>
  <c r="CM17" i="37"/>
  <c r="CB25" i="36"/>
  <c r="CL25" i="36"/>
  <c r="BZ16" i="36"/>
  <c r="CM24" i="36"/>
  <c r="CJ16" i="37"/>
  <c r="CO23" i="36"/>
  <c r="CD25" i="36"/>
  <c r="CL19" i="37"/>
  <c r="CM22" i="37"/>
  <c r="CO16" i="37"/>
  <c r="BY19" i="37"/>
  <c r="CI27" i="36"/>
  <c r="CB17" i="37"/>
  <c r="BZ26" i="36"/>
  <c r="BG13" i="37"/>
  <c r="BW20" i="36"/>
  <c r="BZ24" i="36"/>
  <c r="CJ26" i="37"/>
  <c r="CK23" i="36"/>
  <c r="CO24" i="36"/>
  <c r="BW18" i="36"/>
  <c r="CG21" i="37"/>
  <c r="CM27" i="36"/>
  <c r="CN25" i="36"/>
  <c r="CO27" i="36"/>
  <c r="CG18" i="37"/>
  <c r="CO19" i="37"/>
  <c r="CB27" i="36"/>
  <c r="BY15" i="36"/>
  <c r="CN23" i="36"/>
  <c r="CG13" i="37"/>
  <c r="BZ27" i="36"/>
  <c r="BY17" i="37"/>
  <c r="CG15" i="37"/>
  <c r="CK25" i="36"/>
  <c r="CB23" i="36"/>
  <c r="CK19" i="37"/>
  <c r="CL21" i="37"/>
  <c r="CM16" i="37"/>
  <c r="CK15" i="37"/>
  <c r="CL13" i="37"/>
  <c r="BA21" i="37"/>
  <c r="BZ25" i="36"/>
  <c r="CG27" i="37"/>
  <c r="CC26" i="36"/>
  <c r="CK18" i="37"/>
  <c r="CN21" i="37"/>
  <c r="CL18" i="37"/>
  <c r="CM21" i="37"/>
  <c r="CK16" i="37"/>
  <c r="CD21" i="36"/>
  <c r="BZ17" i="36"/>
  <c r="CN27" i="36"/>
  <c r="CC19" i="37"/>
  <c r="CL26" i="36"/>
  <c r="CG25" i="37"/>
  <c r="CD22" i="36"/>
  <c r="CC17" i="37"/>
  <c r="BW21" i="36"/>
  <c r="CF19" i="37"/>
  <c r="CI23" i="36"/>
  <c r="CM18" i="37"/>
  <c r="CL22" i="37"/>
  <c r="CL16" i="37"/>
  <c r="CM20" i="37"/>
  <c r="CM13" i="37"/>
  <c r="BW19" i="36"/>
  <c r="CJ13" i="37"/>
  <c r="CM23" i="36"/>
  <c r="CJ14" i="37"/>
  <c r="CO26" i="36"/>
  <c r="CJ18" i="37"/>
  <c r="BY16" i="36"/>
  <c r="CG16" i="37"/>
  <c r="CD18" i="36"/>
  <c r="CJ25" i="37"/>
  <c r="CC25" i="36"/>
  <c r="CK24" i="36"/>
  <c r="BZ19" i="36"/>
  <c r="CO21" i="37"/>
  <c r="CO15" i="37"/>
  <c r="CK21" i="37"/>
  <c r="CL15" i="37"/>
  <c r="CN14" i="37"/>
  <c r="CD26" i="36"/>
  <c r="CD27" i="36"/>
  <c r="BD17" i="37"/>
  <c r="CD16" i="36"/>
  <c r="CM25" i="36"/>
  <c r="BH17" i="37"/>
  <c r="CM26" i="36"/>
  <c r="BZ15" i="36"/>
  <c r="CG24" i="37"/>
  <c r="BB17" i="37"/>
  <c r="BA17" i="37"/>
  <c r="CK27" i="36"/>
  <c r="CJ15" i="37"/>
  <c r="BZ17" i="39"/>
  <c r="CC17" i="39"/>
  <c r="CC17" i="42"/>
  <c r="BP19" i="37" l="1"/>
  <c r="BS19" i="37"/>
  <c r="BT17" i="37"/>
  <c r="BR17" i="37"/>
  <c r="BO17" i="37"/>
  <c r="BO25" i="36"/>
  <c r="BR24" i="36"/>
  <c r="BO23" i="36"/>
  <c r="BO26" i="36"/>
  <c r="AZ13" i="36"/>
  <c r="BO27" i="36"/>
  <c r="AQ27" i="36"/>
  <c r="BI27" i="36" s="1"/>
  <c r="AJ27" i="36"/>
  <c r="AF27" i="36"/>
  <c r="AE27" i="36"/>
  <c r="AQ26" i="36"/>
  <c r="AJ26" i="36"/>
  <c r="AF26" i="36"/>
  <c r="AE26" i="36"/>
  <c r="AQ25" i="36"/>
  <c r="BI25" i="36" s="1"/>
  <c r="AJ25" i="36"/>
  <c r="AF25" i="36"/>
  <c r="AE25" i="36"/>
  <c r="AQ24" i="36"/>
  <c r="BI24" i="36" s="1"/>
  <c r="AJ24" i="36"/>
  <c r="AF24" i="36"/>
  <c r="AE24" i="36"/>
  <c r="AQ23" i="36"/>
  <c r="AL23" i="36"/>
  <c r="AJ23" i="36"/>
  <c r="AF23" i="36"/>
  <c r="AE23" i="36"/>
  <c r="AQ22" i="36"/>
  <c r="BJ22" i="36" s="1"/>
  <c r="AL22" i="36"/>
  <c r="AJ22" i="36"/>
  <c r="AF22" i="36"/>
  <c r="AE22" i="36"/>
  <c r="AQ21" i="36"/>
  <c r="BI21" i="36" s="1"/>
  <c r="AJ21" i="36"/>
  <c r="AF21" i="36"/>
  <c r="AE21" i="36"/>
  <c r="AQ20" i="36"/>
  <c r="BI20" i="36" s="1"/>
  <c r="AJ20" i="36"/>
  <c r="AF20" i="36"/>
  <c r="AE20" i="36"/>
  <c r="AQ19" i="36"/>
  <c r="BI19" i="36" s="1"/>
  <c r="AJ19" i="36"/>
  <c r="AF19" i="36"/>
  <c r="AE19" i="36"/>
  <c r="AQ18" i="36"/>
  <c r="BI18" i="36" s="1"/>
  <c r="AJ18" i="36"/>
  <c r="AF18" i="36"/>
  <c r="AE18" i="36"/>
  <c r="AR17" i="36"/>
  <c r="AQ17" i="36"/>
  <c r="AP17" i="36"/>
  <c r="AJ17" i="36"/>
  <c r="AF17" i="36"/>
  <c r="AE17" i="36"/>
  <c r="AR16" i="36"/>
  <c r="AQ16" i="36"/>
  <c r="BI16" i="36" s="1"/>
  <c r="AP16" i="36"/>
  <c r="AJ16" i="36"/>
  <c r="AF16" i="36"/>
  <c r="AE16" i="36"/>
  <c r="AR15" i="36"/>
  <c r="AQ15" i="36"/>
  <c r="BI15" i="36" s="1"/>
  <c r="AP15" i="36"/>
  <c r="AJ15" i="36"/>
  <c r="AF15" i="36"/>
  <c r="AE15" i="36"/>
  <c r="AR14" i="36"/>
  <c r="AQ14" i="36"/>
  <c r="BI14" i="36" s="1"/>
  <c r="AP14" i="36"/>
  <c r="AJ14" i="36"/>
  <c r="AF14" i="36"/>
  <c r="AE14" i="36"/>
  <c r="AR13" i="36"/>
  <c r="AQ13" i="36"/>
  <c r="BI13" i="36" s="1"/>
  <c r="AN13" i="36"/>
  <c r="AP13" i="36" s="1"/>
  <c r="AJ13" i="36"/>
  <c r="AF13" i="36"/>
  <c r="AG13" i="36" s="1"/>
  <c r="AE13" i="36"/>
  <c r="AT13" i="36" s="1"/>
  <c r="AU13" i="36" s="1"/>
  <c r="AW13" i="36" s="1"/>
  <c r="CN17" i="37"/>
  <c r="BX22" i="36"/>
  <c r="BU14" i="36"/>
  <c r="BU13" i="36"/>
  <c r="BX20" i="36"/>
  <c r="CF26" i="36"/>
  <c r="CJ19" i="37"/>
  <c r="BV20" i="36"/>
  <c r="BV18" i="36"/>
  <c r="CK17" i="37"/>
  <c r="BX18" i="36"/>
  <c r="BU27" i="36"/>
  <c r="BU25" i="36"/>
  <c r="BV23" i="36"/>
  <c r="BX25" i="36"/>
  <c r="CI17" i="37"/>
  <c r="CF27" i="36"/>
  <c r="CF23" i="36"/>
  <c r="CO13" i="37"/>
  <c r="BU26" i="36"/>
  <c r="CA24" i="36"/>
  <c r="BU23" i="36"/>
  <c r="BV21" i="36"/>
  <c r="BV27" i="36"/>
  <c r="BV14" i="36"/>
  <c r="BU18" i="36"/>
  <c r="BV15" i="36"/>
  <c r="CO17" i="37"/>
  <c r="BV24" i="36"/>
  <c r="BX26" i="36"/>
  <c r="BX24" i="36"/>
  <c r="CB22" i="36"/>
  <c r="BX21" i="36"/>
  <c r="BU22" i="36"/>
  <c r="BU20" i="36"/>
  <c r="BX19" i="36"/>
  <c r="BU24" i="36"/>
  <c r="BU17" i="36"/>
  <c r="CA27" i="36"/>
  <c r="CA25" i="36"/>
  <c r="BV19" i="36"/>
  <c r="BV25" i="36"/>
  <c r="BX23" i="36"/>
  <c r="BX16" i="36"/>
  <c r="BZ18" i="36"/>
  <c r="BX14" i="36"/>
  <c r="BE13" i="36"/>
  <c r="CF25" i="36"/>
  <c r="BU21" i="36"/>
  <c r="BZ21" i="36"/>
  <c r="BZ20" i="36"/>
  <c r="BV17" i="36"/>
  <c r="CG19" i="37"/>
  <c r="BV22" i="36"/>
  <c r="BV16" i="36"/>
  <c r="BV26" i="36"/>
  <c r="BX15" i="36"/>
  <c r="BU16" i="36"/>
  <c r="BU15" i="36"/>
  <c r="BX27" i="36"/>
  <c r="CF17" i="37"/>
  <c r="CI24" i="36"/>
  <c r="BU19" i="36"/>
  <c r="BX17" i="36"/>
  <c r="BP17" i="37" l="1"/>
  <c r="BS17" i="37"/>
  <c r="BC23" i="36"/>
  <c r="BI23" i="36"/>
  <c r="BM25" i="36"/>
  <c r="BQ25" i="36" s="1"/>
  <c r="BC22" i="36"/>
  <c r="BI22" i="36"/>
  <c r="BM26" i="36"/>
  <c r="BI26" i="36"/>
  <c r="BI17" i="36"/>
  <c r="AT24" i="36"/>
  <c r="AU24" i="36" s="1"/>
  <c r="AW24" i="36" s="1"/>
  <c r="AG14" i="36"/>
  <c r="BQ27" i="36"/>
  <c r="AT17" i="36"/>
  <c r="AU17" i="36" s="1"/>
  <c r="AW17" i="36" s="1"/>
  <c r="AG24" i="36"/>
  <c r="BJ14" i="36"/>
  <c r="AT16" i="36"/>
  <c r="AU16" i="36" s="1"/>
  <c r="AW16" i="36" s="1"/>
  <c r="AT19" i="36"/>
  <c r="AU19" i="36" s="1"/>
  <c r="AW19" i="36" s="1"/>
  <c r="AT21" i="36"/>
  <c r="AU21" i="36" s="1"/>
  <c r="AW21" i="36" s="1"/>
  <c r="BK22" i="36"/>
  <c r="BJ15" i="36"/>
  <c r="BN15" i="36"/>
  <c r="AT26" i="36"/>
  <c r="AU26" i="36" s="1"/>
  <c r="AW26" i="36" s="1"/>
  <c r="AG17" i="36"/>
  <c r="AG26" i="36"/>
  <c r="AG16" i="36"/>
  <c r="AT23" i="36"/>
  <c r="AU23" i="36" s="1"/>
  <c r="AW23" i="36" s="1"/>
  <c r="BQ24" i="36"/>
  <c r="BS24" i="36" s="1"/>
  <c r="BN27" i="36"/>
  <c r="BJ20" i="36"/>
  <c r="BJ13" i="36"/>
  <c r="BK13" i="36" s="1"/>
  <c r="AT15" i="36"/>
  <c r="AU15" i="36" s="1"/>
  <c r="AW15" i="36" s="1"/>
  <c r="AG23" i="36"/>
  <c r="AT25" i="36"/>
  <c r="AU25" i="36" s="1"/>
  <c r="AW25" i="36" s="1"/>
  <c r="AT27" i="36"/>
  <c r="AU27" i="36" s="1"/>
  <c r="AW27" i="36" s="1"/>
  <c r="BN24" i="36"/>
  <c r="BP24" i="36" s="1"/>
  <c r="BJ18" i="36"/>
  <c r="AG15" i="36"/>
  <c r="BJ19" i="36"/>
  <c r="BJ21" i="36"/>
  <c r="AG25" i="36"/>
  <c r="AG27" i="36"/>
  <c r="AT14" i="36"/>
  <c r="AU14" i="36" s="1"/>
  <c r="AW14" i="36" s="1"/>
  <c r="BJ16" i="36"/>
  <c r="AT18" i="36"/>
  <c r="AU18" i="36" s="1"/>
  <c r="AW18" i="36" s="1"/>
  <c r="AT20" i="36"/>
  <c r="AU20" i="36" s="1"/>
  <c r="AW20" i="36" s="1"/>
  <c r="AT22" i="36"/>
  <c r="AU22" i="36" s="1"/>
  <c r="AW22" i="36" s="1"/>
  <c r="BN25" i="36"/>
  <c r="BN19" i="36"/>
  <c r="BP27" i="36"/>
  <c r="BQ25" i="34"/>
  <c r="BQ26" i="34"/>
  <c r="BQ27" i="34"/>
  <c r="BQ24" i="34"/>
  <c r="BM26" i="34"/>
  <c r="BN26" i="34" s="1"/>
  <c r="BN27" i="34"/>
  <c r="BN24" i="34"/>
  <c r="BN25" i="34"/>
  <c r="BM25" i="34"/>
  <c r="AW10" i="34"/>
  <c r="AX14" i="34"/>
  <c r="AZ24" i="34"/>
  <c r="BA24" i="34"/>
  <c r="BB24" i="34"/>
  <c r="AZ25" i="34"/>
  <c r="BA25" i="34"/>
  <c r="BB25" i="34"/>
  <c r="AZ26" i="34"/>
  <c r="BA26" i="34"/>
  <c r="BB26" i="34"/>
  <c r="AZ27" i="34"/>
  <c r="BA27" i="34"/>
  <c r="BB27" i="34"/>
  <c r="BA23" i="34"/>
  <c r="BB23" i="34"/>
  <c r="AZ23" i="34"/>
  <c r="AZ14" i="34"/>
  <c r="AZ16" i="34"/>
  <c r="AZ17" i="34"/>
  <c r="AZ18" i="34"/>
  <c r="AZ19" i="34"/>
  <c r="AZ20" i="34"/>
  <c r="AZ21" i="34"/>
  <c r="AZ22" i="34"/>
  <c r="AX15" i="34"/>
  <c r="AZ15" i="34" s="1"/>
  <c r="AX16" i="34"/>
  <c r="AX17" i="34"/>
  <c r="AX18" i="34"/>
  <c r="AX19" i="34"/>
  <c r="AX20" i="34"/>
  <c r="AX21" i="34"/>
  <c r="AX22" i="34"/>
  <c r="AX23" i="34"/>
  <c r="AX24" i="34"/>
  <c r="AX25" i="34"/>
  <c r="AX26" i="34"/>
  <c r="AX27" i="34"/>
  <c r="CA17" i="36"/>
  <c r="CG17" i="37"/>
  <c r="BW25" i="36"/>
  <c r="CL27" i="34"/>
  <c r="CA20" i="36"/>
  <c r="CL23" i="34"/>
  <c r="CB21" i="36"/>
  <c r="CN24" i="34"/>
  <c r="BA17" i="36"/>
  <c r="CE27" i="36"/>
  <c r="BH13" i="36"/>
  <c r="BZ22" i="36"/>
  <c r="CB14" i="36"/>
  <c r="CD26" i="34"/>
  <c r="CH25" i="36"/>
  <c r="AY23" i="36"/>
  <c r="CN25" i="34"/>
  <c r="BF13" i="36"/>
  <c r="CK25" i="34"/>
  <c r="BW27" i="36"/>
  <c r="CO27" i="34"/>
  <c r="CA19" i="36"/>
  <c r="AY24" i="36"/>
  <c r="CA14" i="36"/>
  <c r="CD27" i="34"/>
  <c r="CD22" i="34"/>
  <c r="CH27" i="36"/>
  <c r="CL26" i="34"/>
  <c r="CA18" i="36"/>
  <c r="CD21" i="34"/>
  <c r="CD25" i="34"/>
  <c r="CM27" i="34"/>
  <c r="BW15" i="36"/>
  <c r="CO26" i="34"/>
  <c r="BW26" i="36"/>
  <c r="CM25" i="34"/>
  <c r="CB20" i="36"/>
  <c r="BW22" i="34"/>
  <c r="CM23" i="34"/>
  <c r="CD16" i="34"/>
  <c r="AY26" i="36"/>
  <c r="CD24" i="34"/>
  <c r="CE15" i="36"/>
  <c r="CO23" i="34"/>
  <c r="CC22" i="36"/>
  <c r="CD23" i="34"/>
  <c r="CO25" i="34"/>
  <c r="BW20" i="34"/>
  <c r="BW16" i="36"/>
  <c r="CK26" i="34"/>
  <c r="CB16" i="36"/>
  <c r="CN27" i="34"/>
  <c r="CB19" i="36"/>
  <c r="CA15" i="36"/>
  <c r="BW18" i="34"/>
  <c r="CE25" i="36"/>
  <c r="BZ23" i="36"/>
  <c r="CD18" i="34"/>
  <c r="CJ17" i="37"/>
  <c r="CG24" i="36"/>
  <c r="CE19" i="36"/>
  <c r="CD15" i="34"/>
  <c r="CA26" i="36"/>
  <c r="CL24" i="34"/>
  <c r="BW23" i="36"/>
  <c r="CA21" i="36"/>
  <c r="CD17" i="34"/>
  <c r="CK24" i="34"/>
  <c r="CJ24" i="36"/>
  <c r="CN23" i="34"/>
  <c r="AY13" i="36"/>
  <c r="CD20" i="34"/>
  <c r="AY25" i="36"/>
  <c r="CK27" i="34"/>
  <c r="BW17" i="36"/>
  <c r="CH24" i="36"/>
  <c r="CB18" i="36"/>
  <c r="BW24" i="36"/>
  <c r="CE24" i="36"/>
  <c r="CN26" i="34"/>
  <c r="CA23" i="36"/>
  <c r="CM24" i="34"/>
  <c r="CO24" i="34"/>
  <c r="CG27" i="36"/>
  <c r="BW21" i="34"/>
  <c r="CB15" i="36"/>
  <c r="CK23" i="34"/>
  <c r="CM26" i="34"/>
  <c r="CD14" i="34"/>
  <c r="CA22" i="36"/>
  <c r="CB17" i="36"/>
  <c r="CA16" i="36"/>
  <c r="BW19" i="34"/>
  <c r="BB13" i="36"/>
  <c r="CD19" i="34"/>
  <c r="CL25" i="34"/>
  <c r="BW14" i="36"/>
  <c r="AY27" i="36"/>
  <c r="BG13" i="36"/>
  <c r="BA13" i="36"/>
  <c r="BP25" i="36" l="1"/>
  <c r="BO22" i="36"/>
  <c r="BR22" i="36"/>
  <c r="BS27" i="36"/>
  <c r="BQ18" i="36"/>
  <c r="BN18" i="36"/>
  <c r="BN16" i="36"/>
  <c r="BQ16" i="36"/>
  <c r="BK19" i="36"/>
  <c r="BK16" i="36"/>
  <c r="BQ20" i="36"/>
  <c r="BN20" i="36"/>
  <c r="BS25" i="36"/>
  <c r="BK17" i="36"/>
  <c r="BK20" i="36"/>
  <c r="BQ15" i="36"/>
  <c r="BQ19" i="36"/>
  <c r="BQ23" i="36"/>
  <c r="BN23" i="36"/>
  <c r="BQ17" i="36"/>
  <c r="BN17" i="36"/>
  <c r="BN14" i="36"/>
  <c r="BQ14" i="36"/>
  <c r="BQ22" i="36"/>
  <c r="BN22" i="36"/>
  <c r="BQ26" i="36"/>
  <c r="BN26" i="36"/>
  <c r="BK18" i="36"/>
  <c r="BK14" i="36"/>
  <c r="BK21" i="36"/>
  <c r="BO13" i="36"/>
  <c r="BR13" i="36"/>
  <c r="BQ21" i="36"/>
  <c r="BN21" i="36"/>
  <c r="BQ13" i="36"/>
  <c r="BN13" i="36"/>
  <c r="BK15" i="36"/>
  <c r="BF17" i="36"/>
  <c r="BE17" i="36"/>
  <c r="AY17" i="36"/>
  <c r="AR17" i="34"/>
  <c r="AR16" i="34"/>
  <c r="AR15" i="34"/>
  <c r="AR14" i="34"/>
  <c r="AR13" i="34"/>
  <c r="BY25" i="36"/>
  <c r="BE18" i="36"/>
  <c r="BH20" i="36"/>
  <c r="BD22" i="36"/>
  <c r="CH21" i="36"/>
  <c r="CC19" i="36"/>
  <c r="CH19" i="36"/>
  <c r="CC18" i="36"/>
  <c r="CC14" i="36"/>
  <c r="CK22" i="36"/>
  <c r="AY21" i="36"/>
  <c r="BA15" i="36"/>
  <c r="BB16" i="36"/>
  <c r="CC15" i="36"/>
  <c r="BD17" i="36"/>
  <c r="CH26" i="36"/>
  <c r="BE21" i="36"/>
  <c r="CE17" i="36"/>
  <c r="CJ25" i="36"/>
  <c r="BY17" i="36"/>
  <c r="BA16" i="36"/>
  <c r="BF14" i="36"/>
  <c r="CE18" i="36"/>
  <c r="AY22" i="36"/>
  <c r="BG22" i="36" s="1"/>
  <c r="AY20" i="36"/>
  <c r="BH22" i="36"/>
  <c r="CC20" i="36"/>
  <c r="CH16" i="36"/>
  <c r="CE23" i="36"/>
  <c r="BG21" i="36"/>
  <c r="AY18" i="36"/>
  <c r="BG15" i="36"/>
  <c r="BE16" i="36"/>
  <c r="CE20" i="36"/>
  <c r="CH17" i="36"/>
  <c r="BH18" i="36"/>
  <c r="BE20" i="36"/>
  <c r="CH23" i="36"/>
  <c r="CH20" i="36"/>
  <c r="CE26" i="36"/>
  <c r="BY22" i="36"/>
  <c r="CE21" i="36"/>
  <c r="CG25" i="36"/>
  <c r="BB20" i="36"/>
  <c r="BE15" i="36"/>
  <c r="BE19" i="36"/>
  <c r="BF22" i="36"/>
  <c r="BH19" i="36"/>
  <c r="BF15" i="36"/>
  <c r="BY27" i="36"/>
  <c r="BB22" i="36"/>
  <c r="CI22" i="36"/>
  <c r="CE22" i="36"/>
  <c r="BB21" i="36"/>
  <c r="CC21" i="36"/>
  <c r="CE16" i="36"/>
  <c r="BH14" i="36"/>
  <c r="CM17" i="36"/>
  <c r="BB17" i="36"/>
  <c r="BE14" i="36"/>
  <c r="BA22" i="36"/>
  <c r="BA20" i="36"/>
  <c r="CH18" i="36"/>
  <c r="CJ27" i="36"/>
  <c r="BG17" i="36"/>
  <c r="CC16" i="36"/>
  <c r="BD13" i="36"/>
  <c r="BD15" i="36"/>
  <c r="CK15" i="36" s="1"/>
  <c r="BY18" i="36"/>
  <c r="BF18" i="36"/>
  <c r="CH14" i="36"/>
  <c r="BH15" i="36"/>
  <c r="BH21" i="36"/>
  <c r="AY14" i="36"/>
  <c r="CH22" i="36"/>
  <c r="BB19" i="36"/>
  <c r="BD16" i="36"/>
  <c r="CE14" i="36"/>
  <c r="BA21" i="36"/>
  <c r="BG16" i="36"/>
  <c r="BD21" i="36"/>
  <c r="CK21" i="36" s="1"/>
  <c r="BF21" i="36"/>
  <c r="BF20" i="36"/>
  <c r="BB18" i="36"/>
  <c r="BY26" i="36"/>
  <c r="BE22" i="36"/>
  <c r="BB15" i="36"/>
  <c r="BB14" i="36"/>
  <c r="BY24" i="36"/>
  <c r="BF19" i="36"/>
  <c r="BY23" i="36"/>
  <c r="CL17" i="36"/>
  <c r="BH17" i="36"/>
  <c r="CH15" i="36"/>
  <c r="CC17" i="36"/>
  <c r="BF16" i="36"/>
  <c r="BD20" i="36"/>
  <c r="AY19" i="36"/>
  <c r="BH16" i="36"/>
  <c r="BY20" i="36"/>
  <c r="CF22" i="36"/>
  <c r="BG18" i="36"/>
  <c r="BD18" i="36"/>
  <c r="BG14" i="36"/>
  <c r="BY14" i="36"/>
  <c r="BD14" i="36"/>
  <c r="BD19" i="36"/>
  <c r="CK19" i="36" s="1"/>
  <c r="BY19" i="36"/>
  <c r="BA19" i="36"/>
  <c r="BG19" i="36"/>
  <c r="BP13" i="36" l="1"/>
  <c r="BS13" i="36"/>
  <c r="BT18" i="36"/>
  <c r="BT20" i="36"/>
  <c r="BT15" i="36"/>
  <c r="BT19" i="36"/>
  <c r="BT16" i="36"/>
  <c r="BT14" i="36"/>
  <c r="BT22" i="36"/>
  <c r="BT17" i="36"/>
  <c r="BT21" i="36"/>
  <c r="BT13" i="36"/>
  <c r="BP22" i="36"/>
  <c r="BS21" i="36"/>
  <c r="BR17" i="36"/>
  <c r="BO17" i="36"/>
  <c r="BP17" i="36" s="1"/>
  <c r="BS22" i="36"/>
  <c r="BO21" i="36"/>
  <c r="BR21" i="36"/>
  <c r="BO14" i="36"/>
  <c r="BP14" i="36" s="1"/>
  <c r="BR14" i="36"/>
  <c r="BS14" i="36" s="1"/>
  <c r="BR18" i="36"/>
  <c r="BS18" i="36" s="1"/>
  <c r="BO18" i="36"/>
  <c r="BP18" i="36" s="1"/>
  <c r="BR16" i="36"/>
  <c r="BO16" i="36"/>
  <c r="BO15" i="36"/>
  <c r="BR15" i="36"/>
  <c r="BP26" i="36"/>
  <c r="BP23" i="36"/>
  <c r="BR19" i="36"/>
  <c r="BO19" i="36"/>
  <c r="BR20" i="36"/>
  <c r="BO20" i="36"/>
  <c r="BS26" i="36"/>
  <c r="BS23" i="36"/>
  <c r="BS16" i="36"/>
  <c r="AV18" i="34"/>
  <c r="AV19" i="34"/>
  <c r="AV20" i="34"/>
  <c r="AV21" i="34"/>
  <c r="AV22" i="34"/>
  <c r="AV23" i="34"/>
  <c r="AV24" i="34"/>
  <c r="AV25" i="34"/>
  <c r="AV26" i="34"/>
  <c r="AV27" i="34"/>
  <c r="AQ14" i="34"/>
  <c r="BJ14" i="34" s="1"/>
  <c r="AQ15" i="34"/>
  <c r="BJ15" i="34" s="1"/>
  <c r="AQ16" i="34"/>
  <c r="BJ16" i="34" s="1"/>
  <c r="AQ17" i="34"/>
  <c r="BJ17" i="34" s="1"/>
  <c r="AQ18" i="34"/>
  <c r="BJ18" i="34" s="1"/>
  <c r="AQ19" i="34"/>
  <c r="BJ19" i="34" s="1"/>
  <c r="AQ20" i="34"/>
  <c r="BJ20" i="34" s="1"/>
  <c r="AQ21" i="34"/>
  <c r="BJ21" i="34" s="1"/>
  <c r="AQ22" i="34"/>
  <c r="BJ22" i="34" s="1"/>
  <c r="AQ23" i="34"/>
  <c r="AQ24" i="34"/>
  <c r="AQ25" i="34"/>
  <c r="AQ26" i="34"/>
  <c r="AQ27" i="34"/>
  <c r="AQ13" i="34"/>
  <c r="AN13" i="34"/>
  <c r="AP13" i="34" s="1"/>
  <c r="AP14" i="34"/>
  <c r="AV14" i="34" s="1"/>
  <c r="AP15" i="34"/>
  <c r="AV15" i="34" s="1"/>
  <c r="AP16" i="34"/>
  <c r="AV16" i="34" s="1"/>
  <c r="AP17" i="34"/>
  <c r="AV17" i="34" s="1"/>
  <c r="AL14" i="34"/>
  <c r="AL15" i="34"/>
  <c r="BC15" i="34" s="1"/>
  <c r="AL16" i="34"/>
  <c r="BC16" i="34" s="1"/>
  <c r="AL17" i="34"/>
  <c r="BC17" i="34" s="1"/>
  <c r="AL18" i="34"/>
  <c r="BC18" i="34" s="1"/>
  <c r="AL19" i="34"/>
  <c r="AL20" i="34"/>
  <c r="BC20" i="34" s="1"/>
  <c r="AL21" i="34"/>
  <c r="AL22" i="34"/>
  <c r="AL23" i="34"/>
  <c r="AL24" i="34"/>
  <c r="AL25" i="34"/>
  <c r="AL26" i="34"/>
  <c r="AL27" i="34"/>
  <c r="AL13" i="34"/>
  <c r="AJ14" i="34"/>
  <c r="AJ15" i="34"/>
  <c r="AJ16" i="34"/>
  <c r="AJ17" i="34"/>
  <c r="AJ18" i="34"/>
  <c r="AJ19" i="34"/>
  <c r="AJ20" i="34"/>
  <c r="AJ21" i="34"/>
  <c r="AJ22" i="34"/>
  <c r="AJ23" i="34"/>
  <c r="AJ24" i="34"/>
  <c r="AJ25" i="34"/>
  <c r="AJ26" i="34"/>
  <c r="AJ27" i="34"/>
  <c r="AJ13" i="34"/>
  <c r="AF14" i="34"/>
  <c r="AF15" i="34"/>
  <c r="AF16" i="34"/>
  <c r="AF17" i="34"/>
  <c r="AF18" i="34"/>
  <c r="AF19" i="34"/>
  <c r="AF20" i="34"/>
  <c r="AF21" i="34"/>
  <c r="AF22" i="34"/>
  <c r="AF23" i="34"/>
  <c r="AF24" i="34"/>
  <c r="AF25" i="34"/>
  <c r="AF26" i="34"/>
  <c r="AF27" i="34"/>
  <c r="AF13" i="34"/>
  <c r="AG13" i="34" s="1"/>
  <c r="AE14" i="34"/>
  <c r="AE15" i="34"/>
  <c r="AE16" i="34"/>
  <c r="AE17" i="34"/>
  <c r="AE18" i="34"/>
  <c r="AE19" i="34"/>
  <c r="AE20" i="34"/>
  <c r="AE21" i="34"/>
  <c r="AE22" i="34"/>
  <c r="AE23" i="34"/>
  <c r="AE24" i="34"/>
  <c r="AE25" i="34"/>
  <c r="AE26" i="34"/>
  <c r="AE27" i="34"/>
  <c r="AE13" i="34"/>
  <c r="AT13" i="34" s="1"/>
  <c r="CK14" i="36"/>
  <c r="BZ18" i="34"/>
  <c r="CN17" i="36"/>
  <c r="CN19" i="36"/>
  <c r="BU16" i="34"/>
  <c r="BX26" i="34"/>
  <c r="CJ18" i="36"/>
  <c r="BU25" i="34"/>
  <c r="CK18" i="36"/>
  <c r="CB15" i="34"/>
  <c r="BX20" i="34"/>
  <c r="CF21" i="36"/>
  <c r="CL14" i="36"/>
  <c r="CF14" i="36"/>
  <c r="CN18" i="36"/>
  <c r="CK20" i="36"/>
  <c r="CO14" i="36"/>
  <c r="BX21" i="34"/>
  <c r="CF20" i="36"/>
  <c r="CL20" i="36"/>
  <c r="BX15" i="34"/>
  <c r="BV16" i="34"/>
  <c r="BX27" i="34"/>
  <c r="BG20" i="36"/>
  <c r="BU15" i="34"/>
  <c r="BU23" i="34"/>
  <c r="CB16" i="34"/>
  <c r="CL16" i="36"/>
  <c r="BX17" i="34"/>
  <c r="CB21" i="34"/>
  <c r="CI19" i="36"/>
  <c r="CB22" i="34"/>
  <c r="CB18" i="34"/>
  <c r="BV19" i="34"/>
  <c r="CB20" i="34"/>
  <c r="BZ15" i="34"/>
  <c r="BU27" i="34"/>
  <c r="CM16" i="36"/>
  <c r="BX18" i="34"/>
  <c r="CF19" i="36"/>
  <c r="BV17" i="34"/>
  <c r="CK16" i="36"/>
  <c r="CN14" i="36"/>
  <c r="CB17" i="34"/>
  <c r="CL18" i="36"/>
  <c r="CN22" i="36"/>
  <c r="BX25" i="34"/>
  <c r="CG26" i="36"/>
  <c r="BU14" i="34"/>
  <c r="BU22" i="34"/>
  <c r="BY21" i="36"/>
  <c r="BV23" i="34"/>
  <c r="BU18" i="34"/>
  <c r="CL22" i="36"/>
  <c r="CG17" i="36"/>
  <c r="BA14" i="36"/>
  <c r="CM14" i="36"/>
  <c r="CN20" i="36"/>
  <c r="BV22" i="34"/>
  <c r="BV24" i="34"/>
  <c r="BU20" i="34"/>
  <c r="CG22" i="36"/>
  <c r="CO18" i="36"/>
  <c r="CM18" i="36"/>
  <c r="CI16" i="36"/>
  <c r="BA18" i="36"/>
  <c r="CO22" i="36"/>
  <c r="CI21" i="36"/>
  <c r="CN21" i="36"/>
  <c r="CJ22" i="36"/>
  <c r="BX22" i="34"/>
  <c r="CI20" i="36"/>
  <c r="CO17" i="36"/>
  <c r="CK17" i="36"/>
  <c r="CM21" i="36"/>
  <c r="CO15" i="36"/>
  <c r="BZ16" i="34"/>
  <c r="BV15" i="34"/>
  <c r="CF18" i="36"/>
  <c r="BV25" i="34"/>
  <c r="CN15" i="36"/>
  <c r="CL19" i="36"/>
  <c r="CI17" i="36"/>
  <c r="CJ26" i="36"/>
  <c r="BX19" i="34"/>
  <c r="CG23" i="36"/>
  <c r="CN16" i="36"/>
  <c r="BX23" i="34"/>
  <c r="BV18" i="34"/>
  <c r="CO16" i="36"/>
  <c r="CF17" i="36"/>
  <c r="BZ20" i="34"/>
  <c r="BU19" i="34"/>
  <c r="CG18" i="36"/>
  <c r="CM20" i="36"/>
  <c r="CI14" i="36"/>
  <c r="BV14" i="34"/>
  <c r="CF15" i="36"/>
  <c r="CJ21" i="36"/>
  <c r="BU26" i="34"/>
  <c r="BX14" i="34"/>
  <c r="CM19" i="36"/>
  <c r="BU17" i="34"/>
  <c r="CO19" i="36"/>
  <c r="BZ17" i="34"/>
  <c r="CI18" i="36"/>
  <c r="CG14" i="36"/>
  <c r="BV21" i="34"/>
  <c r="CF16" i="36"/>
  <c r="CM22" i="36"/>
  <c r="CB19" i="34"/>
  <c r="CJ14" i="36"/>
  <c r="BV27" i="34"/>
  <c r="CJ16" i="36"/>
  <c r="CJ23" i="36"/>
  <c r="BU24" i="34"/>
  <c r="BV26" i="34"/>
  <c r="CM15" i="36"/>
  <c r="CO21" i="36"/>
  <c r="BX16" i="34"/>
  <c r="CL21" i="36"/>
  <c r="BU21" i="34"/>
  <c r="CL15" i="36"/>
  <c r="CB14" i="34"/>
  <c r="BV20" i="34"/>
  <c r="BX24" i="34"/>
  <c r="CI15" i="36"/>
  <c r="BP20" i="36" l="1"/>
  <c r="BS20" i="36"/>
  <c r="BP19" i="36"/>
  <c r="BP16" i="36"/>
  <c r="BP21" i="36"/>
  <c r="BS19" i="36"/>
  <c r="BS15" i="36"/>
  <c r="BP15" i="36"/>
  <c r="BS17" i="36"/>
  <c r="AG25" i="34"/>
  <c r="BI23" i="34"/>
  <c r="BC23" i="34"/>
  <c r="BK19" i="34"/>
  <c r="AG24" i="34"/>
  <c r="AG16" i="34"/>
  <c r="BI22" i="34"/>
  <c r="BC22" i="34"/>
  <c r="BI14" i="34"/>
  <c r="BC14" i="34"/>
  <c r="BK18" i="34"/>
  <c r="BK20" i="34"/>
  <c r="AG23" i="34"/>
  <c r="AG15" i="34"/>
  <c r="BI21" i="34"/>
  <c r="BC21" i="34"/>
  <c r="BK17" i="34"/>
  <c r="AG14" i="34"/>
  <c r="BI13" i="34"/>
  <c r="BK16" i="34"/>
  <c r="BI24" i="34"/>
  <c r="BC24" i="34"/>
  <c r="BI27" i="34"/>
  <c r="BC27" i="34"/>
  <c r="BI19" i="34"/>
  <c r="BC19" i="34"/>
  <c r="BK15" i="34"/>
  <c r="AG26" i="34"/>
  <c r="AG17" i="34"/>
  <c r="BC26" i="34"/>
  <c r="BI26" i="34"/>
  <c r="BK22" i="34"/>
  <c r="BK14" i="34"/>
  <c r="AT20" i="34"/>
  <c r="AU20" i="34" s="1"/>
  <c r="AW20" i="34" s="1"/>
  <c r="AG27" i="34"/>
  <c r="BI25" i="34"/>
  <c r="BC25" i="34"/>
  <c r="BK21" i="34"/>
  <c r="AT21" i="34"/>
  <c r="AU21" i="34" s="1"/>
  <c r="AW21" i="34" s="1"/>
  <c r="AT19" i="34"/>
  <c r="AU19" i="34" s="1"/>
  <c r="AW19" i="34" s="1"/>
  <c r="AT26" i="34"/>
  <c r="AU26" i="34" s="1"/>
  <c r="AW26" i="34" s="1"/>
  <c r="BI20" i="34"/>
  <c r="AT17" i="34"/>
  <c r="AT16" i="34"/>
  <c r="AU16" i="34" s="1"/>
  <c r="AW16" i="34" s="1"/>
  <c r="BI18" i="34"/>
  <c r="AT27" i="34"/>
  <c r="AU27" i="34" s="1"/>
  <c r="AW27" i="34" s="1"/>
  <c r="AT18" i="34"/>
  <c r="AU18" i="34" s="1"/>
  <c r="AW18" i="34" s="1"/>
  <c r="AT25" i="34"/>
  <c r="AU25" i="34" s="1"/>
  <c r="AW25" i="34" s="1"/>
  <c r="AT24" i="34"/>
  <c r="AU24" i="34" s="1"/>
  <c r="AW24" i="34" s="1"/>
  <c r="AT23" i="34"/>
  <c r="AU23" i="34" s="1"/>
  <c r="AW23" i="34" s="1"/>
  <c r="AT15" i="34"/>
  <c r="AU15" i="34" s="1"/>
  <c r="AW15" i="34" s="1"/>
  <c r="BI17" i="34"/>
  <c r="AT22" i="34"/>
  <c r="AU22" i="34" s="1"/>
  <c r="AW22" i="34" s="1"/>
  <c r="AT14" i="34"/>
  <c r="AU14" i="34" s="1"/>
  <c r="AW14" i="34" s="1"/>
  <c r="BI16" i="34"/>
  <c r="BI15" i="34"/>
  <c r="AU17" i="34"/>
  <c r="AW17" i="34" s="1"/>
  <c r="BH21" i="34"/>
  <c r="BE16" i="34"/>
  <c r="BB15" i="34"/>
  <c r="BZ19" i="34"/>
  <c r="CB25" i="34"/>
  <c r="BH19" i="34"/>
  <c r="CA18" i="34"/>
  <c r="BB21" i="34"/>
  <c r="BH22" i="34"/>
  <c r="BW14" i="34"/>
  <c r="CA22" i="34"/>
  <c r="BY15" i="34"/>
  <c r="BG15" i="34"/>
  <c r="CC17" i="34"/>
  <c r="AY18" i="34"/>
  <c r="BB19" i="34"/>
  <c r="BW17" i="34"/>
  <c r="BG16" i="34"/>
  <c r="CO16" i="34" s="1"/>
  <c r="BB22" i="34"/>
  <c r="BD21" i="34"/>
  <c r="BZ23" i="34"/>
  <c r="CC20" i="34"/>
  <c r="CB24" i="34"/>
  <c r="BE19" i="34"/>
  <c r="AY22" i="34"/>
  <c r="CA23" i="34"/>
  <c r="BF15" i="34"/>
  <c r="BZ27" i="34"/>
  <c r="CO20" i="36"/>
  <c r="AY21" i="34"/>
  <c r="CC21" i="34"/>
  <c r="CG16" i="36"/>
  <c r="CC14" i="34"/>
  <c r="BF21" i="34"/>
  <c r="CC16" i="34"/>
  <c r="BF18" i="34"/>
  <c r="CA14" i="34"/>
  <c r="BZ26" i="34"/>
  <c r="BB17" i="34"/>
  <c r="BA17" i="34"/>
  <c r="CN21" i="34"/>
  <c r="BD22" i="34"/>
  <c r="CK22" i="34" s="1"/>
  <c r="BW15" i="34"/>
  <c r="BA16" i="34"/>
  <c r="BH17" i="34"/>
  <c r="BZ14" i="34"/>
  <c r="CA15" i="34"/>
  <c r="CC22" i="34"/>
  <c r="BW25" i="34"/>
  <c r="BZ25" i="34"/>
  <c r="AY20" i="34"/>
  <c r="BY20" i="34" s="1"/>
  <c r="BD15" i="34"/>
  <c r="CC18" i="34"/>
  <c r="CN17" i="34"/>
  <c r="BE20" i="34"/>
  <c r="BH16" i="34"/>
  <c r="CA26" i="34"/>
  <c r="BG20" i="34"/>
  <c r="CA16" i="34"/>
  <c r="CA20" i="34"/>
  <c r="AY25" i="34"/>
  <c r="BG21" i="34"/>
  <c r="CK15" i="34"/>
  <c r="BD16" i="34"/>
  <c r="BA15" i="34"/>
  <c r="BE15" i="34"/>
  <c r="BW26" i="34"/>
  <c r="BA22" i="34"/>
  <c r="BH14" i="34"/>
  <c r="CB23" i="34"/>
  <c r="CJ20" i="36"/>
  <c r="AY24" i="34"/>
  <c r="AY19" i="34"/>
  <c r="AY23" i="34"/>
  <c r="BD20" i="34"/>
  <c r="CA19" i="34"/>
  <c r="CB26" i="34"/>
  <c r="BY22" i="34"/>
  <c r="BF20" i="34"/>
  <c r="CB27" i="34"/>
  <c r="CJ17" i="36"/>
  <c r="BH18" i="34"/>
  <c r="CN18" i="34" s="1"/>
  <c r="BF16" i="34"/>
  <c r="CC19" i="34"/>
  <c r="AY26" i="34"/>
  <c r="CA24" i="34"/>
  <c r="BH20" i="34"/>
  <c r="CC15" i="34"/>
  <c r="CG21" i="36"/>
  <c r="BD17" i="34"/>
  <c r="BE14" i="34"/>
  <c r="CK16" i="34"/>
  <c r="BE22" i="34"/>
  <c r="BF19" i="34"/>
  <c r="CA25" i="34"/>
  <c r="BG22" i="34"/>
  <c r="BF22" i="34"/>
  <c r="BY16" i="34"/>
  <c r="BG17" i="34"/>
  <c r="CA27" i="34"/>
  <c r="BW16" i="34"/>
  <c r="BZ21" i="34"/>
  <c r="BE18" i="34"/>
  <c r="BH15" i="34"/>
  <c r="BB14" i="34"/>
  <c r="BY21" i="34"/>
  <c r="CG20" i="36"/>
  <c r="CO15" i="34"/>
  <c r="CG19" i="36"/>
  <c r="BE21" i="34"/>
  <c r="AY27" i="34"/>
  <c r="BB18" i="34"/>
  <c r="BB20" i="34"/>
  <c r="CJ15" i="36"/>
  <c r="BA21" i="34"/>
  <c r="BB16" i="34"/>
  <c r="BA18" i="34"/>
  <c r="BW23" i="34"/>
  <c r="BZ24" i="34"/>
  <c r="CJ19" i="36"/>
  <c r="CG15" i="36"/>
  <c r="BF14" i="34"/>
  <c r="BY19" i="34"/>
  <c r="CA17" i="34"/>
  <c r="BZ22" i="34"/>
  <c r="BW24" i="34"/>
  <c r="CO17" i="34"/>
  <c r="CN14" i="34"/>
  <c r="CA21" i="34"/>
  <c r="CO21" i="34"/>
  <c r="BA20" i="34"/>
  <c r="BW27" i="34"/>
  <c r="BG18" i="34"/>
  <c r="BY18" i="34"/>
  <c r="BA19" i="34"/>
  <c r="BG19" i="34"/>
  <c r="BD19" i="34"/>
  <c r="BX14" i="39"/>
  <c r="BV15" i="39"/>
  <c r="BO15" i="39"/>
  <c r="CB15" i="39"/>
  <c r="CC15" i="39"/>
  <c r="BU14" i="39"/>
  <c r="BX15" i="39"/>
  <c r="BR14" i="39"/>
  <c r="CD14" i="39"/>
  <c r="CG14" i="39"/>
  <c r="BZ14" i="39"/>
  <c r="BN13" i="39"/>
  <c r="CF15" i="39"/>
  <c r="BQ14" i="39"/>
  <c r="CA15" i="39"/>
  <c r="BW15" i="39"/>
  <c r="BP14" i="39"/>
  <c r="BV14" i="39"/>
  <c r="CH14" i="39"/>
  <c r="CF14" i="39"/>
  <c r="CC14" i="39"/>
  <c r="CG15" i="39"/>
  <c r="BQ13" i="39"/>
  <c r="CA14" i="39"/>
  <c r="BY14" i="39"/>
  <c r="BQ15" i="39"/>
  <c r="BN14" i="39"/>
  <c r="BW13" i="39"/>
  <c r="BY15" i="39"/>
  <c r="BN15" i="39"/>
  <c r="CE15" i="39"/>
  <c r="CD15" i="39"/>
  <c r="BZ15" i="39"/>
  <c r="BW14" i="39"/>
  <c r="BO13" i="39"/>
  <c r="BP13" i="39"/>
  <c r="BU15" i="39"/>
  <c r="CE14" i="39"/>
  <c r="CH15" i="39"/>
  <c r="BT15" i="39"/>
  <c r="BP15" i="39"/>
  <c r="BS14" i="39"/>
  <c r="CB14" i="39"/>
  <c r="BO14" i="39"/>
  <c r="BT14" i="39"/>
  <c r="BS15" i="39"/>
  <c r="BR15" i="39"/>
  <c r="BS15" i="41"/>
  <c r="BO15" i="41"/>
  <c r="BN15" i="41"/>
  <c r="BT15" i="41"/>
  <c r="BX14" i="41"/>
  <c r="BN13" i="41"/>
  <c r="BN14" i="41"/>
  <c r="BQ13" i="41"/>
  <c r="CA14" i="41"/>
  <c r="BR14" i="41"/>
  <c r="BQ15" i="41"/>
  <c r="BW14" i="41"/>
  <c r="CD15" i="41"/>
  <c r="BO14" i="41"/>
  <c r="BS14" i="41"/>
  <c r="BV14" i="41"/>
  <c r="CH14" i="41"/>
  <c r="BP15" i="41"/>
  <c r="BP14" i="41"/>
  <c r="BU14" i="41"/>
  <c r="BW15" i="41"/>
  <c r="CA15" i="41"/>
  <c r="BU15" i="41"/>
  <c r="CC14" i="41"/>
  <c r="BZ15" i="41"/>
  <c r="BY15" i="41"/>
  <c r="BO13" i="41"/>
  <c r="CB15" i="41"/>
  <c r="BR15" i="41"/>
  <c r="BX15" i="41"/>
  <c r="BY14" i="41"/>
  <c r="CF15" i="41"/>
  <c r="BZ14" i="41"/>
  <c r="CD14" i="41"/>
  <c r="BW13" i="41"/>
  <c r="CC15" i="41"/>
  <c r="BQ14" i="41"/>
  <c r="CG14" i="41"/>
  <c r="CG15" i="41"/>
  <c r="CE15" i="41"/>
  <c r="CB14" i="41"/>
  <c r="BT14" i="41"/>
  <c r="BV15" i="41"/>
  <c r="BP13" i="41"/>
  <c r="CF14" i="41"/>
  <c r="CE14" i="41"/>
  <c r="CH15" i="41"/>
  <c r="BQ13" i="42"/>
  <c r="BU14" i="42"/>
  <c r="CE15" i="42"/>
  <c r="BN15" i="42"/>
  <c r="CD15" i="42"/>
  <c r="CH14" i="42"/>
  <c r="CC15" i="42"/>
  <c r="BN13" i="42"/>
  <c r="BT15" i="42"/>
  <c r="CA14" i="42"/>
  <c r="BP13" i="42"/>
  <c r="BU13" i="42"/>
  <c r="BP14" i="42"/>
  <c r="BV15" i="42"/>
  <c r="BV14" i="42"/>
  <c r="BT14" i="42"/>
  <c r="CE14" i="42"/>
  <c r="BS15" i="42"/>
  <c r="BP15" i="42"/>
  <c r="CB15" i="42"/>
  <c r="BU15" i="42"/>
  <c r="BO15" i="42"/>
  <c r="BS14" i="42"/>
  <c r="BQ15" i="42"/>
  <c r="CD14" i="42"/>
  <c r="BZ15" i="42"/>
  <c r="BO13" i="42"/>
  <c r="BY14" i="42"/>
  <c r="CC14" i="42"/>
  <c r="CA15" i="42"/>
  <c r="BR14" i="42"/>
  <c r="BX14" i="42"/>
  <c r="CF14" i="42"/>
  <c r="CG15" i="42"/>
  <c r="BW15" i="42"/>
  <c r="BW14" i="42"/>
  <c r="CH15" i="42"/>
  <c r="BZ14" i="42"/>
  <c r="CB14" i="42"/>
  <c r="BN14" i="42"/>
  <c r="BO14" i="42"/>
  <c r="BR15" i="42"/>
  <c r="BQ14" i="42"/>
  <c r="CG14" i="42"/>
  <c r="AY17" i="34" l="1"/>
  <c r="BT16" i="34"/>
  <c r="BT15" i="34"/>
  <c r="BT22" i="34"/>
  <c r="BT20" i="34"/>
  <c r="BT17" i="34"/>
  <c r="BT19" i="34"/>
  <c r="BT21" i="34"/>
  <c r="BO21" i="34"/>
  <c r="BR21" i="34"/>
  <c r="BO20" i="34"/>
  <c r="BR20" i="34"/>
  <c r="BQ18" i="34"/>
  <c r="BN18" i="34"/>
  <c r="BR17" i="34"/>
  <c r="BO17" i="34"/>
  <c r="BR18" i="34"/>
  <c r="BO18" i="34"/>
  <c r="BN17" i="34"/>
  <c r="BQ17" i="34"/>
  <c r="BK26" i="34"/>
  <c r="BO19" i="34"/>
  <c r="BR19" i="34"/>
  <c r="BR15" i="34"/>
  <c r="BO15" i="34"/>
  <c r="BK25" i="34"/>
  <c r="BN16" i="34"/>
  <c r="BQ16" i="34"/>
  <c r="BN20" i="34"/>
  <c r="BQ20" i="34"/>
  <c r="BO16" i="34"/>
  <c r="BR16" i="34"/>
  <c r="BK27" i="34"/>
  <c r="BF17" i="34"/>
  <c r="BE17" i="34"/>
  <c r="BO14" i="34"/>
  <c r="BR14" i="34"/>
  <c r="BK23" i="34"/>
  <c r="BK24" i="34"/>
  <c r="BQ21" i="34"/>
  <c r="BN21" i="34"/>
  <c r="BQ14" i="34"/>
  <c r="BN14" i="34"/>
  <c r="BN15" i="34"/>
  <c r="BQ15" i="34"/>
  <c r="BO22" i="34"/>
  <c r="BR22" i="34"/>
  <c r="BN23" i="34"/>
  <c r="BQ23" i="34"/>
  <c r="BN19" i="34"/>
  <c r="BQ19" i="34"/>
  <c r="BN22" i="34"/>
  <c r="BQ22" i="34"/>
  <c r="CL15" i="34"/>
  <c r="CN15" i="34"/>
  <c r="CF19" i="34"/>
  <c r="CL19" i="34"/>
  <c r="CM18" i="34"/>
  <c r="BY17" i="34"/>
  <c r="BY23" i="34"/>
  <c r="CF20" i="34"/>
  <c r="CL18" i="34"/>
  <c r="CI19" i="34"/>
  <c r="BY26" i="34"/>
  <c r="CF14" i="34"/>
  <c r="CF15" i="34"/>
  <c r="CC23" i="34"/>
  <c r="CK17" i="34"/>
  <c r="CO20" i="34"/>
  <c r="BY27" i="34"/>
  <c r="CL21" i="34"/>
  <c r="CH15" i="34"/>
  <c r="BY24" i="34"/>
  <c r="CI18" i="34"/>
  <c r="BD18" i="34"/>
  <c r="BY25" i="34"/>
  <c r="CL16" i="34"/>
  <c r="CL20" i="34"/>
  <c r="CM21" i="34"/>
  <c r="CE25" i="34"/>
  <c r="CE20" i="34"/>
  <c r="CI21" i="34"/>
  <c r="CN20" i="34"/>
  <c r="CL14" i="34"/>
  <c r="CH16" i="34"/>
  <c r="CF18" i="34"/>
  <c r="CH23" i="34"/>
  <c r="CI15" i="34"/>
  <c r="CH19" i="34"/>
  <c r="CH20" i="34"/>
  <c r="CE22" i="34"/>
  <c r="CI14" i="34"/>
  <c r="CE27" i="34"/>
  <c r="CK20" i="34"/>
  <c r="CM14" i="34"/>
  <c r="CF16" i="34"/>
  <c r="CF22" i="34"/>
  <c r="CE19" i="34"/>
  <c r="CN16" i="34"/>
  <c r="CM20" i="34"/>
  <c r="CO18" i="34"/>
  <c r="CI16" i="34"/>
  <c r="CF17" i="34"/>
  <c r="CC24" i="34"/>
  <c r="CH18" i="34"/>
  <c r="CI22" i="34"/>
  <c r="CF21" i="34"/>
  <c r="CH22" i="34"/>
  <c r="CH27" i="34"/>
  <c r="CO19" i="34"/>
  <c r="CL17" i="34"/>
  <c r="CH26" i="34"/>
  <c r="CK21" i="34"/>
  <c r="CO22" i="34"/>
  <c r="CE18" i="34"/>
  <c r="CM16" i="34"/>
  <c r="CH21" i="34"/>
  <c r="CE24" i="34"/>
  <c r="CE23" i="34"/>
  <c r="CI17" i="34"/>
  <c r="CE14" i="34"/>
  <c r="CE15" i="34"/>
  <c r="CE26" i="34"/>
  <c r="CK18" i="34"/>
  <c r="CN19" i="34"/>
  <c r="CM19" i="34"/>
  <c r="CM15" i="34"/>
  <c r="CH14" i="34"/>
  <c r="CN22" i="34"/>
  <c r="CM22" i="34"/>
  <c r="CC26" i="34"/>
  <c r="CE17" i="34"/>
  <c r="CH25" i="34"/>
  <c r="CH24" i="34"/>
  <c r="CC25" i="34"/>
  <c r="CC27" i="34"/>
  <c r="CM17" i="34"/>
  <c r="CI20" i="34"/>
  <c r="CE21" i="34"/>
  <c r="CK19" i="34"/>
  <c r="CH17" i="34"/>
  <c r="CE16" i="34"/>
  <c r="CL22" i="34"/>
  <c r="BY15" i="42"/>
  <c r="BW13" i="42"/>
  <c r="CF15" i="42"/>
  <c r="BX15" i="42"/>
  <c r="BX13" i="42"/>
  <c r="BV13" i="42"/>
  <c r="BT13" i="42"/>
  <c r="BS13" i="42"/>
  <c r="BR13" i="42"/>
  <c r="BT18" i="34" l="1"/>
  <c r="BS16" i="34"/>
  <c r="BP19" i="34"/>
  <c r="BS14" i="34"/>
  <c r="BO26" i="34"/>
  <c r="BR26" i="34"/>
  <c r="BP21" i="34"/>
  <c r="BO25" i="34"/>
  <c r="BP25" i="34" s="1"/>
  <c r="BR25" i="34"/>
  <c r="BS25" i="34" s="1"/>
  <c r="BP15" i="34"/>
  <c r="BP20" i="34"/>
  <c r="BS18" i="34"/>
  <c r="BP14" i="34"/>
  <c r="BS21" i="34"/>
  <c r="BO27" i="34"/>
  <c r="BP27" i="34" s="1"/>
  <c r="BR27" i="34"/>
  <c r="BS22" i="34"/>
  <c r="BO24" i="34"/>
  <c r="BP24" i="34" s="1"/>
  <c r="BR24" i="34"/>
  <c r="BS24" i="34" s="1"/>
  <c r="BS17" i="34"/>
  <c r="BP18" i="34"/>
  <c r="BP22" i="34"/>
  <c r="BR23" i="34"/>
  <c r="BS23" i="34" s="1"/>
  <c r="BO23" i="34"/>
  <c r="BP16" i="34"/>
  <c r="BP17" i="34"/>
  <c r="BS19" i="34"/>
  <c r="BS15" i="34"/>
  <c r="BS20" i="34"/>
  <c r="CG27" i="34"/>
  <c r="CJ15" i="34"/>
  <c r="CG25" i="34"/>
  <c r="CJ21" i="34"/>
  <c r="CJ18" i="34"/>
  <c r="CI26" i="34"/>
  <c r="CG19" i="34"/>
  <c r="CI23" i="34"/>
  <c r="CJ16" i="34"/>
  <c r="CF26" i="34"/>
  <c r="CJ24" i="34"/>
  <c r="CG21" i="34"/>
  <c r="CG24" i="34"/>
  <c r="CI27" i="34"/>
  <c r="CG15" i="34"/>
  <c r="CI25" i="34"/>
  <c r="CJ19" i="34"/>
  <c r="CJ22" i="34"/>
  <c r="CF23" i="34"/>
  <c r="CJ14" i="34"/>
  <c r="CG14" i="34"/>
  <c r="CI24" i="34"/>
  <c r="CF25" i="34"/>
  <c r="CF27" i="34"/>
  <c r="CG16" i="34"/>
  <c r="CF24" i="34"/>
  <c r="CJ20" i="34"/>
  <c r="CG18" i="34"/>
  <c r="CJ23" i="34"/>
  <c r="CG17" i="34"/>
  <c r="CG20" i="34"/>
  <c r="CG22" i="34"/>
  <c r="CJ17" i="34"/>
  <c r="CJ25" i="34"/>
  <c r="BT13" i="41"/>
  <c r="BS13" i="41"/>
  <c r="BY13" i="42"/>
  <c r="CH13" i="42"/>
  <c r="CD13" i="42"/>
  <c r="CE13" i="42"/>
  <c r="CB13" i="42"/>
  <c r="CF13" i="42"/>
  <c r="CA13" i="42"/>
  <c r="BZ13" i="42"/>
  <c r="CG13" i="42"/>
  <c r="BP26" i="34" l="1"/>
  <c r="BS27" i="34"/>
  <c r="BS26" i="34"/>
  <c r="BP23" i="34"/>
  <c r="AQ13" i="39"/>
  <c r="CG23" i="34"/>
  <c r="CG26" i="34"/>
  <c r="CJ26" i="34"/>
  <c r="CJ27" i="34"/>
  <c r="BR13" i="41"/>
  <c r="CH13" i="41"/>
  <c r="CA13" i="41"/>
  <c r="CE13" i="41"/>
  <c r="CF13" i="41"/>
  <c r="CD13" i="41"/>
  <c r="CG13" i="41"/>
  <c r="BX13" i="41"/>
  <c r="CC13" i="42"/>
  <c r="AT13" i="39" l="1"/>
  <c r="AV13" i="39"/>
  <c r="AW13" i="39"/>
  <c r="BD13" i="39"/>
  <c r="BS13" i="39"/>
  <c r="BR13" i="39"/>
  <c r="BX13" i="39"/>
  <c r="BT13" i="39"/>
  <c r="BU13" i="41"/>
  <c r="BV13" i="41"/>
  <c r="BH13" i="39" l="1"/>
  <c r="BK13" i="39"/>
  <c r="BM13" i="39"/>
  <c r="AX13" i="34"/>
  <c r="AT9" i="37"/>
  <c r="AT9" i="34"/>
  <c r="BX13" i="36"/>
  <c r="BW13" i="36"/>
  <c r="CD13" i="36"/>
  <c r="BV13" i="36"/>
  <c r="AT9" i="36"/>
  <c r="CH13" i="36"/>
  <c r="CA13" i="36"/>
  <c r="BZ13" i="36"/>
  <c r="CD13" i="39"/>
  <c r="CE13" i="39"/>
  <c r="CG13" i="39"/>
  <c r="CF13" i="39"/>
  <c r="BU13" i="39"/>
  <c r="BV13" i="39"/>
  <c r="CH13" i="39"/>
  <c r="CB13" i="39"/>
  <c r="BY13" i="41"/>
  <c r="CB13" i="41"/>
  <c r="BL13" i="39" l="1"/>
  <c r="BI13" i="39"/>
  <c r="AT10" i="37"/>
  <c r="AT10" i="36"/>
  <c r="BN13" i="34"/>
  <c r="BC13" i="34"/>
  <c r="AV13" i="34"/>
  <c r="AU13" i="34"/>
  <c r="BJ13" i="34"/>
  <c r="BX13" i="34"/>
  <c r="BW13" i="34"/>
  <c r="CE13" i="36"/>
  <c r="BU13" i="34"/>
  <c r="CB13" i="34"/>
  <c r="BV13" i="34"/>
  <c r="BY13" i="39"/>
  <c r="CA13" i="39"/>
  <c r="AZ13" i="34" l="1"/>
  <c r="BY13" i="36"/>
  <c r="CO13" i="36"/>
  <c r="CK13" i="36"/>
  <c r="BZ13" i="39"/>
  <c r="CC13" i="39"/>
  <c r="CC13" i="41"/>
  <c r="BZ13" i="41"/>
  <c r="AT10" i="34" l="1"/>
  <c r="CN13" i="36"/>
  <c r="CM13" i="36"/>
  <c r="CC13" i="36"/>
  <c r="CB13" i="36"/>
  <c r="CF13" i="36"/>
  <c r="CL13" i="36"/>
  <c r="CI13" i="36"/>
  <c r="BZ13" i="34"/>
  <c r="CJ13" i="36"/>
  <c r="AY14" i="34"/>
  <c r="BD14" i="34" s="1"/>
  <c r="BG14" i="34"/>
  <c r="BA14" i="34"/>
  <c r="BY14" i="34"/>
  <c r="CG13" i="36"/>
  <c r="BT14" i="34" l="1"/>
  <c r="CO14" i="34"/>
  <c r="CK14" i="34"/>
  <c r="CD13" i="34"/>
  <c r="AW13" i="34" l="1"/>
  <c r="BH13" i="34"/>
  <c r="AY13" i="34"/>
  <c r="BD13" i="34"/>
  <c r="BE13" i="34"/>
  <c r="BF13" i="34"/>
  <c r="BK13" i="34" l="1"/>
  <c r="BA13" i="34"/>
  <c r="BY13" i="34"/>
  <c r="BB13" i="34"/>
  <c r="BG13" i="34"/>
  <c r="BT13" i="34" l="1"/>
  <c r="BR13" i="34"/>
  <c r="BO13" i="34"/>
  <c r="CK13" i="34"/>
  <c r="CO13" i="34"/>
  <c r="CA13" i="34"/>
  <c r="CF13" i="34"/>
  <c r="CL13" i="34"/>
  <c r="CN13" i="34"/>
  <c r="BQ13" i="34" l="1"/>
  <c r="BP13" i="34"/>
  <c r="CM13" i="34"/>
  <c r="CI13" i="34"/>
  <c r="CC13" i="34"/>
  <c r="CG13" i="34"/>
  <c r="CE13" i="34"/>
  <c r="CH13" i="34"/>
  <c r="BS13" i="34" l="1"/>
  <c r="CJ13" i="34"/>
</calcChain>
</file>

<file path=xl/sharedStrings.xml><?xml version="1.0" encoding="utf-8"?>
<sst xmlns="http://schemas.openxmlformats.org/spreadsheetml/2006/main" count="1307" uniqueCount="197">
  <si>
    <t>Hours</t>
  </si>
  <si>
    <t>Expiry</t>
  </si>
  <si>
    <t>Strike</t>
  </si>
  <si>
    <t>Active</t>
  </si>
  <si>
    <t>Volat</t>
  </si>
  <si>
    <t>ExpriyRate</t>
  </si>
  <si>
    <t>Theta</t>
  </si>
  <si>
    <t>Rho</t>
  </si>
  <si>
    <t>PriceBasis</t>
  </si>
  <si>
    <t>Instrument</t>
  </si>
  <si>
    <t>FromDate</t>
  </si>
  <si>
    <t>ToDate</t>
  </si>
  <si>
    <t>PosStatus</t>
  </si>
  <si>
    <t>QTY</t>
  </si>
  <si>
    <t>Bkprice</t>
  </si>
  <si>
    <t>Bkvalue</t>
  </si>
  <si>
    <t>Mktprice</t>
  </si>
  <si>
    <t>Prod</t>
  </si>
  <si>
    <t>delta</t>
  </si>
  <si>
    <t>Gamma</t>
  </si>
  <si>
    <t>Vega</t>
  </si>
  <si>
    <t>GrossValue</t>
  </si>
  <si>
    <t>MtmValue</t>
  </si>
  <si>
    <t>Trade_PL</t>
  </si>
  <si>
    <t>Real_PL</t>
  </si>
  <si>
    <t>Unreal_PL</t>
  </si>
  <si>
    <t>Net_PL</t>
  </si>
  <si>
    <t>CFstoDate</t>
  </si>
  <si>
    <t>FwdCFs</t>
  </si>
  <si>
    <t>NetCfs</t>
  </si>
  <si>
    <t>PriceCalc</t>
  </si>
  <si>
    <t>PutCall</t>
  </si>
  <si>
    <t>UndrelyingPrice</t>
  </si>
  <si>
    <t>CalcDelta</t>
  </si>
  <si>
    <t>CalcGamma</t>
  </si>
  <si>
    <t>CalcVega</t>
  </si>
  <si>
    <t>CalcTheta</t>
  </si>
  <si>
    <t>CalcRho</t>
  </si>
  <si>
    <t>CalcBookValue</t>
  </si>
  <si>
    <t>CalcGrossValue</t>
  </si>
  <si>
    <t>CalcMtM</t>
  </si>
  <si>
    <t>Calc TradePL</t>
  </si>
  <si>
    <t>CalcRealizedPL</t>
  </si>
  <si>
    <t>CalcUnrealizedPL</t>
  </si>
  <si>
    <t>CalcNetPL</t>
  </si>
  <si>
    <t>CalcCFToDate</t>
  </si>
  <si>
    <t>CalcFwdCF</t>
  </si>
  <si>
    <t>CalcNetCF</t>
  </si>
  <si>
    <t>ErrorBookValue</t>
  </si>
  <si>
    <t>ErrorGrossValue</t>
  </si>
  <si>
    <t>ErrorMtM</t>
  </si>
  <si>
    <t>ErrorRealizedPL</t>
  </si>
  <si>
    <t>ErrorUnrealizedPL</t>
  </si>
  <si>
    <t>ErrorNetPL</t>
  </si>
  <si>
    <t>ErrorCFToDate</t>
  </si>
  <si>
    <t>ErrorFwdCF</t>
  </si>
  <si>
    <t>ErrorNetCF</t>
  </si>
  <si>
    <t>ErrorBookPrice</t>
  </si>
  <si>
    <t>ErrorTradePL</t>
  </si>
  <si>
    <t>ErrorGamma1</t>
  </si>
  <si>
    <t>ErrorRho</t>
  </si>
  <si>
    <t>ErrorTheta</t>
  </si>
  <si>
    <t>Query</t>
  </si>
  <si>
    <t>Elviz other input</t>
  </si>
  <si>
    <t>Effective Rd</t>
  </si>
  <si>
    <t>Calculated</t>
  </si>
  <si>
    <t>Errors</t>
  </si>
  <si>
    <t>Elviz output</t>
  </si>
  <si>
    <t>C</t>
  </si>
  <si>
    <t>ErrorDelta</t>
  </si>
  <si>
    <t>ErrorVega</t>
  </si>
  <si>
    <t>CalcBookPrice</t>
  </si>
  <si>
    <t>CalcExposure</t>
  </si>
  <si>
    <t>VolatilityError</t>
  </si>
  <si>
    <t>PriceCalImpVol</t>
  </si>
  <si>
    <t>Actual Observations</t>
  </si>
  <si>
    <t>Future Observations</t>
  </si>
  <si>
    <t>Total Obs</t>
  </si>
  <si>
    <t>Avg Price</t>
  </si>
  <si>
    <t>w</t>
  </si>
  <si>
    <t>IsInSampling</t>
  </si>
  <si>
    <t>K/K'</t>
  </si>
  <si>
    <t>AlwaysInTheMoney</t>
  </si>
  <si>
    <t>ClosePrice</t>
  </si>
  <si>
    <t>ExpiryDate</t>
  </si>
  <si>
    <t>PriceCalcElvizVol</t>
  </si>
  <si>
    <t>TotalQuantity</t>
  </si>
  <si>
    <t>ContractPrice</t>
  </si>
  <si>
    <t>TradeDate</t>
  </si>
  <si>
    <t>Extid</t>
  </si>
  <si>
    <t>ErrorFromDate</t>
  </si>
  <si>
    <t>ErrorToDate</t>
  </si>
  <si>
    <t>ErrorExpiryDate</t>
  </si>
  <si>
    <t>ErrorStrike</t>
  </si>
  <si>
    <t>CalcImpVol</t>
  </si>
  <si>
    <t>N/A</t>
  </si>
  <si>
    <t xml:space="preserve">   DECLARE @workspace varchar(255)
   DECLARE @reportDate Date
   set @workspace='Oil-Asian-USD-PosMon-USD-Mtm'
   set @reportDate='2011-11-14'
   SELECT 
      [PriceBasis]
    ,pricebasis+'-'+Period as Prod
      ,[Instrument]
      ,[FromDate]
      ,[ToDate]
   ,Expiry
      ,Strike
      ,[PosStatus]
      ,[QTY]
      ,[Hours]
       ,[Bkprice]
      ,[Bkvalue]
      ,[Mktprice]
      ,delta
      ,Gamma
      ,Vega
      ,Theta
      ,Rho
      ,Volat
      ,GrossValue
      ,[MtmValue]
      ,[Trade_PL]
      ,[Real_PL]
      ,[Unreal_PL]
      ,[Net_PL]
      ,[CFstoDate]
      ,[FwdCFs]
      ,[NetCfs]
      --,[Expiry]
      --,[Strike]
      --,[Gamma]
      --,[Theta]
      --,[Vega]
      --,[Rho]
      --,[Delta]
      --,[Uprice]
      --,[Volat]
     FROM [VizPosMonData]
     WHERE ReportID=(
        SELECT [ReportID]
        FROM [VizPosMonReports]
        WHERE [ReportDate]=@reportDate
        AND [Workspace]=@workspace
        AND [MonitorTitle]=@workspace
         )
</t>
  </si>
  <si>
    <t>BrentOil</t>
  </si>
  <si>
    <t>BrentOil-M11-11</t>
  </si>
  <si>
    <t>ASIC/A Nov-11 130.00</t>
  </si>
  <si>
    <t>NULL</t>
  </si>
  <si>
    <t>ASIP/A Nov-11 130.00</t>
  </si>
  <si>
    <t>ASIC/A Nov-11 80.00</t>
  </si>
  <si>
    <t>ASIP/A Nov-11 80.00</t>
  </si>
  <si>
    <t>ASIC/A Nov-11 5.00</t>
  </si>
  <si>
    <t>BrentOil-M03-12</t>
  </si>
  <si>
    <t>ASIC/A Mar-12 130.00</t>
  </si>
  <si>
    <t>ASIP/A Mar-12 130.00</t>
  </si>
  <si>
    <t>ASIC/A Mar-12 80.00</t>
  </si>
  <si>
    <t>ASIP/A Mar-12 80.00</t>
  </si>
  <si>
    <t>BrentOil-M06-12</t>
  </si>
  <si>
    <t>ASIC/A Jun-12 130.00</t>
  </si>
  <si>
    <t>BrentOil-M05-11</t>
  </si>
  <si>
    <t>ASIC/A May-11 130.00</t>
  </si>
  <si>
    <t>Expired</t>
  </si>
  <si>
    <t>BrentOil-M09-11</t>
  </si>
  <si>
    <t>ASIC/A Sep-11 130.00</t>
  </si>
  <si>
    <t>ASIP/A Sep-11 130.00</t>
  </si>
  <si>
    <t>ASIC/A Sep-11 80.00</t>
  </si>
  <si>
    <t>ASIP/A Sep-11 80.00</t>
  </si>
  <si>
    <t>P</t>
  </si>
  <si>
    <t>Oil-Asian-USD-0001</t>
  </si>
  <si>
    <t>Oil-Asian-USD-0002</t>
  </si>
  <si>
    <t>Oil-Asian-USD-0003</t>
  </si>
  <si>
    <t>Oil-Asian-USD-0004</t>
  </si>
  <si>
    <t>Oil-Asian-USD-0005</t>
  </si>
  <si>
    <t>Oil-Asian-USD-0006</t>
  </si>
  <si>
    <t>Oil-Asian-USD-0007</t>
  </si>
  <si>
    <t>Oil-Asian-USD-0008</t>
  </si>
  <si>
    <t>Oil-Asian-USD-0009</t>
  </si>
  <si>
    <t>Oil-Asian-USD-0010</t>
  </si>
  <si>
    <t>Oil-Asian-USD-0011</t>
  </si>
  <si>
    <t>Oil-Asian-USD-0012</t>
  </si>
  <si>
    <t>Oil-Asian-USD-0017</t>
  </si>
  <si>
    <t>15 and 16</t>
  </si>
  <si>
    <t>13 and 14</t>
  </si>
  <si>
    <t>Brn Base Day D USD</t>
  </si>
  <si>
    <t>K or K'</t>
  </si>
  <si>
    <t>USD/Bbl</t>
  </si>
  <si>
    <t>CalcPayout</t>
  </si>
  <si>
    <t xml:space="preserve">   DECLARE @workspace varchar(255)
   DECLARE @reportDate Date
   set @workspace='Oil-Asian-USD-PosMon-EUR-Volsurf'
   set @reportDate='2011-11-14'
   SELECT 
      [PriceBasis]
    ,pricebasis+'-'+Period as Prod
      ,[Instrument]
      ,[FromDate]
      ,[ToDate]
   ,Expiry
      ,Strike
      ,[PosStatus]
      ,[QTY]
      ,[Hours]
       ,[Bkprice]
      ,[Bkvalue]
      ,[Mktprice]
      ,delta
      ,Gamma
      ,Vega
      ,Theta
      ,Rho
      ,Volat
      ,GrossValue
      ,[MtmValue]
      ,[Trade_PL]
      ,[Real_PL]
      ,[Unreal_PL]
      ,[Net_PL]
      ,[CFstoDate]
      ,[FwdCFs]
      ,[NetCfs]
      --,[Expiry]
      --,[Strike]
      --,[Gamma]
      --,[Theta]
      --,[Vega]
      --,[Rho]
      --,[Delta]
      --,[Uprice]
      --,[Volat]
     FROM [VizPosMonData]
     WHERE ReportID=(
        SELECT [ReportID]
        FROM [VizPosMonReports]
        WHERE [ReportDate]=@reportDate
        AND [Workspace]=@workspace
        AND [MonitorTitle]=@workspace
         )
</t>
  </si>
  <si>
    <t>USD-&gt;EUR Rate 14/11/2011</t>
  </si>
  <si>
    <t>Premium Exchange Rate</t>
  </si>
  <si>
    <t>USD-EUR Rate 30/09/2011</t>
  </si>
  <si>
    <t xml:space="preserve">   DECLARE @workspace varchar(255)
   DECLARE @reportDate Date
   set @workspace='Oil-Asian-USD-PosMon-EUR-SpotFX'
   set @reportDate='2011-11-14'
   SELECT 
      [PriceBasis]
    ,pricebasis+'-'+Period as Prod
      ,[Instrument]
      ,[FromDate]
      ,[ToDate]
   ,Expiry
      ,Strike
      ,[PosStatus]
      ,[QTY]
      ,[Hours]
       ,[Bkprice]
      ,[Bkvalue]
      ,[Mktprice]
      ,delta
      ,Gamma
      ,Vega
      ,Theta
      ,Rho
      ,Volat
      ,GrossValue
      ,[MtmValue]
      ,[Trade_PL]
      ,[Real_PL]
      ,[Unreal_PL]
      ,[Net_PL]
      ,[CFstoDate]
      ,[FwdCFs]
      ,[NetCfs]
      --,[Expiry]
      --,[Strike]
      --,[Gamma]
      --,[Theta]
      --,[Vega]
      --,[Rho]
      --,[Delta]
      --,[Uprice]
      --,[Volat]
     FROM [VizPosMonData]
     WHERE ReportID=(
        SELECT [ReportID]
        FROM [VizPosMonReports]
        WHERE [ReportDate]=@reportDate
        AND [Workspace]=@workspace
        AND [MonitorTitle]=@workspace
         )
</t>
  </si>
  <si>
    <t xml:space="preserve"> DECLARE @workspace varchar(255)
   DECLARE @reportDate Date
   set @workspace='Oil-American-USD-PosMon-USD-MtM'
   set @reportDate='2011-11-14'
   SELECT 
      [PriceBasis]
    ,pricebasis+'-'+Period as Prod
      ,[Instrument]
      ,[FromDate]
      ,[ToDate]
   ,Expiry
      ,Strike
      ,[PosStatus]
      ,[QTY]
      ,[Hours]
       ,[Bkprice]
      ,[Bkvalue]
      ,[Mktprice]
      ,delta
      ,Gamma
      ,Vega
      ,Theta
      ,Rho
      ,Volat
      ,GrossValue
      ,[MtmValue]
      ,[Trade_PL]
      ,[Real_PL]
      ,[Unreal_PL]
      ,[Net_PL]
      ,[CFstoDate]
      ,[FwdCFs]
      ,[NetCfs]
      --,[Expiry]
      --,[Strike]
      --,[Gamma]
      --,[Theta]
      --,[Vega]
      --,[Rho]
      --,[Delta]
      --,[Uprice]
      --,[Volat]
     FROM [VizPosMonData]
     WHERE ReportID=(
        SELECT [ReportID]
        FROM [VizPosMonReports]
        WHERE [ReportDate]=@reportDate
        AND [Workspace]=@workspace
        AND [MonitorTitle]=@workspace
         )
</t>
  </si>
  <si>
    <t xml:space="preserve"> DECLARE @workspace varchar(255)
   DECLARE @reportDate Date
   set @workspace='Oil-American-USD-PosMon-EUR-Volsurf'
   set @reportDate='2011-11-14'
   SELECT 
      [PriceBasis]
    ,pricebasis+'-'+Period as Prod
      ,[Instrument]
      ,[FromDate]
      ,[ToDate]
   ,Expiry
      ,Strike
      ,[PosStatus]
      ,[QTY]
      ,[Hours]
       ,[Bkprice]
      ,[Bkvalue]
      ,[Mktprice]
      ,delta
      ,Gamma
      ,Vega
      ,Theta
      ,Rho
      ,Volat
      ,GrossValue
      ,[MtmValue]
      ,[Trade_PL]
      ,[Real_PL]
      ,[Unreal_PL]
      ,[Net_PL]
      ,[CFstoDate]
      ,[FwdCFs]
      ,[NetCfs]
      --,[Expiry]
      --,[Strike]
      --,[Gamma]
      --,[Theta]
      --,[Vega]
      --,[Rho]
      --,[Delta]
      --,[Uprice]
      --,[Volat]
     FROM [VizPosMonData]
     WHERE ReportID=(
        SELECT [ReportID]
        FROM [VizPosMonReports]
        WHERE [ReportDate]=@reportDate
        AND [Workspace]=@workspace
        AND [MonitorTitle]=@workspace
         )
</t>
  </si>
  <si>
    <t xml:space="preserve"> DECLARE @workspace varchar(255)
   DECLARE @reportDate Date
   set @workspace='Oil-American-USD-PosMon-EUR-SpotFX'
   set @reportDate='2011-11-14'
   SELECT 
      [PriceBasis]
    ,pricebasis+'-'+Period as Prod
      ,[Instrument]
      ,[FromDate]
      ,[ToDate]
   ,Expiry
      ,Strike
      ,[PosStatus]
      ,[QTY]
      ,[Hours]
       ,[Bkprice]
      ,[Bkvalue]
      ,[Mktprice]
      ,delta
      ,Gamma
      ,Vega
      ,Theta
      ,Rho
      ,Volat
      ,GrossValue
      ,[MtmValue]
      ,[Trade_PL]
      ,[Real_PL]
      ,[Unreal_PL]
      ,[Net_PL]
      ,[CFstoDate]
      ,[FwdCFs]
      ,[NetCfs]
      --,[Expiry]
      --,[Strike]
      --,[Gamma]
      --,[Theta]
      --,[Vega]
      --,[Rho]
      --,[Delta]
      --,[Uprice]
      --,[Volat]
     FROM [VizPosMonData]
     WHERE ReportID=(
        SELECT [ReportID]
        FROM [VizPosMonReports]
        WHERE [ReportDate]=@reportDate
        AND [Workspace]=@workspace
        AND [MonitorTitle]=@workspace
         )
</t>
  </si>
  <si>
    <t>AMEC Mar-12 31-JAN-12 130.00</t>
  </si>
  <si>
    <t>AMEP Mar-12 31-JAN-12 130.00</t>
  </si>
  <si>
    <t>AMEC Mar-12 31-JAN-12 80.00</t>
  </si>
  <si>
    <t>AMEP Mar-12 31-JAN-12 80.00</t>
  </si>
  <si>
    <t>AMEC Jun-12 02-MAY-12 130.00</t>
  </si>
  <si>
    <t>AMEC May-11 01-APR-11 130.00</t>
  </si>
  <si>
    <t>AMEC Sep-11 02-AUG-11 130.00</t>
  </si>
  <si>
    <t>AMEP Sep-11 02-AUG-11 130.00</t>
  </si>
  <si>
    <t>AMEC Sep-11 02-AUG-11 80.00</t>
  </si>
  <si>
    <t>AMEP Sep-11 02-AUG-11 80.00</t>
  </si>
  <si>
    <t>AMEC Nov-11 30-SEP-11 130.00</t>
  </si>
  <si>
    <t>AMEP Nov-11 30-SEP-11 130.00</t>
  </si>
  <si>
    <t>AMEC Nov-11 30-SEP-11 80.00</t>
  </si>
  <si>
    <t>AMEP Nov-11 30-SEP-11 80.00</t>
  </si>
  <si>
    <t>WTI</t>
  </si>
  <si>
    <t>WTI-M03-12</t>
  </si>
  <si>
    <t>Oil-American-USD-0001</t>
  </si>
  <si>
    <t>Oil-American-USD-0002</t>
  </si>
  <si>
    <t>Oil-American-USD-0003</t>
  </si>
  <si>
    <t>Oil-American-USD-0004</t>
  </si>
  <si>
    <t>Oil-American-USD-0005</t>
  </si>
  <si>
    <t>Oil-American-USD-0006</t>
  </si>
  <si>
    <t>Oil-American-USD-0007</t>
  </si>
  <si>
    <t>Oil-American-USD-0008</t>
  </si>
  <si>
    <t>Oil-American-USD-0009</t>
  </si>
  <si>
    <t>Oil-American-USD-0010</t>
  </si>
  <si>
    <t>Oil-American-USD-0011</t>
  </si>
  <si>
    <t>Oil-American-USD-0012</t>
  </si>
  <si>
    <t>Oil-American-USD-0013</t>
  </si>
  <si>
    <t>Oil-American-USD-0014</t>
  </si>
  <si>
    <t>Oil-American-USD-0015</t>
  </si>
  <si>
    <t>Oil-American-USD-0016</t>
  </si>
  <si>
    <t>Oil-American-USD-0017</t>
  </si>
  <si>
    <t>n/a</t>
  </si>
  <si>
    <t>ClosePrice/vol</t>
  </si>
  <si>
    <t>Eur-Usd SPOT RATE</t>
  </si>
  <si>
    <t>Eur-Usd 22/09/2011</t>
  </si>
  <si>
    <t>Eur-Usd 09/11/2011</t>
  </si>
  <si>
    <t>Eur-Usd 29/07/2011</t>
  </si>
  <si>
    <t>Eur-Usd 29/03/2011</t>
  </si>
  <si>
    <t>ClosePrice/VOL</t>
  </si>
  <si>
    <t>Eur-Usd 09-14/11/2011</t>
  </si>
  <si>
    <t>Eur-Usd 29/03-01/04/2011</t>
  </si>
  <si>
    <t>Eur-Usd 29/07 2/08/2011</t>
  </si>
  <si>
    <t>Eur-Usd 22/09 30/09/2011</t>
  </si>
  <si>
    <t>Implicit vol obs</t>
  </si>
  <si>
    <t>Eur-Usd forward spot rate</t>
  </si>
  <si>
    <t>Eur-Usd historic SPOT RATE</t>
  </si>
  <si>
    <t>Eur-Usd forward spot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</si>
</sst>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43" formatCode="_-* #,##0.00_-;\-* #,##0.00_-;_-* &quot;-&quot;??_-;_-@_-"/>
    <numFmt numFmtId="164" formatCode="_-* #,##0_-;\-* #,##0_-;_-* &quot;-&quot;??_-;_-@_-"/>
    <numFmt numFmtId="165" formatCode="0.0000000"/>
    <numFmt numFmtId="166" formatCode="0.000000"/>
    <numFmt numFmtId="167" formatCode="0.000000000000000%"/>
    <numFmt numFmtId="168" formatCode="0.0000000000"/>
    <numFmt numFmtId="169" formatCode="0.00000000000000"/>
    <numFmt numFmtId="181" formatCode="0.00000000000000000"/>
  </numFmts>
  <fonts count="1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</fonts>
  <fills count="3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7">
    <xf numFmtId="0" fontId="0" fillId="0" borderId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3" fillId="6" borderId="0" applyNumberFormat="0" applyBorder="0" applyAlignment="0" applyProtection="0"/>
    <xf numFmtId="0" fontId="5" fillId="0" borderId="0" applyNumberFormat="0" applyFill="0" applyBorder="0" applyAlignment="0" applyProtection="0"/>
    <xf numFmtId="0" fontId="6" fillId="0" borderId="1" applyNumberFormat="0" applyFill="0" applyAlignment="0" applyProtection="0"/>
    <xf numFmtId="0" fontId="7" fillId="0" borderId="2" applyNumberFormat="0" applyFill="0" applyAlignment="0" applyProtection="0"/>
    <xf numFmtId="0" fontId="8" fillId="0" borderId="3" applyNumberFormat="0" applyFill="0" applyAlignment="0" applyProtection="0"/>
    <xf numFmtId="0" fontId="8" fillId="0" borderId="0" applyNumberFormat="0" applyFill="0" applyBorder="0" applyAlignment="0" applyProtection="0"/>
    <xf numFmtId="0" fontId="9" fillId="7" borderId="0" applyNumberFormat="0" applyBorder="0" applyAlignment="0" applyProtection="0"/>
    <xf numFmtId="0" fontId="10" fillId="8" borderId="0" applyNumberFormat="0" applyBorder="0" applyAlignment="0" applyProtection="0"/>
    <xf numFmtId="0" fontId="11" fillId="9" borderId="4" applyNumberFormat="0" applyAlignment="0" applyProtection="0"/>
    <xf numFmtId="0" fontId="12" fillId="10" borderId="5" applyNumberFormat="0" applyAlignment="0" applyProtection="0"/>
    <xf numFmtId="0" fontId="13" fillId="10" borderId="4" applyNumberFormat="0" applyAlignment="0" applyProtection="0"/>
    <xf numFmtId="0" fontId="14" fillId="0" borderId="6" applyNumberFormat="0" applyFill="0" applyAlignment="0" applyProtection="0"/>
    <xf numFmtId="0" fontId="15" fillId="11" borderId="7" applyNumberFormat="0" applyAlignment="0" applyProtection="0"/>
    <xf numFmtId="0" fontId="16" fillId="0" borderId="0" applyNumberFormat="0" applyFill="0" applyBorder="0" applyAlignment="0" applyProtection="0"/>
    <xf numFmtId="0" fontId="2" fillId="12" borderId="8" applyNumberFormat="0" applyFont="0" applyAlignment="0" applyProtection="0"/>
    <xf numFmtId="0" fontId="17" fillId="0" borderId="0" applyNumberFormat="0" applyFill="0" applyBorder="0" applyAlignment="0" applyProtection="0"/>
    <xf numFmtId="0" fontId="1" fillId="0" borderId="9" applyNumberFormat="0" applyFill="0" applyAlignment="0" applyProtection="0"/>
    <xf numFmtId="0" fontId="18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18" fillId="16" borderId="0" applyNumberFormat="0" applyBorder="0" applyAlignment="0" applyProtection="0"/>
    <xf numFmtId="0" fontId="18" fillId="17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18" fillId="20" borderId="0" applyNumberFormat="0" applyBorder="0" applyAlignment="0" applyProtection="0"/>
    <xf numFmtId="0" fontId="18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18" fillId="24" borderId="0" applyNumberFormat="0" applyBorder="0" applyAlignment="0" applyProtection="0"/>
    <xf numFmtId="0" fontId="18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18" fillId="28" borderId="0" applyNumberFormat="0" applyBorder="0" applyAlignment="0" applyProtection="0"/>
    <xf numFmtId="0" fontId="18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18" fillId="32" borderId="0" applyNumberFormat="0" applyBorder="0" applyAlignment="0" applyProtection="0"/>
    <xf numFmtId="0" fontId="18" fillId="33" borderId="0" applyNumberFormat="0" applyBorder="0" applyAlignment="0" applyProtection="0"/>
    <xf numFmtId="0" fontId="2" fillId="34" borderId="0" applyNumberFormat="0" applyBorder="0" applyAlignment="0" applyProtection="0"/>
    <xf numFmtId="0" fontId="2" fillId="35" borderId="0" applyNumberFormat="0" applyBorder="0" applyAlignment="0" applyProtection="0"/>
    <xf numFmtId="0" fontId="18" fillId="36" borderId="0" applyNumberFormat="0" applyBorder="0" applyAlignment="0" applyProtection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62">
    <xf numFmtId="0" fontId="0" fillId="0" borderId="0" xfId="0"/>
    <xf numFmtId="0" fontId="0" fillId="3" borderId="0" xfId="0" applyNumberFormat="1" applyFill="1"/>
    <xf numFmtId="0" fontId="0" fillId="3" borderId="0" xfId="0" applyFill="1"/>
    <xf numFmtId="0" fontId="0" fillId="4" borderId="0" xfId="0" applyNumberFormat="1" applyFill="1"/>
    <xf numFmtId="0" fontId="0" fillId="4" borderId="0" xfId="0" applyFill="1"/>
    <xf numFmtId="0" fontId="0" fillId="2" borderId="0" xfId="0" applyFill="1"/>
    <xf numFmtId="49" fontId="1" fillId="5" borderId="0" xfId="0" applyNumberFormat="1" applyFont="1" applyFill="1"/>
    <xf numFmtId="0" fontId="0" fillId="5" borderId="0" xfId="0" applyFill="1"/>
    <xf numFmtId="0" fontId="0" fillId="3" borderId="0" xfId="0" applyNumberFormat="1" applyFont="1" applyFill="1"/>
    <xf numFmtId="0" fontId="0" fillId="5" borderId="0" xfId="0" applyNumberFormat="1" applyFill="1"/>
    <xf numFmtId="0" fontId="1" fillId="3" borderId="0" xfId="0" applyFont="1" applyFill="1"/>
    <xf numFmtId="0" fontId="1" fillId="4" borderId="0" xfId="0" applyFont="1" applyFill="1"/>
    <xf numFmtId="0" fontId="0" fillId="0" borderId="0" xfId="0" applyAlignment="1">
      <alignment wrapText="1"/>
    </xf>
    <xf numFmtId="17" fontId="0" fillId="0" borderId="0" xfId="0" applyNumberFormat="1"/>
    <xf numFmtId="0" fontId="4" fillId="2" borderId="0" xfId="4" applyNumberFormat="1" applyFont="1" applyFill="1"/>
    <xf numFmtId="47" fontId="4" fillId="2" borderId="0" xfId="4" applyNumberFormat="1" applyFont="1" applyFill="1"/>
    <xf numFmtId="11" fontId="4" fillId="2" borderId="0" xfId="4" applyNumberFormat="1" applyFont="1" applyFill="1"/>
    <xf numFmtId="0" fontId="4" fillId="2" borderId="0" xfId="4" applyFont="1" applyFill="1"/>
    <xf numFmtId="164" fontId="4" fillId="2" borderId="0" xfId="4" applyNumberFormat="1" applyFont="1" applyFill="1"/>
    <xf numFmtId="0" fontId="4" fillId="2" borderId="0" xfId="0" applyFont="1" applyFill="1"/>
    <xf numFmtId="47" fontId="4" fillId="2" borderId="0" xfId="0" applyNumberFormat="1" applyFont="1" applyFill="1"/>
    <xf numFmtId="0" fontId="0" fillId="0" borderId="0" xfId="0" applyFill="1"/>
    <xf numFmtId="0" fontId="0" fillId="0" borderId="0" xfId="0" applyNumberFormat="1"/>
    <xf numFmtId="14" fontId="0" fillId="0" borderId="0" xfId="0" applyNumberFormat="1"/>
    <xf numFmtId="43" fontId="0" fillId="3" borderId="0" xfId="1" applyFont="1" applyFill="1"/>
    <xf numFmtId="0" fontId="0" fillId="0" borderId="0" xfId="0"/>
    <xf numFmtId="165" fontId="0" fillId="3" borderId="0" xfId="0" applyNumberFormat="1" applyFill="1"/>
    <xf numFmtId="166" fontId="0" fillId="3" borderId="0" xfId="0" applyNumberFormat="1" applyFill="1"/>
    <xf numFmtId="14" fontId="4" fillId="2" borderId="0" xfId="4" applyNumberFormat="1" applyFont="1" applyFill="1"/>
    <xf numFmtId="10" fontId="0" fillId="3" borderId="0" xfId="46" applyNumberFormat="1" applyFont="1" applyFill="1"/>
    <xf numFmtId="168" fontId="0" fillId="3" borderId="0" xfId="0" applyNumberFormat="1" applyFill="1"/>
    <xf numFmtId="10" fontId="4" fillId="2" borderId="0" xfId="4" applyNumberFormat="1" applyFont="1" applyFill="1"/>
    <xf numFmtId="0" fontId="0" fillId="0" borderId="0" xfId="0"/>
    <xf numFmtId="0" fontId="4" fillId="5" borderId="0" xfId="4" applyNumberFormat="1" applyFont="1" applyFill="1"/>
    <xf numFmtId="0" fontId="4" fillId="0" borderId="0" xfId="4" applyNumberFormat="1" applyFont="1" applyFill="1"/>
    <xf numFmtId="167" fontId="0" fillId="5" borderId="0" xfId="46" applyNumberFormat="1" applyFont="1" applyFill="1"/>
    <xf numFmtId="0" fontId="1" fillId="5" borderId="0" xfId="0" applyNumberFormat="1" applyFont="1" applyFill="1"/>
    <xf numFmtId="14" fontId="4" fillId="5" borderId="0" xfId="4" applyNumberFormat="1" applyFont="1" applyFill="1"/>
    <xf numFmtId="49" fontId="1" fillId="3" borderId="0" xfId="0" applyNumberFormat="1" applyFont="1" applyFill="1"/>
    <xf numFmtId="0" fontId="1" fillId="3" borderId="0" xfId="0" applyNumberFormat="1" applyFont="1" applyFill="1"/>
    <xf numFmtId="167" fontId="0" fillId="3" borderId="0" xfId="46" applyNumberFormat="1" applyFont="1" applyFill="1"/>
    <xf numFmtId="2" fontId="1" fillId="4" borderId="0" xfId="46" applyNumberFormat="1" applyFont="1" applyFill="1"/>
    <xf numFmtId="0" fontId="4" fillId="5" borderId="0" xfId="4" applyFont="1" applyFill="1"/>
    <xf numFmtId="0" fontId="4" fillId="5" borderId="0" xfId="0" applyFont="1" applyFill="1"/>
    <xf numFmtId="0" fontId="1" fillId="4" borderId="0" xfId="0" applyNumberFormat="1" applyFont="1" applyFill="1"/>
    <xf numFmtId="43" fontId="0" fillId="4" borderId="0" xfId="1" applyFont="1" applyFill="1"/>
    <xf numFmtId="4" fontId="0" fillId="3" borderId="0" xfId="0" applyNumberFormat="1" applyFill="1"/>
    <xf numFmtId="14" fontId="4" fillId="0" borderId="0" xfId="4" applyNumberFormat="1" applyFont="1" applyFill="1"/>
    <xf numFmtId="11" fontId="4" fillId="0" borderId="0" xfId="4" applyNumberFormat="1" applyFont="1" applyFill="1"/>
    <xf numFmtId="10" fontId="4" fillId="0" borderId="0" xfId="4" applyNumberFormat="1" applyFont="1" applyFill="1"/>
    <xf numFmtId="14" fontId="0" fillId="0" borderId="0" xfId="0" applyNumberFormat="1" applyAlignment="1">
      <alignment wrapText="1"/>
    </xf>
    <xf numFmtId="47" fontId="0" fillId="2" borderId="0" xfId="0" applyNumberFormat="1" applyFill="1"/>
    <xf numFmtId="43" fontId="0" fillId="0" borderId="0" xfId="1" applyFont="1" applyFill="1"/>
    <xf numFmtId="2" fontId="1" fillId="0" borderId="0" xfId="46" applyNumberFormat="1" applyFont="1" applyFill="1"/>
    <xf numFmtId="0" fontId="1" fillId="0" borderId="0" xfId="0" applyFont="1" applyFill="1"/>
    <xf numFmtId="0" fontId="0" fillId="0" borderId="0" xfId="0" applyNumberFormat="1" applyFill="1"/>
    <xf numFmtId="10" fontId="18" fillId="29" borderId="0" xfId="37" applyNumberFormat="1"/>
    <xf numFmtId="2" fontId="4" fillId="5" borderId="0" xfId="4" applyNumberFormat="1" applyFont="1" applyFill="1"/>
    <xf numFmtId="169" fontId="0" fillId="3" borderId="0" xfId="0" applyNumberFormat="1" applyFill="1"/>
    <xf numFmtId="14" fontId="4" fillId="5" borderId="0" xfId="0" applyNumberFormat="1" applyFont="1" applyFill="1"/>
    <xf numFmtId="2" fontId="0" fillId="0" borderId="0" xfId="0" applyNumberFormat="1"/>
    <xf numFmtId="181" fontId="0" fillId="0" borderId="0" xfId="0" applyNumberFormat="1"/>
  </cellXfs>
  <cellStyles count="47">
    <cellStyle name="20 % - uthevingsfarge 1" xfId="22" builtinId="30" customBuiltin="1"/>
    <cellStyle name="20 % - uthevingsfarge 2" xfId="26" builtinId="34" customBuiltin="1"/>
    <cellStyle name="20 % - uthevingsfarge 3" xfId="30" builtinId="38" customBuiltin="1"/>
    <cellStyle name="20 % - uthevingsfarge 4" xfId="34" builtinId="42" customBuiltin="1"/>
    <cellStyle name="20 % - uthevingsfarge 5" xfId="38" builtinId="46" customBuiltin="1"/>
    <cellStyle name="20 % - uthevingsfarge 6" xfId="42" builtinId="50" customBuiltin="1"/>
    <cellStyle name="40 % - uthevingsfarge 1" xfId="23" builtinId="31" customBuiltin="1"/>
    <cellStyle name="40 % - uthevingsfarge 2" xfId="27" builtinId="35" customBuiltin="1"/>
    <cellStyle name="40 % - uthevingsfarge 3" xfId="31" builtinId="39" customBuiltin="1"/>
    <cellStyle name="40 % - uthevingsfarge 4" xfId="35" builtinId="43" customBuiltin="1"/>
    <cellStyle name="40 % - uthevingsfarge 5" xfId="39" builtinId="47" customBuiltin="1"/>
    <cellStyle name="40 % - uthevingsfarge 6" xfId="43" builtinId="51" customBuiltin="1"/>
    <cellStyle name="60 % - uthevingsfarge 1" xfId="24" builtinId="32" customBuiltin="1"/>
    <cellStyle name="60 % - uthevingsfarge 2" xfId="28" builtinId="36" customBuiltin="1"/>
    <cellStyle name="60 % - uthevingsfarge 3" xfId="32" builtinId="40" customBuiltin="1"/>
    <cellStyle name="60 % - uthevingsfarge 4" xfId="36" builtinId="44" customBuiltin="1"/>
    <cellStyle name="60 % - uthevingsfarge 5" xfId="40" builtinId="48" customBuiltin="1"/>
    <cellStyle name="60 % - uthevingsfarge 6" xfId="44" builtinId="52" customBuiltin="1"/>
    <cellStyle name="Beregning" xfId="14" builtinId="22" customBuiltin="1"/>
    <cellStyle name="Comma 2" xfId="2"/>
    <cellStyle name="Comma 3" xfId="3"/>
    <cellStyle name="Comma 4" xfId="45"/>
    <cellStyle name="Dårlig" xfId="11" builtinId="27" customBuiltin="1"/>
    <cellStyle name="Forklarende tekst" xfId="19" builtinId="53" customBuiltin="1"/>
    <cellStyle name="God" xfId="10" builtinId="26" customBuiltin="1"/>
    <cellStyle name="Inndata" xfId="12" builtinId="20" customBuiltin="1"/>
    <cellStyle name="Koblet celle" xfId="15" builtinId="24" customBuiltin="1"/>
    <cellStyle name="Komma" xfId="1" builtinId="3"/>
    <cellStyle name="Kontrollcelle" xfId="16" builtinId="23" customBuiltin="1"/>
    <cellStyle name="Merknad" xfId="18" builtinId="10" customBuiltin="1"/>
    <cellStyle name="Normal" xfId="0" builtinId="0"/>
    <cellStyle name="Nøytral" xfId="4" builtinId="28" customBuiltin="1"/>
    <cellStyle name="Overskrift 1" xfId="6" builtinId="16" customBuiltin="1"/>
    <cellStyle name="Overskrift 2" xfId="7" builtinId="17" customBuiltin="1"/>
    <cellStyle name="Overskrift 3" xfId="8" builtinId="18" customBuiltin="1"/>
    <cellStyle name="Overskrift 4" xfId="9" builtinId="19" customBuiltin="1"/>
    <cellStyle name="Prosent" xfId="46" builtinId="5"/>
    <cellStyle name="Tittel" xfId="5" builtinId="15" customBuiltin="1"/>
    <cellStyle name="Totalt" xfId="20" builtinId="25" customBuiltin="1"/>
    <cellStyle name="Utdata" xfId="13" builtinId="21" customBuiltin="1"/>
    <cellStyle name="Uthevingsfarge1" xfId="21" builtinId="29" customBuiltin="1"/>
    <cellStyle name="Uthevingsfarge2" xfId="25" builtinId="33" customBuiltin="1"/>
    <cellStyle name="Uthevingsfarge3" xfId="29" builtinId="37" customBuiltin="1"/>
    <cellStyle name="Uthevingsfarge4" xfId="33" builtinId="41" customBuiltin="1"/>
    <cellStyle name="Uthevingsfarge5" xfId="37" builtinId="45" customBuiltin="1"/>
    <cellStyle name="Uthevingsfarge6" xfId="41" builtinId="49" customBuiltin="1"/>
    <cellStyle name="Varseltekst" xfId="17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1"/>
  <dimension ref="A1:G37"/>
  <sheetViews>
    <sheetView workbookViewId="0">
      <selection activeCell="E4" sqref="E4"/>
    </sheetView>
  </sheetViews>
  <sheetFormatPr baseColWidth="10" defaultRowHeight="15" x14ac:dyDescent="0.25"/>
  <sheetData>
    <row r="1" spans="1:7" x14ac:dyDescent="0.25">
      <c r="A1" t="s">
        <v>136</v>
      </c>
    </row>
    <row r="3" spans="1:7" x14ac:dyDescent="0.25">
      <c r="A3" s="23">
        <v>40848</v>
      </c>
      <c r="B3">
        <v>109.26</v>
      </c>
      <c r="E3" s="13">
        <v>40787</v>
      </c>
      <c r="F3">
        <v>110.860909090909</v>
      </c>
      <c r="G3" t="s">
        <v>138</v>
      </c>
    </row>
    <row r="4" spans="1:7" x14ac:dyDescent="0.25">
      <c r="A4" s="23">
        <v>40849</v>
      </c>
      <c r="B4">
        <v>107.96</v>
      </c>
    </row>
    <row r="5" spans="1:7" x14ac:dyDescent="0.25">
      <c r="A5" s="23">
        <v>40850</v>
      </c>
      <c r="B5">
        <v>110.58</v>
      </c>
    </row>
    <row r="6" spans="1:7" x14ac:dyDescent="0.25">
      <c r="A6" s="23">
        <v>40851</v>
      </c>
      <c r="B6">
        <v>110.34</v>
      </c>
    </row>
    <row r="7" spans="1:7" x14ac:dyDescent="0.25">
      <c r="A7" s="23">
        <v>40852</v>
      </c>
    </row>
    <row r="8" spans="1:7" x14ac:dyDescent="0.25">
      <c r="A8" s="23">
        <v>40853</v>
      </c>
    </row>
    <row r="9" spans="1:7" x14ac:dyDescent="0.25">
      <c r="A9" s="23">
        <v>40854</v>
      </c>
      <c r="B9">
        <v>111.79</v>
      </c>
    </row>
    <row r="10" spans="1:7" x14ac:dyDescent="0.25">
      <c r="A10" s="23">
        <v>40855</v>
      </c>
      <c r="B10">
        <v>113.78</v>
      </c>
    </row>
    <row r="11" spans="1:7" x14ac:dyDescent="0.25">
      <c r="A11" s="23">
        <v>40856</v>
      </c>
      <c r="B11">
        <v>115.75</v>
      </c>
    </row>
    <row r="12" spans="1:7" x14ac:dyDescent="0.25">
      <c r="A12" s="23">
        <v>40857</v>
      </c>
      <c r="B12">
        <v>113.81</v>
      </c>
    </row>
    <row r="13" spans="1:7" x14ac:dyDescent="0.25">
      <c r="A13" s="23">
        <v>40858</v>
      </c>
      <c r="B13">
        <v>113.38</v>
      </c>
    </row>
    <row r="14" spans="1:7" x14ac:dyDescent="0.25">
      <c r="A14" s="23">
        <v>40859</v>
      </c>
    </row>
    <row r="15" spans="1:7" x14ac:dyDescent="0.25">
      <c r="A15" s="23">
        <v>40860</v>
      </c>
    </row>
    <row r="16" spans="1:7" x14ac:dyDescent="0.25">
      <c r="A16" s="23">
        <v>40861</v>
      </c>
      <c r="B16">
        <v>114.16</v>
      </c>
    </row>
    <row r="24" spans="2:3" x14ac:dyDescent="0.25">
      <c r="B24" s="32"/>
      <c r="C24" s="32"/>
    </row>
    <row r="25" spans="2:3" x14ac:dyDescent="0.25">
      <c r="B25" s="32"/>
      <c r="C25" s="32"/>
    </row>
    <row r="26" spans="2:3" x14ac:dyDescent="0.25">
      <c r="B26" s="32"/>
      <c r="C26" s="32"/>
    </row>
    <row r="27" spans="2:3" x14ac:dyDescent="0.25">
      <c r="B27" s="32"/>
      <c r="C27" s="32"/>
    </row>
    <row r="28" spans="2:3" x14ac:dyDescent="0.25">
      <c r="B28" s="32"/>
      <c r="C28" s="32"/>
    </row>
    <row r="29" spans="2:3" x14ac:dyDescent="0.25">
      <c r="B29" s="32"/>
      <c r="C29" s="32"/>
    </row>
    <row r="30" spans="2:3" x14ac:dyDescent="0.25">
      <c r="B30" s="32"/>
      <c r="C30" s="32"/>
    </row>
    <row r="31" spans="2:3" x14ac:dyDescent="0.25">
      <c r="B31" s="32"/>
      <c r="C31" s="32"/>
    </row>
    <row r="32" spans="2:3" x14ac:dyDescent="0.25">
      <c r="B32" s="32"/>
      <c r="C32" s="32"/>
    </row>
    <row r="33" spans="2:3" x14ac:dyDescent="0.25">
      <c r="B33" s="32"/>
      <c r="C33" s="32"/>
    </row>
    <row r="34" spans="2:3" x14ac:dyDescent="0.25">
      <c r="B34" s="32"/>
      <c r="C34" s="32"/>
    </row>
    <row r="35" spans="2:3" x14ac:dyDescent="0.25">
      <c r="B35" s="32"/>
    </row>
    <row r="36" spans="2:3" x14ac:dyDescent="0.25">
      <c r="B36" s="32"/>
    </row>
    <row r="37" spans="2:3" x14ac:dyDescent="0.25">
      <c r="B37" s="32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6"/>
  <dimension ref="B1:CP30"/>
  <sheetViews>
    <sheetView topLeftCell="AQ1" workbookViewId="0">
      <selection activeCell="BB17" sqref="BB17"/>
    </sheetView>
  </sheetViews>
  <sheetFormatPr baseColWidth="10" defaultColWidth="11.42578125" defaultRowHeight="15" x14ac:dyDescent="0.25"/>
  <cols>
    <col min="1" max="1" width="11.42578125" style="25"/>
    <col min="2" max="3" width="15.140625" style="25" bestFit="1" customWidth="1"/>
    <col min="4" max="4" width="27.42578125" style="25" bestFit="1" customWidth="1"/>
    <col min="5" max="5" width="17.85546875" style="23" bestFit="1" customWidth="1"/>
    <col min="6" max="6" width="22.85546875" style="23" customWidth="1"/>
    <col min="7" max="7" width="10.7109375" style="23" bestFit="1" customWidth="1"/>
    <col min="8" max="19" width="11.42578125" style="25"/>
    <col min="20" max="20" width="14" style="25" customWidth="1"/>
    <col min="21" max="28" width="11.42578125" style="25"/>
    <col min="29" max="29" width="12" style="25" bestFit="1" customWidth="1"/>
    <col min="30" max="34" width="12" style="32" customWidth="1"/>
    <col min="35" max="35" width="19.42578125" style="25" bestFit="1" customWidth="1"/>
    <col min="36" max="36" width="19.42578125" style="32" customWidth="1"/>
    <col min="37" max="37" width="15.42578125" style="25" bestFit="1" customWidth="1"/>
    <col min="38" max="38" width="15.42578125" style="32" customWidth="1"/>
    <col min="39" max="39" width="19.42578125" style="32" bestFit="1" customWidth="1"/>
    <col min="40" max="40" width="19" style="25" bestFit="1" customWidth="1"/>
    <col min="41" max="41" width="19.28515625" style="25" bestFit="1" customWidth="1"/>
    <col min="42" max="42" width="9.28515625" style="25" bestFit="1" customWidth="1"/>
    <col min="43" max="43" width="13.140625" style="32" bestFit="1" customWidth="1"/>
    <col min="44" max="44" width="9.140625" style="25" bestFit="1" customWidth="1"/>
    <col min="45" max="45" width="18.28515625" style="32" bestFit="1" customWidth="1"/>
    <col min="46" max="46" width="12.28515625" style="32" bestFit="1" customWidth="1"/>
    <col min="47" max="47" width="8.7109375" style="32" bestFit="1" customWidth="1"/>
    <col min="48" max="48" width="12" style="32" bestFit="1" customWidth="1"/>
    <col min="49" max="49" width="18.7109375" style="32" bestFit="1" customWidth="1"/>
    <col min="50" max="50" width="16.5703125" style="25" bestFit="1" customWidth="1"/>
    <col min="51" max="51" width="16.5703125" style="25" customWidth="1"/>
    <col min="52" max="52" width="11.42578125" style="25"/>
    <col min="53" max="53" width="14.7109375" style="25" bestFit="1" customWidth="1"/>
    <col min="54" max="54" width="16.42578125" style="25" bestFit="1" customWidth="1"/>
    <col min="55" max="55" width="13.42578125" style="25" bestFit="1" customWidth="1"/>
    <col min="56" max="56" width="13.28515625" style="25" bestFit="1" customWidth="1"/>
    <col min="57" max="57" width="12.5703125" style="25" bestFit="1" customWidth="1"/>
    <col min="58" max="58" width="13.7109375" style="25" bestFit="1" customWidth="1"/>
    <col min="59" max="59" width="13.42578125" style="25" bestFit="1" customWidth="1"/>
    <col min="60" max="60" width="15.5703125" style="25" customWidth="1"/>
    <col min="61" max="61" width="16.42578125" style="25" bestFit="1" customWidth="1"/>
    <col min="62" max="64" width="11.42578125" style="25"/>
    <col min="65" max="65" width="11.42578125" style="32"/>
    <col min="66" max="66" width="11.42578125" style="25"/>
    <col min="67" max="67" width="16.42578125" style="25" bestFit="1" customWidth="1"/>
    <col min="68" max="71" width="11.42578125" style="25"/>
    <col min="72" max="72" width="13.28515625" style="25" bestFit="1" customWidth="1"/>
    <col min="73" max="75" width="13.28515625" style="32" customWidth="1"/>
    <col min="76" max="76" width="10.42578125" style="32" bestFit="1" customWidth="1"/>
    <col min="77" max="77" width="13.5703125" style="25" bestFit="1" customWidth="1"/>
    <col min="78" max="78" width="14.28515625" style="25" bestFit="1" customWidth="1"/>
    <col min="79" max="79" width="15" style="25" bestFit="1" customWidth="1"/>
    <col min="80" max="80" width="12.7109375" style="25" bestFit="1" customWidth="1"/>
    <col min="81" max="82" width="11.42578125" style="25"/>
    <col min="83" max="84" width="14.85546875" style="25" bestFit="1" customWidth="1"/>
    <col min="85" max="85" width="17.140625" style="25" bestFit="1" customWidth="1"/>
    <col min="86" max="16384" width="11.42578125" style="25"/>
  </cols>
  <sheetData>
    <row r="1" spans="2:94" x14ac:dyDescent="0.25">
      <c r="AS1" s="34"/>
      <c r="AT1" s="34"/>
      <c r="AU1" s="34"/>
      <c r="AV1" s="34"/>
      <c r="AW1" s="34"/>
    </row>
    <row r="2" spans="2:94" ht="13.5" customHeight="1" x14ac:dyDescent="0.25">
      <c r="AS2" s="34"/>
      <c r="AT2" s="34"/>
      <c r="AU2" s="34"/>
      <c r="AV2" s="34"/>
      <c r="AW2" s="34"/>
    </row>
    <row r="3" spans="2:94" x14ac:dyDescent="0.25">
      <c r="D3" s="5" t="s">
        <v>67</v>
      </c>
      <c r="AI3" s="13"/>
      <c r="AJ3" s="13"/>
      <c r="AS3" s="34"/>
      <c r="AT3" s="34"/>
      <c r="AU3" s="34"/>
      <c r="AV3" s="34"/>
      <c r="AW3" s="34"/>
    </row>
    <row r="4" spans="2:94" x14ac:dyDescent="0.25">
      <c r="D4" s="7" t="s">
        <v>63</v>
      </c>
      <c r="AS4" s="21"/>
      <c r="AT4" s="21"/>
      <c r="AU4" s="21"/>
      <c r="AV4" s="21"/>
      <c r="AW4" s="21"/>
    </row>
    <row r="5" spans="2:94" x14ac:dyDescent="0.25">
      <c r="D5" s="2" t="s">
        <v>65</v>
      </c>
      <c r="AS5" s="21"/>
      <c r="AT5" s="21"/>
      <c r="AU5" s="21"/>
      <c r="AV5" s="21"/>
      <c r="AW5" s="21"/>
    </row>
    <row r="6" spans="2:94" x14ac:dyDescent="0.25">
      <c r="D6" s="4" t="s">
        <v>66</v>
      </c>
    </row>
    <row r="7" spans="2:94" x14ac:dyDescent="0.25">
      <c r="D7" s="21"/>
    </row>
    <row r="8" spans="2:94" ht="93" customHeight="1" x14ac:dyDescent="0.25">
      <c r="D8" s="25" t="s">
        <v>62</v>
      </c>
      <c r="E8" s="50" t="s">
        <v>96</v>
      </c>
      <c r="AI8" s="22"/>
      <c r="AJ8" s="22"/>
    </row>
    <row r="9" spans="2:94" x14ac:dyDescent="0.25">
      <c r="D9" s="25" t="s">
        <v>64</v>
      </c>
      <c r="E9" s="23">
        <v>40862</v>
      </c>
      <c r="AT9" s="32">
        <f>EXP(-AM15*TimeToExpiry($E$9,AG15))</f>
        <v>0.99990626871461874</v>
      </c>
      <c r="AW9" s="32">
        <v>53</v>
      </c>
    </row>
    <row r="10" spans="2:94" x14ac:dyDescent="0.25">
      <c r="D10" s="21"/>
      <c r="AT10" s="32">
        <f>(AI15-AU15)*AT9*AV15</f>
        <v>33.211886715356059</v>
      </c>
      <c r="AW10" s="32">
        <f>AK15/AV15</f>
        <v>71.5</v>
      </c>
    </row>
    <row r="12" spans="2:94" x14ac:dyDescent="0.25">
      <c r="B12" s="14" t="s">
        <v>8</v>
      </c>
      <c r="C12" s="14" t="s">
        <v>17</v>
      </c>
      <c r="D12" s="14" t="s">
        <v>9</v>
      </c>
      <c r="E12" s="28" t="s">
        <v>10</v>
      </c>
      <c r="F12" s="28" t="s">
        <v>11</v>
      </c>
      <c r="G12" s="28" t="s">
        <v>1</v>
      </c>
      <c r="H12" s="14" t="s">
        <v>2</v>
      </c>
      <c r="I12" s="14" t="s">
        <v>12</v>
      </c>
      <c r="J12" s="14" t="s">
        <v>13</v>
      </c>
      <c r="K12" s="14" t="s">
        <v>0</v>
      </c>
      <c r="L12" s="14" t="s">
        <v>14</v>
      </c>
      <c r="M12" s="14" t="s">
        <v>15</v>
      </c>
      <c r="N12" s="14" t="s">
        <v>16</v>
      </c>
      <c r="O12" s="14" t="s">
        <v>18</v>
      </c>
      <c r="P12" s="14" t="s">
        <v>19</v>
      </c>
      <c r="Q12" s="14" t="s">
        <v>20</v>
      </c>
      <c r="R12" s="14" t="s">
        <v>6</v>
      </c>
      <c r="S12" s="14" t="s">
        <v>7</v>
      </c>
      <c r="T12" s="14" t="s">
        <v>4</v>
      </c>
      <c r="U12" s="14" t="s">
        <v>21</v>
      </c>
      <c r="V12" s="14" t="s">
        <v>22</v>
      </c>
      <c r="W12" s="14" t="s">
        <v>23</v>
      </c>
      <c r="X12" s="14" t="s">
        <v>24</v>
      </c>
      <c r="Y12" s="14" t="s">
        <v>25</v>
      </c>
      <c r="Z12" s="14" t="s">
        <v>26</v>
      </c>
      <c r="AA12" s="14" t="s">
        <v>27</v>
      </c>
      <c r="AB12" s="14" t="s">
        <v>28</v>
      </c>
      <c r="AC12" s="14" t="s">
        <v>29</v>
      </c>
      <c r="AD12" s="36" t="s">
        <v>88</v>
      </c>
      <c r="AE12" s="36" t="s">
        <v>10</v>
      </c>
      <c r="AF12" s="36" t="s">
        <v>11</v>
      </c>
      <c r="AG12" s="36" t="s">
        <v>84</v>
      </c>
      <c r="AH12" s="36" t="s">
        <v>31</v>
      </c>
      <c r="AI12" s="36" t="s">
        <v>32</v>
      </c>
      <c r="AJ12" s="36" t="s">
        <v>2</v>
      </c>
      <c r="AK12" s="36" t="s">
        <v>83</v>
      </c>
      <c r="AL12" s="36" t="s">
        <v>87</v>
      </c>
      <c r="AM12" s="6" t="s">
        <v>5</v>
      </c>
      <c r="AN12" s="36" t="s">
        <v>75</v>
      </c>
      <c r="AO12" s="36" t="s">
        <v>76</v>
      </c>
      <c r="AP12" s="36" t="s">
        <v>77</v>
      </c>
      <c r="AQ12" s="36" t="s">
        <v>86</v>
      </c>
      <c r="AR12" s="36" t="s">
        <v>78</v>
      </c>
      <c r="AS12" s="36" t="s">
        <v>89</v>
      </c>
      <c r="AT12" s="38" t="s">
        <v>80</v>
      </c>
      <c r="AU12" s="39" t="s">
        <v>137</v>
      </c>
      <c r="AV12" s="39" t="s">
        <v>79</v>
      </c>
      <c r="AW12" s="39" t="s">
        <v>82</v>
      </c>
      <c r="AX12" s="39" t="s">
        <v>83</v>
      </c>
      <c r="AY12" s="8" t="s">
        <v>94</v>
      </c>
      <c r="AZ12" s="1" t="s">
        <v>30</v>
      </c>
      <c r="BA12" s="1" t="s">
        <v>74</v>
      </c>
      <c r="BB12" s="1" t="s">
        <v>85</v>
      </c>
      <c r="BC12" s="1" t="s">
        <v>71</v>
      </c>
      <c r="BD12" s="30" t="s">
        <v>33</v>
      </c>
      <c r="BE12" s="30" t="s">
        <v>34</v>
      </c>
      <c r="BF12" s="30" t="s">
        <v>35</v>
      </c>
      <c r="BG12" s="30" t="s">
        <v>36</v>
      </c>
      <c r="BH12" s="30" t="s">
        <v>37</v>
      </c>
      <c r="BI12" s="10" t="s">
        <v>38</v>
      </c>
      <c r="BJ12" s="10" t="s">
        <v>39</v>
      </c>
      <c r="BK12" s="10" t="s">
        <v>40</v>
      </c>
      <c r="BL12" s="10" t="s">
        <v>41</v>
      </c>
      <c r="BM12" s="10" t="s">
        <v>139</v>
      </c>
      <c r="BN12" s="10" t="s">
        <v>42</v>
      </c>
      <c r="BO12" s="10" t="s">
        <v>43</v>
      </c>
      <c r="BP12" s="10" t="s">
        <v>44</v>
      </c>
      <c r="BQ12" s="10" t="s">
        <v>45</v>
      </c>
      <c r="BR12" s="10" t="s">
        <v>46</v>
      </c>
      <c r="BS12" s="10" t="s">
        <v>47</v>
      </c>
      <c r="BT12" s="10" t="s">
        <v>72</v>
      </c>
      <c r="BU12" s="44" t="s">
        <v>90</v>
      </c>
      <c r="BV12" s="44" t="s">
        <v>91</v>
      </c>
      <c r="BW12" s="44" t="s">
        <v>92</v>
      </c>
      <c r="BX12" s="44" t="s">
        <v>93</v>
      </c>
      <c r="BY12" s="11" t="s">
        <v>73</v>
      </c>
      <c r="BZ12" s="11" t="s">
        <v>57</v>
      </c>
      <c r="CA12" s="11" t="s">
        <v>48</v>
      </c>
      <c r="CB12" s="11" t="s">
        <v>49</v>
      </c>
      <c r="CC12" s="11" t="s">
        <v>50</v>
      </c>
      <c r="CD12" s="11" t="s">
        <v>58</v>
      </c>
      <c r="CE12" s="11" t="s">
        <v>51</v>
      </c>
      <c r="CF12" s="11" t="s">
        <v>52</v>
      </c>
      <c r="CG12" s="11" t="s">
        <v>53</v>
      </c>
      <c r="CH12" s="11" t="s">
        <v>54</v>
      </c>
      <c r="CI12" s="11" t="s">
        <v>55</v>
      </c>
      <c r="CJ12" s="11" t="s">
        <v>56</v>
      </c>
      <c r="CK12" s="11" t="s">
        <v>69</v>
      </c>
      <c r="CL12" s="11" t="s">
        <v>59</v>
      </c>
      <c r="CM12" s="11" t="s">
        <v>70</v>
      </c>
      <c r="CN12" s="11" t="s">
        <v>60</v>
      </c>
      <c r="CO12" s="11" t="s">
        <v>61</v>
      </c>
    </row>
    <row r="13" spans="2:94" x14ac:dyDescent="0.25">
      <c r="B13" s="14" t="s">
        <v>97</v>
      </c>
      <c r="C13" s="14" t="s">
        <v>98</v>
      </c>
      <c r="D13" s="14" t="s">
        <v>99</v>
      </c>
      <c r="E13" s="15">
        <v>40848</v>
      </c>
      <c r="F13" s="15">
        <v>40877</v>
      </c>
      <c r="G13" s="28" t="s">
        <v>100</v>
      </c>
      <c r="H13" s="14">
        <v>130</v>
      </c>
      <c r="I13" s="14" t="s">
        <v>3</v>
      </c>
      <c r="J13" s="14">
        <v>5000</v>
      </c>
      <c r="K13" s="14">
        <v>720</v>
      </c>
      <c r="L13" s="14">
        <v>3.66</v>
      </c>
      <c r="M13" s="14">
        <v>-18300</v>
      </c>
      <c r="N13" s="14">
        <v>1</v>
      </c>
      <c r="O13" s="14">
        <v>8.5658409636628297E-2</v>
      </c>
      <c r="P13" s="14">
        <v>5.3589739602808604E-3</v>
      </c>
      <c r="Q13" s="14">
        <v>3.13340952506113</v>
      </c>
      <c r="R13" s="16">
        <v>-0.100212585545483</v>
      </c>
      <c r="S13" s="14">
        <v>-4.3835616406646301E-2</v>
      </c>
      <c r="T13" s="31">
        <v>1.0234826251860201</v>
      </c>
      <c r="U13" s="14">
        <v>5000</v>
      </c>
      <c r="V13" s="14">
        <v>5000</v>
      </c>
      <c r="W13" s="14">
        <v>0</v>
      </c>
      <c r="X13" s="14">
        <v>-18300</v>
      </c>
      <c r="Y13" s="14">
        <v>5000</v>
      </c>
      <c r="Z13" s="14">
        <v>-13300</v>
      </c>
      <c r="AA13" s="14">
        <v>-18300</v>
      </c>
      <c r="AB13" s="14">
        <v>5000</v>
      </c>
      <c r="AC13" s="14">
        <v>-13300</v>
      </c>
      <c r="AD13" s="37">
        <v>40182</v>
      </c>
      <c r="AE13" s="37">
        <f>E13</f>
        <v>40848</v>
      </c>
      <c r="AF13" s="37">
        <f>F13</f>
        <v>40877</v>
      </c>
      <c r="AG13" s="37">
        <f>AF13</f>
        <v>40877</v>
      </c>
      <c r="AH13" s="9" t="s">
        <v>68</v>
      </c>
      <c r="AI13" s="9">
        <v>114.16</v>
      </c>
      <c r="AJ13" s="33">
        <f>H13</f>
        <v>130</v>
      </c>
      <c r="AK13" s="9">
        <v>1</v>
      </c>
      <c r="AL13" s="33">
        <f>L13</f>
        <v>3.66</v>
      </c>
      <c r="AM13" s="9">
        <v>2.1383451642447899E-3</v>
      </c>
      <c r="AN13" s="9">
        <f>COUNT('Historic settlement prices'!B3:B16)</f>
        <v>10</v>
      </c>
      <c r="AO13" s="9">
        <v>12</v>
      </c>
      <c r="AP13" s="9">
        <f>AN13+AO13</f>
        <v>22</v>
      </c>
      <c r="AQ13" s="9">
        <f>J13</f>
        <v>5000</v>
      </c>
      <c r="AR13" s="9">
        <f>AVERAGE('Historic settlement prices'!$B$3:$B$16)</f>
        <v>112.08099999999999</v>
      </c>
      <c r="AS13" s="9" t="s">
        <v>121</v>
      </c>
      <c r="AT13" s="40" t="b">
        <f>AND(AE13&lt;=E$9,AF13&gt;=E$9)</f>
        <v>1</v>
      </c>
      <c r="AU13" s="2">
        <f>IF(AT13,(AP13/AO13)*AJ13-(AN13/AO13*AR13),AJ13)</f>
        <v>144.9325</v>
      </c>
      <c r="AV13" s="2">
        <f>IF(AP13="",1,AO13/AP13)</f>
        <v>0.54545454545454541</v>
      </c>
      <c r="AW13" s="2" t="b">
        <f>AU13&lt;0</f>
        <v>0</v>
      </c>
      <c r="AX13" s="26">
        <f t="shared" ref="AX13:AX27" si="0">AK13</f>
        <v>1</v>
      </c>
      <c r="AY13" s="29">
        <f>IF(AW13,"",ImpliedVolatilityB76Future($E$9,AH13,AI13,AU13,AG13,AX13/AV13,AM13))</f>
        <v>1.0234826236505254</v>
      </c>
      <c r="AZ13" s="26">
        <f>AX13</f>
        <v>1</v>
      </c>
      <c r="BA13" s="30">
        <f>IF(AW13,EXP(-TimeToExpiry($E$9,AG13)*AM13)*(AI13-AU13)*AV13,B76Future($E$9,AH13,AI13,AU13,AG13,AY13,AM13)*AV13)</f>
        <v>0.99999999999999978</v>
      </c>
      <c r="BB13" s="27">
        <f>IF(AW13,EXP(-AM13*TimeToExpiry($E$9,AG13))*(AI13-AU13)*AV13,B76Future($E$9,AH13,AI13,AU13,AG13,T13,AM13)*AV13)</f>
        <v>1.0000000048113351</v>
      </c>
      <c r="BC13" s="1">
        <f>AL13</f>
        <v>3.66</v>
      </c>
      <c r="BD13" s="30">
        <f>IF(AW13,EXP(-TimeToExpiry($E$9,AG13)*AM13)*AV13, B76Delta($E$9,AH13,AI13,AU13,AG13,AY13,AM13)*AV13)</f>
        <v>8.565840944293629E-2</v>
      </c>
      <c r="BE13" s="30">
        <f>IF(AW13,0,B76Gamma($E$9,AH13,AI13,AU13,AG13,T13,AM13)*AV13)</f>
        <v>5.3589739607244205E-3</v>
      </c>
      <c r="BF13" s="30">
        <f>IF(AW13,0,B76Vega($E$9,AH13,AI13,AU13,AG13,T13,AM13)*AV13)</f>
        <v>3.1334095275871277</v>
      </c>
      <c r="BG13" s="30">
        <f>IF(AW13,(EXP(-TimeToExpiry($E$9,AG13)*AM13)*(AI13-AU13)*AV13*AM13/365),B76Theta($E$9,AH13,AI13,AU13,AG13,AY13,AM13)*AV13)</f>
        <v>-0.10021258521863528</v>
      </c>
      <c r="BH13" s="30">
        <f>IF(AW13,(EXP(-TimeToExpiry($E$9,AG13)*AM13)*(AI13-AU13)*AV13*-TimeToExpiry($E$9,AG13)),B76Rho($E$9,AH13,AI13,AU13,AG13,T13,AM13)*AV13)</f>
        <v>-4.3835616649264005E-2</v>
      </c>
      <c r="BI13" s="46">
        <f>-AL13*AQ13</f>
        <v>-18300</v>
      </c>
      <c r="BJ13" s="46">
        <f>AX13*AQ13</f>
        <v>5000</v>
      </c>
      <c r="BK13" s="46">
        <f>BJ13</f>
        <v>5000</v>
      </c>
      <c r="BL13" s="46"/>
      <c r="BM13" s="46"/>
      <c r="BN13" s="46">
        <f>BI13+BL13</f>
        <v>-18300</v>
      </c>
      <c r="BO13" s="46">
        <f>BK13</f>
        <v>5000</v>
      </c>
      <c r="BP13" s="46">
        <f>BN13+BO13</f>
        <v>-13300</v>
      </c>
      <c r="BQ13" s="46">
        <f>BL13+BI13</f>
        <v>-18300</v>
      </c>
      <c r="BR13" s="46">
        <f>BK13</f>
        <v>5000</v>
      </c>
      <c r="BS13" s="46">
        <f>BQ13+BR13</f>
        <v>-13300</v>
      </c>
      <c r="BT13" s="24">
        <f>BD13*AQ13</f>
        <v>428.29204721468147</v>
      </c>
      <c r="BU13" s="45">
        <f>QaAssert(E13,AE13)</f>
        <v>0</v>
      </c>
      <c r="BV13" s="45">
        <f>QaAssert(F13,AF13)</f>
        <v>0</v>
      </c>
      <c r="BW13" s="45" t="e">
        <f>QaAssert(G13,AG13)</f>
        <v>#VALUE!</v>
      </c>
      <c r="BX13" s="45">
        <f>QaAssert(H13,AJ13)</f>
        <v>0</v>
      </c>
      <c r="BY13" s="41">
        <f>QaAssert(T13,AY13)</f>
        <v>0</v>
      </c>
      <c r="BZ13" s="11">
        <f>QaAssert(L13,BC13)</f>
        <v>0</v>
      </c>
      <c r="CA13" s="3">
        <f>QaAssert(M13,BI13)</f>
        <v>0</v>
      </c>
      <c r="CB13" s="3">
        <f>QaAssert(U13,BJ13)</f>
        <v>0</v>
      </c>
      <c r="CC13" s="3">
        <f>QaAssert(V13,BK13)</f>
        <v>0</v>
      </c>
      <c r="CD13" s="3">
        <f>QaAssert(W13,BL13)</f>
        <v>0</v>
      </c>
      <c r="CE13" s="3">
        <f t="shared" ref="CE13:CJ13" si="1">QaAssert(X13,BN13)</f>
        <v>0</v>
      </c>
      <c r="CF13" s="3">
        <f t="shared" si="1"/>
        <v>0</v>
      </c>
      <c r="CG13" s="3">
        <f t="shared" si="1"/>
        <v>0</v>
      </c>
      <c r="CH13" s="3">
        <f t="shared" si="1"/>
        <v>0</v>
      </c>
      <c r="CI13" s="3">
        <f t="shared" si="1"/>
        <v>0</v>
      </c>
      <c r="CJ13" s="3">
        <f t="shared" si="1"/>
        <v>0</v>
      </c>
      <c r="CK13" s="3">
        <f>QaAssert(O13,BD13)</f>
        <v>0</v>
      </c>
      <c r="CL13" s="3">
        <f>QaAssert(P13,BE13)</f>
        <v>0</v>
      </c>
      <c r="CM13" s="3">
        <f>QaAssert(Q13,BF13)</f>
        <v>0</v>
      </c>
      <c r="CN13" s="3">
        <f>QaAssert(S13,BH13)</f>
        <v>0</v>
      </c>
      <c r="CO13" s="3">
        <f>QaAssert(R13,BG13)</f>
        <v>0</v>
      </c>
      <c r="CP13" s="22"/>
    </row>
    <row r="14" spans="2:94" x14ac:dyDescent="0.25">
      <c r="B14" s="14" t="s">
        <v>97</v>
      </c>
      <c r="C14" s="14" t="s">
        <v>98</v>
      </c>
      <c r="D14" s="14" t="s">
        <v>101</v>
      </c>
      <c r="E14" s="15">
        <v>40848</v>
      </c>
      <c r="F14" s="15">
        <v>40877</v>
      </c>
      <c r="G14" s="28" t="s">
        <v>100</v>
      </c>
      <c r="H14" s="14">
        <v>130</v>
      </c>
      <c r="I14" s="14" t="s">
        <v>3</v>
      </c>
      <c r="J14" s="14">
        <v>5</v>
      </c>
      <c r="K14" s="14">
        <v>720</v>
      </c>
      <c r="L14" s="14">
        <v>3.66</v>
      </c>
      <c r="M14" s="14">
        <v>-18.3</v>
      </c>
      <c r="N14" s="14">
        <v>20</v>
      </c>
      <c r="O14" s="14">
        <v>-0.38669908604312297</v>
      </c>
      <c r="P14" s="14">
        <v>4.9204407284714697E-3</v>
      </c>
      <c r="Q14" s="14">
        <v>4.4693751482086101</v>
      </c>
      <c r="R14" s="16">
        <v>-0.221950123528105</v>
      </c>
      <c r="S14" s="14">
        <v>-0.87671232813292799</v>
      </c>
      <c r="T14" s="31">
        <v>1.58996574224575</v>
      </c>
      <c r="U14" s="14">
        <v>100</v>
      </c>
      <c r="V14" s="14">
        <v>100</v>
      </c>
      <c r="W14" s="14">
        <v>0</v>
      </c>
      <c r="X14" s="14">
        <v>-18.3</v>
      </c>
      <c r="Y14" s="14">
        <v>100</v>
      </c>
      <c r="Z14" s="14">
        <v>81.7</v>
      </c>
      <c r="AA14" s="14">
        <v>-18.3</v>
      </c>
      <c r="AB14" s="14">
        <v>100</v>
      </c>
      <c r="AC14" s="14">
        <v>81.7</v>
      </c>
      <c r="AD14" s="37">
        <v>40182</v>
      </c>
      <c r="AE14" s="37">
        <f t="shared" ref="AE14:AE27" si="2">E14</f>
        <v>40848</v>
      </c>
      <c r="AF14" s="37">
        <f t="shared" ref="AF14:AF27" si="3">F14</f>
        <v>40877</v>
      </c>
      <c r="AG14" s="37">
        <f t="shared" ref="AG14:AG27" si="4">AF14</f>
        <v>40877</v>
      </c>
      <c r="AH14" s="9" t="s">
        <v>120</v>
      </c>
      <c r="AI14" s="9">
        <v>114.16</v>
      </c>
      <c r="AJ14" s="33">
        <f t="shared" ref="AJ14:AJ27" si="5">H14</f>
        <v>130</v>
      </c>
      <c r="AK14" s="7">
        <v>20</v>
      </c>
      <c r="AL14" s="33">
        <f t="shared" ref="AL14:AL27" si="6">L14</f>
        <v>3.66</v>
      </c>
      <c r="AM14" s="7">
        <v>2.1383451642447899E-3</v>
      </c>
      <c r="AN14" s="7">
        <v>10</v>
      </c>
      <c r="AO14" s="7">
        <v>12</v>
      </c>
      <c r="AP14" s="9">
        <f>AN14+AO14</f>
        <v>22</v>
      </c>
      <c r="AQ14" s="9">
        <f t="shared" ref="AQ14:AQ27" si="7">J14</f>
        <v>5</v>
      </c>
      <c r="AR14" s="9">
        <f>AVERAGE('Historic settlement prices'!$B$3:$B$16)</f>
        <v>112.08099999999999</v>
      </c>
      <c r="AS14" s="9" t="s">
        <v>122</v>
      </c>
      <c r="AT14" s="40" t="b">
        <f t="shared" ref="AT14:AT27" si="8">AND(AE14&lt;=E$9,AF14&gt;=E$9)</f>
        <v>1</v>
      </c>
      <c r="AU14" s="2">
        <f t="shared" ref="AU14:AU27" si="9">IF(AT14,(AP14/AO14)*AJ14-(AN14/AO14*AR14),AJ14)</f>
        <v>144.9325</v>
      </c>
      <c r="AV14" s="2">
        <f t="shared" ref="AV14:AV27" si="10">IF(AP14="",1,AO14/AP14)</f>
        <v>0.54545454545454541</v>
      </c>
      <c r="AW14" s="2" t="b">
        <f t="shared" ref="AW14:AW27" si="11">AU14&lt;0</f>
        <v>0</v>
      </c>
      <c r="AX14" s="26">
        <f t="shared" si="0"/>
        <v>20</v>
      </c>
      <c r="AY14" s="29">
        <f>IF(AW14,"",ImpliedVolatilityB76Future($E$9,AH14,AI14,AU14,AG14,AX14/AV14,AM14))</f>
        <v>1.5899657409581822</v>
      </c>
      <c r="AZ14" s="26">
        <f t="shared" ref="AZ14:AZ22" si="12">AX14</f>
        <v>20</v>
      </c>
      <c r="BA14" s="30">
        <f>IF(AW14,EXP(-TimeToExpiry($E$9,AG14)*AM14)*(AI14-AU14)*AV14,B76Future($E$9,AH14,AI14,AU14,AG14,AY14,AM14)*AV14)</f>
        <v>20.000000000000004</v>
      </c>
      <c r="BB14" s="27">
        <f>IF(AW14,EXP(-AM14*TimeToExpiry($E$9,AG14))*(AI14-AU14)*AV14,B76Future($E$9,AH14,AI14,AU14,AG14,T14,AM14)*AV14)</f>
        <v>20.000000005754625</v>
      </c>
      <c r="BC14" s="1">
        <f t="shared" ref="BC14:BC27" si="13">AL14</f>
        <v>3.66</v>
      </c>
      <c r="BD14" s="30">
        <f>IF(AW14,EXP(-TimeToExpiry($E$9,AG14)*AM14)*AV14, B76Delta($E$9,AH14,AI14,AU14,AG14,AY14,AM14)*AV14)</f>
        <v>-0.38669908611732989</v>
      </c>
      <c r="BE14" s="30">
        <f>IF(AW14,0,B76Gamma($E$9,AH14,AI14,AU14,AG14,T14,AM14)*AV14)</f>
        <v>4.9204407275569547E-3</v>
      </c>
      <c r="BF14" s="30">
        <f>IF(AW14,0,B76Vega($E$9,AH14,AI14,AU14,AG14,T14,AM14)*AV14)</f>
        <v>4.4693751506109898</v>
      </c>
      <c r="BG14" s="30">
        <f>IF(AW14,(EXP(-TimeToExpiry($E$9,AG14)*AM14)*(AI14-AU14)*AV14*AM14/365),B76Theta($E$9,AH14,AI14,AU14,AG14,AY14,AM14)*AV14)</f>
        <v>-0.22195012321954374</v>
      </c>
      <c r="BH14" s="30">
        <f>IF(AW14,(EXP(-TimeToExpiry($E$9,AG14)*AM14)*(AI14-AU14)*AV14*-TimeToExpiry($E$9,AG14)),B76Rho($E$9,AH14,AI14,AU14,AG14,T14,AM14)*AV14)</f>
        <v>-0.8767123290193809</v>
      </c>
      <c r="BI14" s="46">
        <f t="shared" ref="BI14:BI22" si="14">-AL14*AQ14</f>
        <v>-18.3</v>
      </c>
      <c r="BJ14" s="46">
        <f t="shared" ref="BJ14:BJ22" si="15">AX14*AQ14</f>
        <v>100</v>
      </c>
      <c r="BK14" s="46">
        <f t="shared" ref="BK14:BK27" si="16">BJ14</f>
        <v>100</v>
      </c>
      <c r="BL14" s="46"/>
      <c r="BM14" s="46"/>
      <c r="BN14" s="46">
        <f t="shared" ref="BN14:BN22" si="17">BI14+BL14</f>
        <v>-18.3</v>
      </c>
      <c r="BO14" s="46">
        <f t="shared" ref="BO14:BO22" si="18">BK14</f>
        <v>100</v>
      </c>
      <c r="BP14" s="46">
        <f t="shared" ref="BP14:BP22" si="19">BN14+BO14</f>
        <v>81.7</v>
      </c>
      <c r="BQ14" s="46">
        <f t="shared" ref="BQ14:BQ22" si="20">BL14+BI14</f>
        <v>-18.3</v>
      </c>
      <c r="BR14" s="46">
        <f t="shared" ref="BR14:BR22" si="21">BK14</f>
        <v>100</v>
      </c>
      <c r="BS14" s="46">
        <f t="shared" ref="BS14:BS22" si="22">BQ14+BR14</f>
        <v>81.7</v>
      </c>
      <c r="BT14" s="24">
        <f t="shared" ref="BT14:BT22" si="23">BD14*AQ14</f>
        <v>-1.9334954305866494</v>
      </c>
      <c r="BU14" s="45">
        <f t="shared" ref="BU14:BU24" si="24">QaAssert(E14,AE14)</f>
        <v>0</v>
      </c>
      <c r="BV14" s="45">
        <f t="shared" ref="BV14:BV24" si="25">QaAssert(F14,AF14)</f>
        <v>0</v>
      </c>
      <c r="BW14" s="45" t="e">
        <f t="shared" ref="BW14:BW24" si="26">QaAssert(G14,AG14)</f>
        <v>#VALUE!</v>
      </c>
      <c r="BX14" s="45">
        <f t="shared" ref="BX14:BX24" si="27">QaAssert(H14,AJ14)</f>
        <v>0</v>
      </c>
      <c r="BY14" s="41">
        <f t="shared" ref="BY14:BY24" si="28">QaAssert(T14,AY14)</f>
        <v>0</v>
      </c>
      <c r="BZ14" s="11">
        <f t="shared" ref="BZ14:BZ24" si="29">QaAssert(L14,BC14)</f>
        <v>0</v>
      </c>
      <c r="CA14" s="3">
        <f t="shared" ref="CA14:CA24" si="30">QaAssert(M14,BI14)</f>
        <v>0</v>
      </c>
      <c r="CB14" s="3">
        <f t="shared" ref="CB14:CB24" si="31">QaAssert(U14,BJ14)</f>
        <v>0</v>
      </c>
      <c r="CC14" s="3">
        <f t="shared" ref="CC14:CC24" si="32">QaAssert(V14,BK14)</f>
        <v>0</v>
      </c>
      <c r="CD14" s="3">
        <f t="shared" ref="CD14:CD24" si="33">QaAssert(W14,BL14)</f>
        <v>0</v>
      </c>
      <c r="CE14" s="3">
        <f t="shared" ref="CE14:CE24" si="34">QaAssert(X14,BN14)</f>
        <v>0</v>
      </c>
      <c r="CF14" s="3">
        <f t="shared" ref="CF14:CF24" si="35">QaAssert(Y14,BO14)</f>
        <v>0</v>
      </c>
      <c r="CG14" s="3">
        <f t="shared" ref="CG14:CG24" si="36">QaAssert(Z14,BP14)</f>
        <v>0</v>
      </c>
      <c r="CH14" s="3">
        <f t="shared" ref="CH14:CH24" si="37">QaAssert(AA14,BQ14)</f>
        <v>0</v>
      </c>
      <c r="CI14" s="3">
        <f t="shared" ref="CI14:CI24" si="38">QaAssert(AB14,BR14)</f>
        <v>0</v>
      </c>
      <c r="CJ14" s="3">
        <f t="shared" ref="CJ14:CJ24" si="39">QaAssert(AC14,BS14)</f>
        <v>0</v>
      </c>
      <c r="CK14" s="3">
        <f t="shared" ref="CK14:CK24" si="40">QaAssert(O14,BD14)</f>
        <v>0</v>
      </c>
      <c r="CL14" s="3">
        <f t="shared" ref="CL14:CL24" si="41">QaAssert(P14,BE14)</f>
        <v>0</v>
      </c>
      <c r="CM14" s="3">
        <f t="shared" ref="CM14:CM24" si="42">QaAssert(Q14,BF14)</f>
        <v>0</v>
      </c>
      <c r="CN14" s="3">
        <f t="shared" ref="CN14:CN24" si="43">QaAssert(S14,BH14)</f>
        <v>0</v>
      </c>
      <c r="CO14" s="3">
        <f t="shared" ref="CO14:CO24" si="44">QaAssert(R14,BG14)</f>
        <v>0</v>
      </c>
      <c r="CP14" s="22"/>
    </row>
    <row r="15" spans="2:94" x14ac:dyDescent="0.25">
      <c r="B15" s="14" t="s">
        <v>97</v>
      </c>
      <c r="C15" s="14" t="s">
        <v>98</v>
      </c>
      <c r="D15" s="14" t="s">
        <v>102</v>
      </c>
      <c r="E15" s="15">
        <v>40848</v>
      </c>
      <c r="F15" s="15">
        <v>40877</v>
      </c>
      <c r="G15" s="28" t="s">
        <v>100</v>
      </c>
      <c r="H15" s="14">
        <v>80</v>
      </c>
      <c r="I15" s="14" t="s">
        <v>3</v>
      </c>
      <c r="J15" s="14">
        <v>5</v>
      </c>
      <c r="K15" s="14">
        <v>720</v>
      </c>
      <c r="L15" s="14">
        <v>3.66</v>
      </c>
      <c r="M15" s="14">
        <v>-18.3</v>
      </c>
      <c r="N15" s="14">
        <v>39</v>
      </c>
      <c r="O15" s="14">
        <v>0.487652047959512</v>
      </c>
      <c r="P15" s="16">
        <v>8.2255332527717895E-4</v>
      </c>
      <c r="Q15" s="16">
        <v>2.3848898398544298</v>
      </c>
      <c r="R15" s="16">
        <v>-0.37801161807490402</v>
      </c>
      <c r="S15" s="14">
        <v>-1.70958903985921</v>
      </c>
      <c r="T15" s="31">
        <v>5.0751539757903004</v>
      </c>
      <c r="U15" s="14">
        <v>195</v>
      </c>
      <c r="V15" s="14">
        <v>195</v>
      </c>
      <c r="W15" s="14">
        <v>0</v>
      </c>
      <c r="X15" s="14">
        <v>-18.3</v>
      </c>
      <c r="Y15" s="14">
        <v>195</v>
      </c>
      <c r="Z15" s="14">
        <v>176.7</v>
      </c>
      <c r="AA15" s="14">
        <v>-18.3</v>
      </c>
      <c r="AB15" s="14">
        <v>195</v>
      </c>
      <c r="AC15" s="14">
        <v>176.7</v>
      </c>
      <c r="AD15" s="37">
        <v>40182</v>
      </c>
      <c r="AE15" s="37">
        <f t="shared" si="2"/>
        <v>40848</v>
      </c>
      <c r="AF15" s="37">
        <f t="shared" si="3"/>
        <v>40877</v>
      </c>
      <c r="AG15" s="37">
        <f t="shared" si="4"/>
        <v>40877</v>
      </c>
      <c r="AH15" s="9" t="s">
        <v>68</v>
      </c>
      <c r="AI15" s="9">
        <v>114.16</v>
      </c>
      <c r="AJ15" s="33">
        <f t="shared" si="5"/>
        <v>80</v>
      </c>
      <c r="AK15" s="7">
        <v>39</v>
      </c>
      <c r="AL15" s="33">
        <f t="shared" si="6"/>
        <v>3.66</v>
      </c>
      <c r="AM15" s="7">
        <v>2.1383451642447899E-3</v>
      </c>
      <c r="AN15" s="7">
        <v>10</v>
      </c>
      <c r="AO15" s="7">
        <v>12</v>
      </c>
      <c r="AP15" s="9">
        <f>AN15+AO15</f>
        <v>22</v>
      </c>
      <c r="AQ15" s="9">
        <f t="shared" si="7"/>
        <v>5</v>
      </c>
      <c r="AR15" s="9">
        <f>AVERAGE('Historic settlement prices'!$B$3:$B$16)</f>
        <v>112.08099999999999</v>
      </c>
      <c r="AS15" s="9" t="s">
        <v>123</v>
      </c>
      <c r="AT15" s="40" t="b">
        <f t="shared" si="8"/>
        <v>1</v>
      </c>
      <c r="AU15" s="2">
        <f t="shared" si="9"/>
        <v>53.265833333333333</v>
      </c>
      <c r="AV15" s="2">
        <f t="shared" si="10"/>
        <v>0.54545454545454541</v>
      </c>
      <c r="AW15" s="2" t="b">
        <f t="shared" si="11"/>
        <v>0</v>
      </c>
      <c r="AX15" s="26">
        <f t="shared" si="0"/>
        <v>39</v>
      </c>
      <c r="AY15" s="56">
        <v>5.0751539757903004</v>
      </c>
      <c r="AZ15" s="26">
        <f t="shared" si="12"/>
        <v>39</v>
      </c>
      <c r="BA15" s="30">
        <f>IF(AW15,EXP(-TimeToExpiry($E$9,AG15)*AM15)*(AI15-AU15)*AV15,B76Future($E$9,AH15,AI15,AU15,AG15,AY15,AM15)*AV15)</f>
        <v>39.000000010715816</v>
      </c>
      <c r="BB15" s="27">
        <f>IF(AW15,EXP(-AM15*TimeToExpiry($E$9,AG15))*(AI15-AU15)*AV15,B76Future($E$9,AH15,AI15,AU15,AG15,T15,AM15)*AV15)</f>
        <v>39.000000010715816</v>
      </c>
      <c r="BC15" s="1">
        <f t="shared" si="13"/>
        <v>3.66</v>
      </c>
      <c r="BD15" s="30">
        <f>IF(AW15,EXP(-TimeToExpiry($E$9,AG15)*AM15)*AV15, B76Delta($E$9,AH15,AI15,AU15,AG15,AY15,AM15)*AV15)</f>
        <v>0.48765204800839251</v>
      </c>
      <c r="BE15" s="30">
        <f>IF(AW15,0,B76Gamma($E$9,AH15,AI15,AU15,AG15,T15,AM15)*AV15)</f>
        <v>8.2255332504875577E-4</v>
      </c>
      <c r="BF15" s="30">
        <f>IF(AW15,0,B76Vega($E$9,AH15,AI15,AU15,AG15,T15,AM15)*AV15)</f>
        <v>2.3848898409173298</v>
      </c>
      <c r="BG15" s="30">
        <f>IF(AW15,(EXP(-TimeToExpiry($E$9,AG15)*AM15)*(AI15-AU15)*AV15*AM15/365),B76Theta($E$9,AH15,AI15,AU15,AG15,AY15,AM15)*AV15)</f>
        <v>-0.37801161796980398</v>
      </c>
      <c r="BH15" s="30">
        <f>IF(AW15,(EXP(-TimeToExpiry($E$9,AG15)*AM15)*(AI15-AU15)*AV15*-TimeToExpiry($E$9,AG15)),B76Rho($E$9,AH15,AI15,AU15,AG15,T15,AM15)*AV15)</f>
        <v>-1.7095890415656247</v>
      </c>
      <c r="BI15" s="46">
        <f t="shared" si="14"/>
        <v>-18.3</v>
      </c>
      <c r="BJ15" s="46">
        <f t="shared" si="15"/>
        <v>195</v>
      </c>
      <c r="BK15" s="46">
        <f t="shared" si="16"/>
        <v>195</v>
      </c>
      <c r="BL15" s="46"/>
      <c r="BM15" s="46"/>
      <c r="BN15" s="46">
        <f t="shared" si="17"/>
        <v>-18.3</v>
      </c>
      <c r="BO15" s="46">
        <f t="shared" si="18"/>
        <v>195</v>
      </c>
      <c r="BP15" s="46">
        <f t="shared" si="19"/>
        <v>176.7</v>
      </c>
      <c r="BQ15" s="46">
        <f t="shared" si="20"/>
        <v>-18.3</v>
      </c>
      <c r="BR15" s="46">
        <f t="shared" si="21"/>
        <v>195</v>
      </c>
      <c r="BS15" s="46">
        <f t="shared" si="22"/>
        <v>176.7</v>
      </c>
      <c r="BT15" s="24">
        <f t="shared" si="23"/>
        <v>2.4382602400419624</v>
      </c>
      <c r="BU15" s="45">
        <f t="shared" si="24"/>
        <v>0</v>
      </c>
      <c r="BV15" s="45">
        <f t="shared" si="25"/>
        <v>0</v>
      </c>
      <c r="BW15" s="45" t="e">
        <f t="shared" si="26"/>
        <v>#VALUE!</v>
      </c>
      <c r="BX15" s="45">
        <f t="shared" si="27"/>
        <v>0</v>
      </c>
      <c r="BY15" s="41">
        <f t="shared" si="28"/>
        <v>0</v>
      </c>
      <c r="BZ15" s="11">
        <f t="shared" si="29"/>
        <v>0</v>
      </c>
      <c r="CA15" s="3">
        <f t="shared" si="30"/>
        <v>0</v>
      </c>
      <c r="CB15" s="3">
        <f t="shared" si="31"/>
        <v>0</v>
      </c>
      <c r="CC15" s="3">
        <f t="shared" si="32"/>
        <v>0</v>
      </c>
      <c r="CD15" s="3">
        <f t="shared" si="33"/>
        <v>0</v>
      </c>
      <c r="CE15" s="3">
        <f t="shared" si="34"/>
        <v>0</v>
      </c>
      <c r="CF15" s="3">
        <f t="shared" si="35"/>
        <v>0</v>
      </c>
      <c r="CG15" s="3">
        <f t="shared" si="36"/>
        <v>0</v>
      </c>
      <c r="CH15" s="3">
        <f t="shared" si="37"/>
        <v>0</v>
      </c>
      <c r="CI15" s="3">
        <f t="shared" si="38"/>
        <v>0</v>
      </c>
      <c r="CJ15" s="3">
        <f t="shared" si="39"/>
        <v>0</v>
      </c>
      <c r="CK15" s="3">
        <f t="shared" si="40"/>
        <v>0</v>
      </c>
      <c r="CL15" s="3">
        <f t="shared" si="41"/>
        <v>0</v>
      </c>
      <c r="CM15" s="3">
        <f t="shared" si="42"/>
        <v>0</v>
      </c>
      <c r="CN15" s="3">
        <f t="shared" si="43"/>
        <v>0</v>
      </c>
      <c r="CO15" s="3">
        <f t="shared" si="44"/>
        <v>0</v>
      </c>
      <c r="CP15" s="22"/>
    </row>
    <row r="16" spans="2:94" x14ac:dyDescent="0.25">
      <c r="B16" s="14" t="s">
        <v>97</v>
      </c>
      <c r="C16" s="14" t="s">
        <v>98</v>
      </c>
      <c r="D16" s="14" t="s">
        <v>103</v>
      </c>
      <c r="E16" s="15">
        <v>40848</v>
      </c>
      <c r="F16" s="15">
        <v>40877</v>
      </c>
      <c r="G16" s="28" t="s">
        <v>100</v>
      </c>
      <c r="H16" s="14">
        <v>80</v>
      </c>
      <c r="I16" s="14" t="s">
        <v>3</v>
      </c>
      <c r="J16" s="14">
        <v>5</v>
      </c>
      <c r="K16" s="14">
        <v>720</v>
      </c>
      <c r="L16" s="14">
        <v>3.66</v>
      </c>
      <c r="M16" s="14">
        <v>-18.3</v>
      </c>
      <c r="N16" s="14">
        <v>0.4</v>
      </c>
      <c r="O16" s="14">
        <v>-1.6420695400155502E-2</v>
      </c>
      <c r="P16" s="16">
        <v>7.0481617980806604E-4</v>
      </c>
      <c r="Q16" s="16">
        <v>0.88962985143026996</v>
      </c>
      <c r="R16" s="16">
        <v>-6.1421616763413497E-2</v>
      </c>
      <c r="S16" s="14">
        <v>-1.75342465626585E-2</v>
      </c>
      <c r="T16" s="14">
        <v>2.20942082866268</v>
      </c>
      <c r="U16" s="14">
        <v>2</v>
      </c>
      <c r="V16" s="14">
        <v>2</v>
      </c>
      <c r="W16" s="14">
        <v>0</v>
      </c>
      <c r="X16" s="14">
        <v>-18.3</v>
      </c>
      <c r="Y16" s="14">
        <v>2</v>
      </c>
      <c r="Z16" s="14">
        <v>-16.3</v>
      </c>
      <c r="AA16" s="14">
        <v>-18.3</v>
      </c>
      <c r="AB16" s="14">
        <v>2</v>
      </c>
      <c r="AC16" s="14">
        <v>-16.3</v>
      </c>
      <c r="AD16" s="37">
        <v>40182</v>
      </c>
      <c r="AE16" s="37">
        <f t="shared" si="2"/>
        <v>40848</v>
      </c>
      <c r="AF16" s="37">
        <f t="shared" si="3"/>
        <v>40877</v>
      </c>
      <c r="AG16" s="37">
        <f t="shared" si="4"/>
        <v>40877</v>
      </c>
      <c r="AH16" s="33" t="s">
        <v>120</v>
      </c>
      <c r="AI16" s="9">
        <v>114.16</v>
      </c>
      <c r="AJ16" s="33">
        <f t="shared" si="5"/>
        <v>80</v>
      </c>
      <c r="AK16" s="9">
        <v>0.4</v>
      </c>
      <c r="AL16" s="33">
        <f t="shared" si="6"/>
        <v>3.66</v>
      </c>
      <c r="AM16" s="9">
        <v>2.1383451642447899E-3</v>
      </c>
      <c r="AN16" s="9">
        <v>10</v>
      </c>
      <c r="AO16" s="7">
        <v>12</v>
      </c>
      <c r="AP16" s="9">
        <f>AN16+AO16</f>
        <v>22</v>
      </c>
      <c r="AQ16" s="9">
        <f t="shared" si="7"/>
        <v>5</v>
      </c>
      <c r="AR16" s="9">
        <f>AVERAGE('Historic settlement prices'!$B$3:$B$16)</f>
        <v>112.08099999999999</v>
      </c>
      <c r="AS16" s="9" t="s">
        <v>124</v>
      </c>
      <c r="AT16" s="40" t="b">
        <f t="shared" si="8"/>
        <v>1</v>
      </c>
      <c r="AU16" s="2">
        <f t="shared" si="9"/>
        <v>53.265833333333333</v>
      </c>
      <c r="AV16" s="2">
        <f t="shared" si="10"/>
        <v>0.54545454545454541</v>
      </c>
      <c r="AW16" s="2" t="b">
        <f t="shared" si="11"/>
        <v>0</v>
      </c>
      <c r="AX16" s="26">
        <f t="shared" si="0"/>
        <v>0.4</v>
      </c>
      <c r="AY16" s="56">
        <v>2.20942082866268</v>
      </c>
      <c r="AZ16" s="26">
        <f t="shared" si="12"/>
        <v>0.4</v>
      </c>
      <c r="BA16" s="30">
        <f>IF(AW16,EXP(-TimeToExpiry($E$9,AG16)*AM16)*(AI16-AU16)*AV16,B76Future($E$9,AH16,AI16,AU16,AG16,AY16,AM16)*AV16)</f>
        <v>0.39999998939054682</v>
      </c>
      <c r="BB16" s="27">
        <f>IF(AW16,EXP(-AM16*TimeToExpiry($E$9,AG16))*(AI16-AU16)*AV16,B76Future($E$9,AH16,AI16,AU16,AG16,T16,AM16)*AV16)</f>
        <v>0.39999998939054682</v>
      </c>
      <c r="BC16" s="1">
        <f t="shared" si="13"/>
        <v>3.66</v>
      </c>
      <c r="BD16" s="30">
        <f>IF(AW16,EXP(-TimeToExpiry($E$9,AG16)*AM16)*AV16, B76Delta($E$9,AH16,AI16,AU16,AG16,AY16,AM16)*AV16)</f>
        <v>-1.6420695487659571E-2</v>
      </c>
      <c r="BE16" s="30">
        <f>IF(AW16,0,B76Gamma($E$9,AH16,AI16,AU16,AG16,T16,AM16)*AV16)</f>
        <v>7.0481618023174027E-4</v>
      </c>
      <c r="BF16" s="30">
        <f>IF(AW16,0,B76Vega($E$9,AH16,AI16,AU16,AG16,T16,AM16)*AV16)</f>
        <v>0.88962985260857841</v>
      </c>
      <c r="BG16" s="30">
        <f>IF(AW16,(EXP(-TimeToExpiry($E$9,AG16)*AM16)*(AI16-AU16)*AV16*AM16/365),B76Theta($E$9,AH16,AI16,AU16,AG16,AY16,AM16)*AV16)</f>
        <v>-6.1421616800398315E-2</v>
      </c>
      <c r="BH16" s="30">
        <f>IF(AW16,(EXP(-TimeToExpiry($E$9,AG16)*AM16)*(AI16-AU16)*AV16*-TimeToExpiry($E$9,AG16)),B76Rho($E$9,AH16,AI16,AU16,AG16,AY16,AM16)*AV16)</f>
        <v>-1.7534246110270546E-2</v>
      </c>
      <c r="BI16" s="46">
        <f t="shared" si="14"/>
        <v>-18.3</v>
      </c>
      <c r="BJ16" s="46">
        <f t="shared" si="15"/>
        <v>2</v>
      </c>
      <c r="BK16" s="46">
        <f t="shared" si="16"/>
        <v>2</v>
      </c>
      <c r="BL16" s="46"/>
      <c r="BM16" s="46"/>
      <c r="BN16" s="46">
        <f t="shared" si="17"/>
        <v>-18.3</v>
      </c>
      <c r="BO16" s="46">
        <f t="shared" si="18"/>
        <v>2</v>
      </c>
      <c r="BP16" s="46">
        <f t="shared" si="19"/>
        <v>-16.3</v>
      </c>
      <c r="BQ16" s="46">
        <f t="shared" si="20"/>
        <v>-18.3</v>
      </c>
      <c r="BR16" s="46">
        <f t="shared" si="21"/>
        <v>2</v>
      </c>
      <c r="BS16" s="46">
        <f t="shared" si="22"/>
        <v>-16.3</v>
      </c>
      <c r="BT16" s="24">
        <f t="shared" si="23"/>
        <v>-8.210347743829785E-2</v>
      </c>
      <c r="BU16" s="45">
        <f t="shared" si="24"/>
        <v>0</v>
      </c>
      <c r="BV16" s="45">
        <f t="shared" si="25"/>
        <v>0</v>
      </c>
      <c r="BW16" s="45" t="e">
        <f t="shared" si="26"/>
        <v>#VALUE!</v>
      </c>
      <c r="BX16" s="45">
        <f t="shared" si="27"/>
        <v>0</v>
      </c>
      <c r="BY16" s="41">
        <f t="shared" si="28"/>
        <v>0</v>
      </c>
      <c r="BZ16" s="11">
        <f t="shared" si="29"/>
        <v>0</v>
      </c>
      <c r="CA16" s="3">
        <f t="shared" si="30"/>
        <v>0</v>
      </c>
      <c r="CB16" s="3">
        <f t="shared" si="31"/>
        <v>0</v>
      </c>
      <c r="CC16" s="3">
        <f t="shared" si="32"/>
        <v>0</v>
      </c>
      <c r="CD16" s="3">
        <f t="shared" si="33"/>
        <v>0</v>
      </c>
      <c r="CE16" s="3">
        <f t="shared" si="34"/>
        <v>0</v>
      </c>
      <c r="CF16" s="3">
        <f t="shared" si="35"/>
        <v>0</v>
      </c>
      <c r="CG16" s="3">
        <f t="shared" si="36"/>
        <v>0</v>
      </c>
      <c r="CH16" s="3">
        <f t="shared" si="37"/>
        <v>0</v>
      </c>
      <c r="CI16" s="3">
        <f t="shared" si="38"/>
        <v>0</v>
      </c>
      <c r="CJ16" s="3">
        <f t="shared" si="39"/>
        <v>0</v>
      </c>
      <c r="CK16" s="3">
        <f t="shared" si="40"/>
        <v>0</v>
      </c>
      <c r="CL16" s="3">
        <f t="shared" si="41"/>
        <v>0</v>
      </c>
      <c r="CM16" s="3">
        <f t="shared" si="42"/>
        <v>0</v>
      </c>
      <c r="CN16" s="3">
        <f t="shared" si="43"/>
        <v>2.5800251046703693E-8</v>
      </c>
      <c r="CO16" s="3">
        <f t="shared" si="44"/>
        <v>0</v>
      </c>
      <c r="CP16" s="22"/>
    </row>
    <row r="17" spans="2:94" x14ac:dyDescent="0.25">
      <c r="B17" s="14" t="s">
        <v>97</v>
      </c>
      <c r="C17" s="14" t="s">
        <v>98</v>
      </c>
      <c r="D17" s="14" t="s">
        <v>104</v>
      </c>
      <c r="E17" s="15">
        <v>40848</v>
      </c>
      <c r="F17" s="15">
        <v>40877</v>
      </c>
      <c r="G17" s="28" t="s">
        <v>100</v>
      </c>
      <c r="H17" s="14">
        <v>5</v>
      </c>
      <c r="I17" s="14" t="s">
        <v>3</v>
      </c>
      <c r="J17" s="14">
        <v>5000</v>
      </c>
      <c r="K17" s="14">
        <v>720</v>
      </c>
      <c r="L17" s="14">
        <v>3.66</v>
      </c>
      <c r="M17" s="14">
        <v>-18300</v>
      </c>
      <c r="N17" s="14">
        <v>108.215</v>
      </c>
      <c r="O17" s="14">
        <v>0.54540341929892</v>
      </c>
      <c r="P17" s="14">
        <v>0</v>
      </c>
      <c r="Q17" s="14">
        <v>0</v>
      </c>
      <c r="R17" s="14">
        <v>6.3391597926997401E-4</v>
      </c>
      <c r="S17" s="14">
        <v>-4.7432265990438003</v>
      </c>
      <c r="T17" s="14">
        <v>0</v>
      </c>
      <c r="U17" s="14">
        <v>541075</v>
      </c>
      <c r="V17" s="14">
        <v>541075</v>
      </c>
      <c r="W17" s="14">
        <v>0</v>
      </c>
      <c r="X17" s="14">
        <v>-18300</v>
      </c>
      <c r="Y17" s="14">
        <v>541075</v>
      </c>
      <c r="Z17" s="14">
        <v>522775</v>
      </c>
      <c r="AA17" s="14">
        <v>-18300</v>
      </c>
      <c r="AB17" s="14">
        <v>541075</v>
      </c>
      <c r="AC17" s="17">
        <v>522775</v>
      </c>
      <c r="AD17" s="37">
        <v>40182</v>
      </c>
      <c r="AE17" s="37">
        <f t="shared" si="2"/>
        <v>40848</v>
      </c>
      <c r="AF17" s="37">
        <f t="shared" si="3"/>
        <v>40877</v>
      </c>
      <c r="AG17" s="37">
        <f t="shared" si="4"/>
        <v>40877</v>
      </c>
      <c r="AH17" s="42" t="s">
        <v>68</v>
      </c>
      <c r="AI17" s="9">
        <v>114.16</v>
      </c>
      <c r="AJ17" s="33">
        <f t="shared" si="5"/>
        <v>5</v>
      </c>
      <c r="AK17" s="9">
        <v>110</v>
      </c>
      <c r="AL17" s="33">
        <f t="shared" si="6"/>
        <v>3.66</v>
      </c>
      <c r="AM17" s="9">
        <v>2.1383451642447899E-3</v>
      </c>
      <c r="AN17" s="7">
        <v>10</v>
      </c>
      <c r="AO17" s="7">
        <v>12</v>
      </c>
      <c r="AP17" s="9">
        <f>AN17+AO17</f>
        <v>22</v>
      </c>
      <c r="AQ17" s="9">
        <f t="shared" si="7"/>
        <v>5000</v>
      </c>
      <c r="AR17" s="9">
        <f>AVERAGE('Historic settlement prices'!$B$3:$B$16)</f>
        <v>112.08099999999999</v>
      </c>
      <c r="AS17" s="9" t="s">
        <v>133</v>
      </c>
      <c r="AT17" s="40" t="b">
        <f t="shared" si="8"/>
        <v>1</v>
      </c>
      <c r="AU17" s="2">
        <f t="shared" si="9"/>
        <v>-84.234166666666653</v>
      </c>
      <c r="AV17" s="2">
        <f t="shared" si="10"/>
        <v>0.54545454545454541</v>
      </c>
      <c r="AW17" s="2" t="b">
        <f t="shared" si="11"/>
        <v>1</v>
      </c>
      <c r="AX17" s="26">
        <f t="shared" si="0"/>
        <v>110</v>
      </c>
      <c r="AY17" s="29">
        <f>IF(AW17,0,ImpliedVolatilityB76Future($E$9,AH17,AI17,AU17,AG17,AX17/AV17,AM17))</f>
        <v>0</v>
      </c>
      <c r="AZ17" s="26">
        <f t="shared" si="12"/>
        <v>110</v>
      </c>
      <c r="BA17" s="30">
        <f>IF(AW17,EXP(-TimeToExpiry($E$9,AG17)*AM17)*(AI17-AU17)*AV17,B76Future($E$9,AH17,AI17,AU17,AG17,AY17,AM17)*AV17)</f>
        <v>108.20485686895246</v>
      </c>
      <c r="BB17" s="27">
        <f>IF(AW17,EXP(-AM17*TimeToExpiry($E$9,AG17))*(AI17-AU17)*AV17,B76Future($E$9,AH17,AI17,AU17,AG17,T17,AM17)*AV17)</f>
        <v>108.20485686895246</v>
      </c>
      <c r="BC17" s="1">
        <f t="shared" si="13"/>
        <v>3.66</v>
      </c>
      <c r="BD17" s="30">
        <f>IF(AW17,EXP(-TimeToExpiry($E$9,AG17)*AM17)*AV17, B76Delta($E$9,AH17,AI17,AU17,AG17,AY17,AM17)*AV17)</f>
        <v>0.54540341929888292</v>
      </c>
      <c r="BE17" s="30">
        <f>IF(AW17,0,B76Gamma($E$9,AH17,AI17,AU17,AG17,T17,AM17)*AV17)</f>
        <v>0</v>
      </c>
      <c r="BF17" s="30">
        <f>IF(AW17,0,B76Vega($E$9,AH17,AI17,AU17,AG17,T17,AM17)*AV17)</f>
        <v>0</v>
      </c>
      <c r="BG17" s="30">
        <f>IF(AW17,(EXP(-TimeToExpiry($E$9,AG17)*AM17)*(AI17-AU17)*AV17*AM17/365),B76Theta($E$9,AH17,AI17,AU17,AG17,AY17,AM17)*AV17)</f>
        <v>6.3391597926992912E-4</v>
      </c>
      <c r="BH17" s="30">
        <f>IF(AW17,(EXP(-TimeToExpiry($E$9,AG17)*AM17)*(AI17-AU17)*AV17*-TimeToExpiry($E$9,AG17)),B76Rho($E$9,AH17,AI17,AU17,AG17,T17,AM17)*AV17)</f>
        <v>-4.7432266024746284</v>
      </c>
      <c r="BI17" s="46">
        <f t="shared" si="14"/>
        <v>-18300</v>
      </c>
      <c r="BJ17" s="46">
        <f>N17*AQ17</f>
        <v>541075</v>
      </c>
      <c r="BK17" s="46">
        <f t="shared" si="16"/>
        <v>541075</v>
      </c>
      <c r="BL17" s="46"/>
      <c r="BM17" s="46"/>
      <c r="BN17" s="46">
        <f t="shared" si="17"/>
        <v>-18300</v>
      </c>
      <c r="BO17" s="46">
        <f t="shared" si="18"/>
        <v>541075</v>
      </c>
      <c r="BP17" s="46">
        <f t="shared" si="19"/>
        <v>522775</v>
      </c>
      <c r="BQ17" s="46">
        <f t="shared" si="20"/>
        <v>-18300</v>
      </c>
      <c r="BR17" s="46">
        <f t="shared" si="21"/>
        <v>541075</v>
      </c>
      <c r="BS17" s="46">
        <f t="shared" si="22"/>
        <v>522775</v>
      </c>
      <c r="BT17" s="24">
        <f t="shared" si="23"/>
        <v>2727.0170964944145</v>
      </c>
      <c r="BU17" s="45">
        <f t="shared" si="24"/>
        <v>0</v>
      </c>
      <c r="BV17" s="45">
        <f t="shared" si="25"/>
        <v>0</v>
      </c>
      <c r="BW17" s="45" t="e">
        <f t="shared" si="26"/>
        <v>#VALUE!</v>
      </c>
      <c r="BX17" s="45">
        <f t="shared" si="27"/>
        <v>0</v>
      </c>
      <c r="BY17" s="41">
        <f t="shared" si="28"/>
        <v>0</v>
      </c>
      <c r="BZ17" s="11">
        <f t="shared" si="29"/>
        <v>0</v>
      </c>
      <c r="CA17" s="3">
        <f t="shared" si="30"/>
        <v>0</v>
      </c>
      <c r="CB17" s="3">
        <f t="shared" si="31"/>
        <v>0</v>
      </c>
      <c r="CC17" s="3">
        <f t="shared" si="32"/>
        <v>0</v>
      </c>
      <c r="CD17" s="3">
        <f t="shared" si="33"/>
        <v>0</v>
      </c>
      <c r="CE17" s="3">
        <f t="shared" si="34"/>
        <v>0</v>
      </c>
      <c r="CF17" s="3">
        <f t="shared" si="35"/>
        <v>0</v>
      </c>
      <c r="CG17" s="3">
        <f t="shared" si="36"/>
        <v>0</v>
      </c>
      <c r="CH17" s="3">
        <f t="shared" si="37"/>
        <v>0</v>
      </c>
      <c r="CI17" s="3">
        <f t="shared" si="38"/>
        <v>0</v>
      </c>
      <c r="CJ17" s="3">
        <f t="shared" si="39"/>
        <v>0</v>
      </c>
      <c r="CK17" s="3">
        <f t="shared" si="40"/>
        <v>0</v>
      </c>
      <c r="CL17" s="3">
        <f t="shared" si="41"/>
        <v>0</v>
      </c>
      <c r="CM17" s="3">
        <f t="shared" si="42"/>
        <v>0</v>
      </c>
      <c r="CN17" s="3">
        <f t="shared" si="43"/>
        <v>0</v>
      </c>
      <c r="CO17" s="3">
        <f t="shared" si="44"/>
        <v>0</v>
      </c>
      <c r="CP17" s="22"/>
    </row>
    <row r="18" spans="2:94" x14ac:dyDescent="0.25">
      <c r="B18" s="17" t="s">
        <v>97</v>
      </c>
      <c r="C18" s="17" t="s">
        <v>105</v>
      </c>
      <c r="D18" s="17" t="s">
        <v>106</v>
      </c>
      <c r="E18" s="15">
        <v>40969</v>
      </c>
      <c r="F18" s="15">
        <v>40999</v>
      </c>
      <c r="G18" s="28" t="s">
        <v>100</v>
      </c>
      <c r="H18" s="14">
        <v>130</v>
      </c>
      <c r="I18" s="18" t="s">
        <v>3</v>
      </c>
      <c r="J18" s="14">
        <v>5</v>
      </c>
      <c r="K18" s="14">
        <v>743</v>
      </c>
      <c r="L18" s="14">
        <v>3.66</v>
      </c>
      <c r="M18" s="14">
        <v>-18.3</v>
      </c>
      <c r="N18" s="14">
        <v>1.5</v>
      </c>
      <c r="O18" s="14">
        <v>0.170925645078324</v>
      </c>
      <c r="P18" s="14">
        <v>1.4416805429373399E-2</v>
      </c>
      <c r="Q18" s="14">
        <v>17.1500236524979</v>
      </c>
      <c r="R18" s="14">
        <v>-1.6276669490339901E-2</v>
      </c>
      <c r="S18" s="14">
        <v>-0.563013698582569</v>
      </c>
      <c r="T18" s="14">
        <v>0.26041109104753302</v>
      </c>
      <c r="U18" s="14">
        <v>7.5</v>
      </c>
      <c r="V18" s="14">
        <v>7.5</v>
      </c>
      <c r="W18" s="14">
        <v>0</v>
      </c>
      <c r="X18" s="14">
        <v>-18.3</v>
      </c>
      <c r="Y18" s="14">
        <v>7.5</v>
      </c>
      <c r="Z18" s="14">
        <v>-10.8</v>
      </c>
      <c r="AA18" s="14">
        <v>-18.3</v>
      </c>
      <c r="AB18" s="14">
        <v>7.5</v>
      </c>
      <c r="AC18" s="14">
        <v>-10.8</v>
      </c>
      <c r="AD18" s="37">
        <v>40182</v>
      </c>
      <c r="AE18" s="37">
        <f t="shared" si="2"/>
        <v>40969</v>
      </c>
      <c r="AF18" s="37">
        <f t="shared" si="3"/>
        <v>40999</v>
      </c>
      <c r="AG18" s="37">
        <v>40998</v>
      </c>
      <c r="AH18" s="33" t="s">
        <v>68</v>
      </c>
      <c r="AI18" s="7">
        <v>110.32</v>
      </c>
      <c r="AJ18" s="33">
        <f t="shared" si="5"/>
        <v>130</v>
      </c>
      <c r="AK18" s="7">
        <v>1.5</v>
      </c>
      <c r="AL18" s="33">
        <f t="shared" si="6"/>
        <v>3.66</v>
      </c>
      <c r="AM18" s="7">
        <v>5.54953714034539E-3</v>
      </c>
      <c r="AN18" s="9"/>
      <c r="AO18" s="7"/>
      <c r="AP18" s="9"/>
      <c r="AQ18" s="9">
        <f t="shared" si="7"/>
        <v>5</v>
      </c>
      <c r="AR18" s="7"/>
      <c r="AS18" s="9" t="s">
        <v>129</v>
      </c>
      <c r="AT18" s="40" t="b">
        <f t="shared" si="8"/>
        <v>0</v>
      </c>
      <c r="AU18" s="2">
        <f t="shared" si="9"/>
        <v>130</v>
      </c>
      <c r="AV18" s="2">
        <f t="shared" si="10"/>
        <v>1</v>
      </c>
      <c r="AW18" s="2" t="b">
        <f t="shared" si="11"/>
        <v>0</v>
      </c>
      <c r="AX18" s="26">
        <f t="shared" si="0"/>
        <v>1.5</v>
      </c>
      <c r="AY18" s="29">
        <f>IF(AW18,"",ImpliedVolatilityB76Future($E$9,AH18,AI18,AU18,AG18,AX18/AV18,AM18))</f>
        <v>0.26041109101980131</v>
      </c>
      <c r="AZ18" s="26">
        <f t="shared" si="12"/>
        <v>1.5</v>
      </c>
      <c r="BA18" s="30">
        <f>IF(AW18,EXP(-TimeToExpiry($E$9,AG18)*AM18)*(AI18-AU18)*AV18,B76Future($E$9,AH18,AI18,AU18,AG18,AY18,AM18)*AV18)</f>
        <v>1.499999999999988</v>
      </c>
      <c r="BB18" s="27">
        <f>IF(AW18,EXP(-AM18*TimeToExpiry($E$9,AG18))*(AI18-AU18)*AV18,B76Future($E$9,AH18,AI18,AU18,AG18,T18,AM18)*AV18)</f>
        <v>1.5000000004755962</v>
      </c>
      <c r="BC18" s="1">
        <f t="shared" si="13"/>
        <v>3.66</v>
      </c>
      <c r="BD18" s="30">
        <f>IF(AW18,EXP(-TimeToExpiry($E$9,AG18)*AM18)*AV18, B76Delta($E$9,AH18,AI18,AU18,AG18,AY18,AM18)*AV18)</f>
        <v>0.17092564505358812</v>
      </c>
      <c r="BE18" s="30">
        <f>IF(AW18,0,B76Gamma($E$9,AH18,AI18,AU18,AG18,T18,AM18)*AV18)</f>
        <v>1.4416805429392183E-2</v>
      </c>
      <c r="BF18" s="30">
        <f>IF(AW18,0,B76Vega($E$9,AH18,AI18,AU18,AG18,T18,AM18)*AV18)</f>
        <v>17.150023653964038</v>
      </c>
      <c r="BG18" s="30">
        <f>IF(AW18,(EXP(-TimeToExpiry($E$9,AG18)*AM18)*(AI18-AU18)*AV18*AM18/365),B76Theta($E$9,AH18,AI18,AU18,AG18,AY18,AM18)*AV18)</f>
        <v>-1.6276669486794123E-2</v>
      </c>
      <c r="BH18" s="30">
        <f>IF(AW18,(EXP(-TimeToExpiry($E$9,AG18)*AM18)*(AI18-AU18)*AV18*-TimeToExpiry($E$9,AG18)),B76Rho($E$9,AH18,AI18,AU18,AG18,T18,AM18)*AV18)</f>
        <v>-0.56301369880864849</v>
      </c>
      <c r="BI18" s="46">
        <f t="shared" si="14"/>
        <v>-18.3</v>
      </c>
      <c r="BJ18" s="46">
        <f t="shared" si="15"/>
        <v>7.5</v>
      </c>
      <c r="BK18" s="46">
        <f t="shared" si="16"/>
        <v>7.5</v>
      </c>
      <c r="BL18" s="46"/>
      <c r="BM18" s="46"/>
      <c r="BN18" s="46">
        <f t="shared" si="17"/>
        <v>-18.3</v>
      </c>
      <c r="BO18" s="46">
        <f t="shared" si="18"/>
        <v>7.5</v>
      </c>
      <c r="BP18" s="46">
        <f t="shared" si="19"/>
        <v>-10.8</v>
      </c>
      <c r="BQ18" s="46">
        <f t="shared" si="20"/>
        <v>-18.3</v>
      </c>
      <c r="BR18" s="46">
        <f t="shared" si="21"/>
        <v>7.5</v>
      </c>
      <c r="BS18" s="46">
        <f t="shared" si="22"/>
        <v>-10.8</v>
      </c>
      <c r="BT18" s="24">
        <f t="shared" si="23"/>
        <v>0.85462822526794058</v>
      </c>
      <c r="BU18" s="45">
        <f t="shared" si="24"/>
        <v>0</v>
      </c>
      <c r="BV18" s="45">
        <f t="shared" si="25"/>
        <v>0</v>
      </c>
      <c r="BW18" s="45" t="e">
        <f t="shared" si="26"/>
        <v>#VALUE!</v>
      </c>
      <c r="BX18" s="45">
        <f t="shared" si="27"/>
        <v>0</v>
      </c>
      <c r="BY18" s="41">
        <f t="shared" si="28"/>
        <v>0</v>
      </c>
      <c r="BZ18" s="11">
        <f t="shared" si="29"/>
        <v>0</v>
      </c>
      <c r="CA18" s="3">
        <f t="shared" si="30"/>
        <v>0</v>
      </c>
      <c r="CB18" s="3">
        <f t="shared" si="31"/>
        <v>0</v>
      </c>
      <c r="CC18" s="3">
        <f t="shared" si="32"/>
        <v>0</v>
      </c>
      <c r="CD18" s="3">
        <f t="shared" si="33"/>
        <v>0</v>
      </c>
      <c r="CE18" s="3">
        <f t="shared" si="34"/>
        <v>0</v>
      </c>
      <c r="CF18" s="3">
        <f t="shared" si="35"/>
        <v>0</v>
      </c>
      <c r="CG18" s="3">
        <f t="shared" si="36"/>
        <v>0</v>
      </c>
      <c r="CH18" s="3">
        <f t="shared" si="37"/>
        <v>0</v>
      </c>
      <c r="CI18" s="3">
        <f t="shared" si="38"/>
        <v>0</v>
      </c>
      <c r="CJ18" s="3">
        <f t="shared" si="39"/>
        <v>0</v>
      </c>
      <c r="CK18" s="3">
        <f t="shared" si="40"/>
        <v>0</v>
      </c>
      <c r="CL18" s="3">
        <f t="shared" si="41"/>
        <v>0</v>
      </c>
      <c r="CM18" s="3">
        <f t="shared" si="42"/>
        <v>0</v>
      </c>
      <c r="CN18" s="3">
        <f t="shared" si="43"/>
        <v>0</v>
      </c>
      <c r="CO18" s="3">
        <f t="shared" si="44"/>
        <v>0</v>
      </c>
      <c r="CP18" s="22"/>
    </row>
    <row r="19" spans="2:94" x14ac:dyDescent="0.25">
      <c r="B19" s="19" t="s">
        <v>97</v>
      </c>
      <c r="C19" s="19" t="s">
        <v>105</v>
      </c>
      <c r="D19" s="19" t="s">
        <v>107</v>
      </c>
      <c r="E19" s="20">
        <v>40969</v>
      </c>
      <c r="F19" s="20">
        <v>40999</v>
      </c>
      <c r="G19" s="28" t="s">
        <v>100</v>
      </c>
      <c r="H19" s="19">
        <v>130</v>
      </c>
      <c r="I19" s="19" t="s">
        <v>3</v>
      </c>
      <c r="J19" s="19">
        <v>5</v>
      </c>
      <c r="K19" s="19">
        <v>743</v>
      </c>
      <c r="L19" s="19">
        <v>3.66</v>
      </c>
      <c r="M19" s="19">
        <v>-18.3</v>
      </c>
      <c r="N19" s="19">
        <v>24</v>
      </c>
      <c r="O19" s="19">
        <v>-0.70711916203828395</v>
      </c>
      <c r="P19" s="19">
        <v>1.26954066216026E-2</v>
      </c>
      <c r="Q19" s="19">
        <v>23.139724721604299</v>
      </c>
      <c r="R19" s="19">
        <v>-3.3331458898516797E-2</v>
      </c>
      <c r="S19" s="19">
        <v>-9.0082191773211608</v>
      </c>
      <c r="T19" s="19">
        <v>0.39900226741192502</v>
      </c>
      <c r="U19" s="19">
        <v>120</v>
      </c>
      <c r="V19" s="19">
        <v>120</v>
      </c>
      <c r="W19" s="19">
        <v>0</v>
      </c>
      <c r="X19" s="19">
        <v>-18.3</v>
      </c>
      <c r="Y19" s="19">
        <v>120</v>
      </c>
      <c r="Z19" s="19">
        <v>101.7</v>
      </c>
      <c r="AA19" s="19">
        <v>-18.3</v>
      </c>
      <c r="AB19" s="19">
        <v>120</v>
      </c>
      <c r="AC19" s="19">
        <v>101.7</v>
      </c>
      <c r="AD19" s="37">
        <v>40182</v>
      </c>
      <c r="AE19" s="37">
        <f t="shared" si="2"/>
        <v>40969</v>
      </c>
      <c r="AF19" s="37">
        <f t="shared" si="3"/>
        <v>40999</v>
      </c>
      <c r="AG19" s="37">
        <v>40998</v>
      </c>
      <c r="AH19" s="43" t="s">
        <v>120</v>
      </c>
      <c r="AI19" s="7">
        <v>110.32</v>
      </c>
      <c r="AJ19" s="33">
        <f t="shared" si="5"/>
        <v>130</v>
      </c>
      <c r="AK19" s="7">
        <v>24</v>
      </c>
      <c r="AL19" s="33">
        <f t="shared" si="6"/>
        <v>3.66</v>
      </c>
      <c r="AM19" s="7">
        <v>5.54953714034539E-3</v>
      </c>
      <c r="AN19" s="9"/>
      <c r="AO19" s="7"/>
      <c r="AP19" s="9"/>
      <c r="AQ19" s="9">
        <f t="shared" si="7"/>
        <v>5</v>
      </c>
      <c r="AR19" s="7"/>
      <c r="AS19" s="9" t="s">
        <v>130</v>
      </c>
      <c r="AT19" s="40" t="b">
        <f t="shared" si="8"/>
        <v>0</v>
      </c>
      <c r="AU19" s="2">
        <f t="shared" si="9"/>
        <v>130</v>
      </c>
      <c r="AV19" s="2">
        <f t="shared" si="10"/>
        <v>1</v>
      </c>
      <c r="AW19" s="2" t="b">
        <f t="shared" si="11"/>
        <v>0</v>
      </c>
      <c r="AX19" s="26">
        <f t="shared" si="0"/>
        <v>24</v>
      </c>
      <c r="AY19" s="29">
        <f>IF(AW19,"",ImpliedVolatilityB76Future($E$9,AH19,AI19,AU19,AG19,AX19/AV19,AM19))</f>
        <v>0.39900226736470862</v>
      </c>
      <c r="AZ19" s="26">
        <f t="shared" si="12"/>
        <v>24</v>
      </c>
      <c r="BA19" s="30">
        <f>IF(AW19,EXP(-TimeToExpiry($E$9,AG19)*AM19)*(AI19-AU19)*AV19,B76Future($E$9,AH19,AI19,AU19,AG19,AY19,AM19)*AV19)</f>
        <v>23.999999999999993</v>
      </c>
      <c r="BB19" s="27">
        <f>IF(AW19,EXP(-AM19*TimeToExpiry($E$9,AG19))*(AI19-AU19)*AV19,B76Future($E$9,AH19,AI19,AU19,AG19,T19,AM19)*AV19)</f>
        <v>24.000000001092573</v>
      </c>
      <c r="BC19" s="1">
        <f t="shared" si="13"/>
        <v>3.66</v>
      </c>
      <c r="BD19" s="30">
        <f>IF(AW19,EXP(-TimeToExpiry($E$9,AG19)*AM19)*AV19, B76Delta($E$9,AH19,AI19,AU19,AG19,AY19,AM19)*AV19)</f>
        <v>-0.70711916205941538</v>
      </c>
      <c r="BE19" s="30">
        <f>IF(AW19,0,B76Gamma($E$9,AH19,AI19,AU19,AG19,T19,AM19)*AV19)</f>
        <v>1.2695406621295535E-2</v>
      </c>
      <c r="BF19" s="30">
        <f>IF(AW19,0,B76Vega($E$9,AH19,AI19,AU19,AG19,T19,AM19)*AV19)</f>
        <v>23.139724722992707</v>
      </c>
      <c r="BG19" s="30">
        <f>IF(AW19,(EXP(-TimeToExpiry($E$9,AG19)*AM19)*(AI19-AU19)*AV19*AM19/365),B76Theta($E$9,AH19,AI19,AU19,AG19,AY19,AM19)*AV19)</f>
        <v>-3.3331458891965975E-2</v>
      </c>
      <c r="BH19" s="30">
        <f>IF(AW19,(EXP(-TimeToExpiry($E$9,AG19)*AM19)*(AI19-AU19)*AV19*-TimeToExpiry($E$9,AG19)),B76Rho($E$9,AH19,AI19,AU19,AG19,T19,AM19)*AV19)</f>
        <v>-9.0082191784922809</v>
      </c>
      <c r="BI19" s="46">
        <f t="shared" si="14"/>
        <v>-18.3</v>
      </c>
      <c r="BJ19" s="46">
        <f t="shared" si="15"/>
        <v>120</v>
      </c>
      <c r="BK19" s="46">
        <f t="shared" si="16"/>
        <v>120</v>
      </c>
      <c r="BL19" s="46"/>
      <c r="BM19" s="46"/>
      <c r="BN19" s="46">
        <f t="shared" si="17"/>
        <v>-18.3</v>
      </c>
      <c r="BO19" s="46">
        <f t="shared" si="18"/>
        <v>120</v>
      </c>
      <c r="BP19" s="46">
        <f t="shared" si="19"/>
        <v>101.7</v>
      </c>
      <c r="BQ19" s="46">
        <f t="shared" si="20"/>
        <v>-18.3</v>
      </c>
      <c r="BR19" s="46">
        <f t="shared" si="21"/>
        <v>120</v>
      </c>
      <c r="BS19" s="46">
        <f t="shared" si="22"/>
        <v>101.7</v>
      </c>
      <c r="BT19" s="24">
        <f t="shared" si="23"/>
        <v>-3.5355958102970768</v>
      </c>
      <c r="BU19" s="45">
        <f t="shared" si="24"/>
        <v>0</v>
      </c>
      <c r="BV19" s="45">
        <f t="shared" si="25"/>
        <v>0</v>
      </c>
      <c r="BW19" s="45" t="e">
        <f t="shared" si="26"/>
        <v>#VALUE!</v>
      </c>
      <c r="BX19" s="45">
        <f t="shared" si="27"/>
        <v>0</v>
      </c>
      <c r="BY19" s="41">
        <f t="shared" si="28"/>
        <v>0</v>
      </c>
      <c r="BZ19" s="11">
        <f t="shared" si="29"/>
        <v>0</v>
      </c>
      <c r="CA19" s="3">
        <f t="shared" si="30"/>
        <v>0</v>
      </c>
      <c r="CB19" s="3">
        <f t="shared" si="31"/>
        <v>0</v>
      </c>
      <c r="CC19" s="3">
        <f t="shared" si="32"/>
        <v>0</v>
      </c>
      <c r="CD19" s="3">
        <f t="shared" si="33"/>
        <v>0</v>
      </c>
      <c r="CE19" s="3">
        <f t="shared" si="34"/>
        <v>0</v>
      </c>
      <c r="CF19" s="3">
        <f t="shared" si="35"/>
        <v>0</v>
      </c>
      <c r="CG19" s="3">
        <f t="shared" si="36"/>
        <v>0</v>
      </c>
      <c r="CH19" s="3">
        <f t="shared" si="37"/>
        <v>0</v>
      </c>
      <c r="CI19" s="3">
        <f t="shared" si="38"/>
        <v>0</v>
      </c>
      <c r="CJ19" s="3">
        <f t="shared" si="39"/>
        <v>0</v>
      </c>
      <c r="CK19" s="3">
        <f t="shared" si="40"/>
        <v>0</v>
      </c>
      <c r="CL19" s="3">
        <f t="shared" si="41"/>
        <v>0</v>
      </c>
      <c r="CM19" s="3">
        <f t="shared" si="42"/>
        <v>0</v>
      </c>
      <c r="CN19" s="3">
        <f t="shared" si="43"/>
        <v>0</v>
      </c>
      <c r="CO19" s="3">
        <f t="shared" si="44"/>
        <v>0</v>
      </c>
      <c r="CP19" s="22"/>
    </row>
    <row r="20" spans="2:94" x14ac:dyDescent="0.25">
      <c r="B20" s="19" t="s">
        <v>97</v>
      </c>
      <c r="C20" s="19" t="s">
        <v>105</v>
      </c>
      <c r="D20" s="19" t="s">
        <v>108</v>
      </c>
      <c r="E20" s="20">
        <v>40969</v>
      </c>
      <c r="F20" s="20">
        <v>40999</v>
      </c>
      <c r="G20" s="28" t="s">
        <v>100</v>
      </c>
      <c r="H20" s="19">
        <v>80</v>
      </c>
      <c r="I20" s="19" t="s">
        <v>3</v>
      </c>
      <c r="J20" s="19">
        <v>5</v>
      </c>
      <c r="K20" s="19">
        <v>743</v>
      </c>
      <c r="L20" s="19">
        <v>3.66</v>
      </c>
      <c r="M20" s="19">
        <v>-18.3</v>
      </c>
      <c r="N20" s="19">
        <v>41</v>
      </c>
      <c r="O20" s="19">
        <v>0.79508409428550297</v>
      </c>
      <c r="P20" s="19">
        <v>4.1579636473297503E-3</v>
      </c>
      <c r="Q20" s="19">
        <v>19.066296063016502</v>
      </c>
      <c r="R20" s="19">
        <v>-6.9226433487694305E-2</v>
      </c>
      <c r="S20" s="19">
        <v>-15.389041094590301</v>
      </c>
      <c r="T20" s="19">
        <v>1.0038051869637901</v>
      </c>
      <c r="U20" s="19">
        <v>205</v>
      </c>
      <c r="V20" s="19">
        <v>205</v>
      </c>
      <c r="W20" s="19">
        <v>0</v>
      </c>
      <c r="X20" s="19">
        <v>-18.3</v>
      </c>
      <c r="Y20" s="19">
        <v>205</v>
      </c>
      <c r="Z20" s="19">
        <v>186.7</v>
      </c>
      <c r="AA20" s="19">
        <v>-18.3</v>
      </c>
      <c r="AB20" s="19">
        <v>205</v>
      </c>
      <c r="AC20" s="19">
        <v>186.7</v>
      </c>
      <c r="AD20" s="37">
        <v>40182</v>
      </c>
      <c r="AE20" s="37">
        <f t="shared" si="2"/>
        <v>40969</v>
      </c>
      <c r="AF20" s="37">
        <f t="shared" si="3"/>
        <v>40999</v>
      </c>
      <c r="AG20" s="37">
        <v>40998</v>
      </c>
      <c r="AH20" s="43" t="s">
        <v>68</v>
      </c>
      <c r="AI20" s="7">
        <v>110.32</v>
      </c>
      <c r="AJ20" s="33">
        <f t="shared" si="5"/>
        <v>80</v>
      </c>
      <c r="AK20" s="7">
        <v>41</v>
      </c>
      <c r="AL20" s="33">
        <f t="shared" si="6"/>
        <v>3.66</v>
      </c>
      <c r="AM20" s="7">
        <v>5.54953714034539E-3</v>
      </c>
      <c r="AN20" s="7"/>
      <c r="AO20" s="7"/>
      <c r="AP20" s="9"/>
      <c r="AQ20" s="9">
        <f t="shared" si="7"/>
        <v>5</v>
      </c>
      <c r="AR20" s="7"/>
      <c r="AS20" s="9" t="s">
        <v>131</v>
      </c>
      <c r="AT20" s="40" t="b">
        <f t="shared" si="8"/>
        <v>0</v>
      </c>
      <c r="AU20" s="2">
        <f t="shared" si="9"/>
        <v>80</v>
      </c>
      <c r="AV20" s="2">
        <f t="shared" si="10"/>
        <v>1</v>
      </c>
      <c r="AW20" s="2" t="b">
        <f t="shared" si="11"/>
        <v>0</v>
      </c>
      <c r="AX20" s="26">
        <f t="shared" si="0"/>
        <v>41</v>
      </c>
      <c r="AY20" s="29">
        <f>IF(AW20,"",ImpliedVolatilityB76Future($E$9,AH20,AI20,AU20,AG20,AX20/AV20,AM20))</f>
        <v>1.0038051868548592</v>
      </c>
      <c r="AZ20" s="26">
        <f t="shared" si="12"/>
        <v>41</v>
      </c>
      <c r="BA20" s="30">
        <f>IF(AW20,EXP(-TimeToExpiry($E$9,AG20)*AM20)*(AI20-AU20)*AV20,B76Future($E$9,AH20,AI20,AU20,AG20,AY20,AM20)*AV20)</f>
        <v>41.000000000000007</v>
      </c>
      <c r="BB20" s="27">
        <f>IF(AW20,EXP(-AM20*TimeToExpiry($E$9,AG20))*(AI20-AU20)*AV20,B76Future($E$9,AH20,AI20,AU20,AG20,T20,AM20)*AV20)</f>
        <v>41.000000002076916</v>
      </c>
      <c r="BC20" s="1">
        <f t="shared" si="13"/>
        <v>3.66</v>
      </c>
      <c r="BD20" s="30">
        <f>IF(AW20,EXP(-TimeToExpiry($E$9,AG20)*AM20)*AV20, B76Delta($E$9,AH20,AI20,AU20,AG20,AY20,AM20)*AV20)</f>
        <v>0.79508409430223348</v>
      </c>
      <c r="BE20" s="30">
        <f>IF(AW20,0,B76Gamma($E$9,AH20,AI20,AU20,AG20,T20,AM20)*AV20)</f>
        <v>4.1579636471861699E-3</v>
      </c>
      <c r="BF20" s="30">
        <f>IF(AW20,0,B76Vega($E$9,AH20,AI20,AU20,AG20,T20,AM20)*AV20)</f>
        <v>19.066296063963225</v>
      </c>
      <c r="BG20" s="30">
        <f>IF(AW20,(EXP(-TimeToExpiry($E$9,AG20)*AM20)*(AI20-AU20)*AV20*AM20/365),B76Theta($E$9,AH20,AI20,AU20,AG20,AY20,AM20)*AV20)</f>
        <v>-6.9226433476328633E-2</v>
      </c>
      <c r="BH20" s="30">
        <f>IF(AW20,(EXP(-TimeToExpiry($E$9,AG20)*AM20)*(AI20-AU20)*AV20*-TimeToExpiry($E$9,AG20)),B76Rho($E$9,AH20,AI20,AU20,AG20,T20,AM20)*AV20)</f>
        <v>-15.389041096669967</v>
      </c>
      <c r="BI20" s="46">
        <f t="shared" si="14"/>
        <v>-18.3</v>
      </c>
      <c r="BJ20" s="46">
        <f t="shared" si="15"/>
        <v>205</v>
      </c>
      <c r="BK20" s="46">
        <f t="shared" si="16"/>
        <v>205</v>
      </c>
      <c r="BL20" s="46"/>
      <c r="BM20" s="46"/>
      <c r="BN20" s="46">
        <f t="shared" si="17"/>
        <v>-18.3</v>
      </c>
      <c r="BO20" s="46">
        <f t="shared" si="18"/>
        <v>205</v>
      </c>
      <c r="BP20" s="46">
        <f t="shared" si="19"/>
        <v>186.7</v>
      </c>
      <c r="BQ20" s="46">
        <f t="shared" si="20"/>
        <v>-18.3</v>
      </c>
      <c r="BR20" s="46">
        <f t="shared" si="21"/>
        <v>205</v>
      </c>
      <c r="BS20" s="46">
        <f t="shared" si="22"/>
        <v>186.7</v>
      </c>
      <c r="BT20" s="24">
        <f t="shared" si="23"/>
        <v>3.9754204715111676</v>
      </c>
      <c r="BU20" s="45">
        <f t="shared" si="24"/>
        <v>0</v>
      </c>
      <c r="BV20" s="45">
        <f t="shared" si="25"/>
        <v>0</v>
      </c>
      <c r="BW20" s="45" t="e">
        <f t="shared" si="26"/>
        <v>#VALUE!</v>
      </c>
      <c r="BX20" s="45">
        <f t="shared" si="27"/>
        <v>0</v>
      </c>
      <c r="BY20" s="41">
        <f t="shared" si="28"/>
        <v>0</v>
      </c>
      <c r="BZ20" s="11">
        <f t="shared" si="29"/>
        <v>0</v>
      </c>
      <c r="CA20" s="3">
        <f t="shared" si="30"/>
        <v>0</v>
      </c>
      <c r="CB20" s="3">
        <f t="shared" si="31"/>
        <v>0</v>
      </c>
      <c r="CC20" s="3">
        <f t="shared" si="32"/>
        <v>0</v>
      </c>
      <c r="CD20" s="3">
        <f t="shared" si="33"/>
        <v>0</v>
      </c>
      <c r="CE20" s="3">
        <f t="shared" si="34"/>
        <v>0</v>
      </c>
      <c r="CF20" s="3">
        <f t="shared" si="35"/>
        <v>0</v>
      </c>
      <c r="CG20" s="3">
        <f t="shared" si="36"/>
        <v>0</v>
      </c>
      <c r="CH20" s="3">
        <f t="shared" si="37"/>
        <v>0</v>
      </c>
      <c r="CI20" s="3">
        <f t="shared" si="38"/>
        <v>0</v>
      </c>
      <c r="CJ20" s="3">
        <f t="shared" si="39"/>
        <v>0</v>
      </c>
      <c r="CK20" s="3">
        <f t="shared" si="40"/>
        <v>0</v>
      </c>
      <c r="CL20" s="3">
        <f t="shared" si="41"/>
        <v>0</v>
      </c>
      <c r="CM20" s="3">
        <f t="shared" si="42"/>
        <v>0</v>
      </c>
      <c r="CN20" s="3">
        <f t="shared" si="43"/>
        <v>0</v>
      </c>
      <c r="CO20" s="3">
        <f t="shared" si="44"/>
        <v>0</v>
      </c>
      <c r="CP20" s="22"/>
    </row>
    <row r="21" spans="2:94" x14ac:dyDescent="0.25">
      <c r="B21" s="19" t="s">
        <v>97</v>
      </c>
      <c r="C21" s="19" t="s">
        <v>105</v>
      </c>
      <c r="D21" s="19" t="s">
        <v>109</v>
      </c>
      <c r="E21" s="20">
        <v>40969</v>
      </c>
      <c r="F21" s="20">
        <v>40999</v>
      </c>
      <c r="G21" s="28" t="s">
        <v>100</v>
      </c>
      <c r="H21" s="19">
        <v>80</v>
      </c>
      <c r="I21" s="19" t="s">
        <v>3</v>
      </c>
      <c r="J21" s="19">
        <v>5</v>
      </c>
      <c r="K21" s="19">
        <v>743</v>
      </c>
      <c r="L21" s="19">
        <v>3.66</v>
      </c>
      <c r="M21" s="19">
        <v>-18.3</v>
      </c>
      <c r="N21" s="19">
        <v>0.3</v>
      </c>
      <c r="O21" s="19">
        <v>-3.4491629356078399E-2</v>
      </c>
      <c r="P21" s="19">
        <v>3.71217169876929E-3</v>
      </c>
      <c r="Q21" s="19">
        <v>5.1582228448546701</v>
      </c>
      <c r="R21" s="19">
        <v>-5.7218874289939698E-3</v>
      </c>
      <c r="S21" s="19">
        <v>-0.11260273971652</v>
      </c>
      <c r="T21" s="19">
        <v>0.30418362850479502</v>
      </c>
      <c r="U21" s="19">
        <v>1.5</v>
      </c>
      <c r="V21" s="19">
        <v>1.5</v>
      </c>
      <c r="W21" s="19">
        <v>0</v>
      </c>
      <c r="X21" s="19">
        <v>-18.3</v>
      </c>
      <c r="Y21" s="19">
        <v>1.5</v>
      </c>
      <c r="Z21" s="19">
        <v>-16.8</v>
      </c>
      <c r="AA21" s="19">
        <v>-18.3</v>
      </c>
      <c r="AB21" s="19">
        <v>1.5</v>
      </c>
      <c r="AC21" s="19">
        <v>-16.8</v>
      </c>
      <c r="AD21" s="37">
        <v>40182</v>
      </c>
      <c r="AE21" s="37">
        <f t="shared" si="2"/>
        <v>40969</v>
      </c>
      <c r="AF21" s="37">
        <f t="shared" si="3"/>
        <v>40999</v>
      </c>
      <c r="AG21" s="37">
        <v>40998</v>
      </c>
      <c r="AH21" s="43" t="s">
        <v>120</v>
      </c>
      <c r="AI21" s="7">
        <v>110.32</v>
      </c>
      <c r="AJ21" s="33">
        <f t="shared" si="5"/>
        <v>80</v>
      </c>
      <c r="AK21" s="7">
        <v>0.3</v>
      </c>
      <c r="AL21" s="33">
        <f t="shared" si="6"/>
        <v>3.66</v>
      </c>
      <c r="AM21" s="7">
        <v>5.54953714034539E-3</v>
      </c>
      <c r="AN21" s="9"/>
      <c r="AO21" s="7"/>
      <c r="AP21" s="9"/>
      <c r="AQ21" s="9">
        <f t="shared" si="7"/>
        <v>5</v>
      </c>
      <c r="AR21" s="7"/>
      <c r="AS21" s="9" t="s">
        <v>132</v>
      </c>
      <c r="AT21" s="40" t="b">
        <f t="shared" si="8"/>
        <v>0</v>
      </c>
      <c r="AU21" s="2">
        <f t="shared" si="9"/>
        <v>80</v>
      </c>
      <c r="AV21" s="2">
        <f t="shared" si="10"/>
        <v>1</v>
      </c>
      <c r="AW21" s="2" t="b">
        <f t="shared" si="11"/>
        <v>0</v>
      </c>
      <c r="AX21" s="26">
        <f t="shared" si="0"/>
        <v>0.3</v>
      </c>
      <c r="AY21" s="29">
        <f>IF(AW21,"",ImpliedVolatilityB76Future($E$9,AH21,AI21,AU21,AG21,AX21/AV21,AM21))</f>
        <v>0.3041836320596823</v>
      </c>
      <c r="AZ21" s="26">
        <f t="shared" si="12"/>
        <v>0.3</v>
      </c>
      <c r="BA21" s="30">
        <f>IF(AW21,EXP(-TimeToExpiry($E$9,AG21)*AM21)*(AI21-AU21)*AV21,B76Future($E$9,AH21,AI21,AU21,AG21,AY21,AM21)*AV21)</f>
        <v>0.29999999999999988</v>
      </c>
      <c r="BB21" s="27">
        <f>IF(AW21,EXP(-AM21*TimeToExpiry($E$9,AG21))*(AI21-AU21)*AV21,B76Future($E$9,AH21,AI21,AU21,AG21,T21,AM21)*AV21)</f>
        <v>0.29999998166309721</v>
      </c>
      <c r="BC21" s="1">
        <f t="shared" si="13"/>
        <v>3.66</v>
      </c>
      <c r="BD21" s="30">
        <f>IF(AW21,EXP(-TimeToExpiry($E$9,AG21)*AM21)*AV21, B76Delta($E$9,AH21,AI21,AU21,AG21,T21,AM21)*AV21)</f>
        <v>-3.4491629508613043E-2</v>
      </c>
      <c r="BE21" s="30">
        <f>IF(AW21,0,B76Gamma($E$9,AH21,AI21,AU21,AG21,T21,AM21)*AV21)</f>
        <v>3.7121716990826344E-3</v>
      </c>
      <c r="BF21" s="30">
        <f>IF(AW21,0,B76Vega($E$9,AH21,AI21,AU21,AG21,T21,AM21)*AV21)</f>
        <v>5.1582228457243291</v>
      </c>
      <c r="BG21" s="30">
        <f>IF(AW21,(EXP(-TimeToExpiry($E$9,AG21)*AM21)*(AI21-AU21)*AV21*AM21/365),B76Theta($E$9,AH21,AI21,AU21,AG21,T21,AM21)*AV21)</f>
        <v>-5.7218874297544449E-3</v>
      </c>
      <c r="BH21" s="30">
        <f>IF(AW21,(EXP(-TimeToExpiry($E$9,AG21)*AM21)*(AI21-AU21)*AV21*-TimeToExpiry($E$9,AG21)),B76Rho($E$9,AH21,AI21,AU21,AG21,T21,AM21)*AV21)</f>
        <v>-0.11260273284340909</v>
      </c>
      <c r="BI21" s="46">
        <f t="shared" si="14"/>
        <v>-18.3</v>
      </c>
      <c r="BJ21" s="46">
        <f t="shared" si="15"/>
        <v>1.5</v>
      </c>
      <c r="BK21" s="46">
        <f t="shared" si="16"/>
        <v>1.5</v>
      </c>
      <c r="BL21" s="46"/>
      <c r="BM21" s="46"/>
      <c r="BN21" s="46">
        <f t="shared" si="17"/>
        <v>-18.3</v>
      </c>
      <c r="BO21" s="46">
        <f t="shared" si="18"/>
        <v>1.5</v>
      </c>
      <c r="BP21" s="46">
        <f t="shared" si="19"/>
        <v>-16.8</v>
      </c>
      <c r="BQ21" s="46">
        <f t="shared" si="20"/>
        <v>-18.3</v>
      </c>
      <c r="BR21" s="46">
        <f t="shared" si="21"/>
        <v>1.5</v>
      </c>
      <c r="BS21" s="46">
        <f t="shared" si="22"/>
        <v>-16.8</v>
      </c>
      <c r="BT21" s="24">
        <f t="shared" si="23"/>
        <v>-0.17245814754306521</v>
      </c>
      <c r="BU21" s="45">
        <f t="shared" si="24"/>
        <v>0</v>
      </c>
      <c r="BV21" s="45">
        <f t="shared" si="25"/>
        <v>0</v>
      </c>
      <c r="BW21" s="45" t="e">
        <f t="shared" si="26"/>
        <v>#VALUE!</v>
      </c>
      <c r="BX21" s="45">
        <f t="shared" si="27"/>
        <v>0</v>
      </c>
      <c r="BY21" s="41">
        <f t="shared" si="28"/>
        <v>-1.1686648759834384E-8</v>
      </c>
      <c r="BZ21" s="11">
        <f t="shared" si="29"/>
        <v>0</v>
      </c>
      <c r="CA21" s="3">
        <f t="shared" si="30"/>
        <v>0</v>
      </c>
      <c r="CB21" s="3">
        <f t="shared" si="31"/>
        <v>0</v>
      </c>
      <c r="CC21" s="3">
        <f t="shared" si="32"/>
        <v>0</v>
      </c>
      <c r="CD21" s="3">
        <f t="shared" si="33"/>
        <v>0</v>
      </c>
      <c r="CE21" s="3">
        <f t="shared" si="34"/>
        <v>0</v>
      </c>
      <c r="CF21" s="3">
        <f t="shared" si="35"/>
        <v>0</v>
      </c>
      <c r="CG21" s="3">
        <f t="shared" si="36"/>
        <v>0</v>
      </c>
      <c r="CH21" s="3">
        <f t="shared" si="37"/>
        <v>0</v>
      </c>
      <c r="CI21" s="3">
        <f t="shared" si="38"/>
        <v>0</v>
      </c>
      <c r="CJ21" s="3">
        <f t="shared" si="39"/>
        <v>0</v>
      </c>
      <c r="CK21" s="3">
        <f t="shared" si="40"/>
        <v>0</v>
      </c>
      <c r="CL21" s="3">
        <f t="shared" si="41"/>
        <v>0</v>
      </c>
      <c r="CM21" s="3">
        <f t="shared" si="42"/>
        <v>0</v>
      </c>
      <c r="CN21" s="3">
        <f t="shared" si="43"/>
        <v>6.1038579968197837E-8</v>
      </c>
      <c r="CO21" s="3">
        <f t="shared" si="44"/>
        <v>0</v>
      </c>
      <c r="CP21" s="22"/>
    </row>
    <row r="22" spans="2:94" x14ac:dyDescent="0.25">
      <c r="B22" s="19" t="s">
        <v>97</v>
      </c>
      <c r="C22" s="19" t="s">
        <v>110</v>
      </c>
      <c r="D22" s="19" t="s">
        <v>111</v>
      </c>
      <c r="E22" s="20">
        <v>41061</v>
      </c>
      <c r="F22" s="20">
        <v>41090</v>
      </c>
      <c r="G22" s="28" t="s">
        <v>100</v>
      </c>
      <c r="H22" s="19">
        <v>130</v>
      </c>
      <c r="I22" s="19" t="s">
        <v>3</v>
      </c>
      <c r="J22" s="19">
        <v>0</v>
      </c>
      <c r="K22" s="19">
        <v>720</v>
      </c>
      <c r="L22" s="19">
        <v>0</v>
      </c>
      <c r="M22" s="19">
        <v>0</v>
      </c>
      <c r="N22" s="19">
        <v>6</v>
      </c>
      <c r="O22" s="19">
        <v>0.32886863218580198</v>
      </c>
      <c r="P22" s="19">
        <v>1.11859690436793E-2</v>
      </c>
      <c r="Q22" s="19">
        <v>31.174155986104299</v>
      </c>
      <c r="R22" s="19">
        <v>-2.5375661645479601E-2</v>
      </c>
      <c r="S22" s="19">
        <v>-3.7479452052891902</v>
      </c>
      <c r="T22" s="19">
        <v>0.37297754350740397</v>
      </c>
      <c r="U22" s="19">
        <v>0</v>
      </c>
      <c r="V22" s="19">
        <v>0</v>
      </c>
      <c r="W22" s="19">
        <v>0</v>
      </c>
      <c r="X22" s="19">
        <v>0</v>
      </c>
      <c r="Y22" s="19">
        <v>0</v>
      </c>
      <c r="Z22" s="19">
        <v>0</v>
      </c>
      <c r="AA22" s="19">
        <v>0</v>
      </c>
      <c r="AB22" s="19">
        <v>0</v>
      </c>
      <c r="AC22" s="19">
        <v>0</v>
      </c>
      <c r="AD22" s="37">
        <v>40182</v>
      </c>
      <c r="AE22" s="37">
        <f t="shared" si="2"/>
        <v>41061</v>
      </c>
      <c r="AF22" s="37">
        <f t="shared" si="3"/>
        <v>41090</v>
      </c>
      <c r="AG22" s="37">
        <v>41089</v>
      </c>
      <c r="AH22" s="43" t="s">
        <v>68</v>
      </c>
      <c r="AI22" s="7">
        <v>109.37</v>
      </c>
      <c r="AJ22" s="33">
        <f t="shared" si="5"/>
        <v>130</v>
      </c>
      <c r="AK22" s="7">
        <v>6</v>
      </c>
      <c r="AL22" s="33">
        <f t="shared" si="6"/>
        <v>0</v>
      </c>
      <c r="AM22" s="7">
        <v>7.4652119758270401E-3</v>
      </c>
      <c r="AN22" s="7"/>
      <c r="AO22" s="7"/>
      <c r="AP22" s="9"/>
      <c r="AQ22" s="9">
        <f t="shared" si="7"/>
        <v>0</v>
      </c>
      <c r="AR22" s="7"/>
      <c r="AS22" s="9" t="s">
        <v>134</v>
      </c>
      <c r="AT22" s="40" t="b">
        <f t="shared" si="8"/>
        <v>0</v>
      </c>
      <c r="AU22" s="2">
        <f t="shared" si="9"/>
        <v>130</v>
      </c>
      <c r="AV22" s="2">
        <f t="shared" si="10"/>
        <v>1</v>
      </c>
      <c r="AW22" s="2" t="b">
        <f t="shared" si="11"/>
        <v>0</v>
      </c>
      <c r="AX22" s="26">
        <f t="shared" si="0"/>
        <v>6</v>
      </c>
      <c r="AY22" s="29">
        <f>IF(AW22,"",ImpliedVolatilityB76Future($E$9,AH22,AI22,AU22,AG22,AX22/AV22,AM22))</f>
        <v>0.37297754349004458</v>
      </c>
      <c r="AZ22" s="26">
        <f t="shared" si="12"/>
        <v>6</v>
      </c>
      <c r="BA22" s="30">
        <f>IF(AW22,EXP(-TimeToExpiry($E$9,AG22)*AM22)*(AI22-AU22)*AV22,B76Future($E$9,AH22,AI22,AU22,AG22,AY22,AM22)*AV22)</f>
        <v>6</v>
      </c>
      <c r="BB22" s="27">
        <f>IF(AW22,EXP(-AM22*TimeToExpiry($E$9,AG22))*(AI22-AU22)*AV22,B76Future($E$9,AH22,AI22,AU22,AG22,T22,AM22)*AV22)</f>
        <v>6.0000000005411671</v>
      </c>
      <c r="BC22" s="1">
        <f t="shared" si="13"/>
        <v>0</v>
      </c>
      <c r="BD22" s="30">
        <f>IF(AW22,EXP(-TimeToExpiry($E$9,AG22)*AM22)*AV22, B76Delta($E$9,AH22,AI22,AU22,AG22,T22,AM22)*AV22)</f>
        <v>0.328868632197162</v>
      </c>
      <c r="BE22" s="30">
        <f>IF(AW22,0,B76Gamma($E$9,AH22,AI22,AU22,AG22,T22,AM22)*AV22)</f>
        <v>1.1185969043508678E-2</v>
      </c>
      <c r="BF22" s="30">
        <f>IF(AW22,0,B76Vega($E$9,AH22,AI22,AU22,AG22,T22,AM22)*AV22)</f>
        <v>31.174155987490902</v>
      </c>
      <c r="BG22" s="30">
        <f>IF(AW22,(EXP(-TimeToExpiry($E$9,AG22)*AM22)*(AI22-AU22)*AV22*AM22/365),B76Theta($E$9,AH22,AI22,AU22,AG22,AY22,AM22)*AV22)</f>
        <v>-2.537566164375055E-2</v>
      </c>
      <c r="BH22" s="30">
        <f>IF(AW22,(EXP(-TimeToExpiry($E$9,AG22)*AM22)*(AI22-AU22)*AV22*-TimeToExpiry($E$9,AG22)),B76Rho($E$9,AH22,AI22,AU22,AG22,T22,AM22)*AV22)</f>
        <v>-3.747945205817496</v>
      </c>
      <c r="BI22" s="46">
        <f t="shared" si="14"/>
        <v>0</v>
      </c>
      <c r="BJ22" s="46">
        <f t="shared" si="15"/>
        <v>0</v>
      </c>
      <c r="BK22" s="46">
        <f t="shared" si="16"/>
        <v>0</v>
      </c>
      <c r="BL22" s="46"/>
      <c r="BM22" s="46"/>
      <c r="BN22" s="46">
        <f t="shared" si="17"/>
        <v>0</v>
      </c>
      <c r="BO22" s="46">
        <f t="shared" si="18"/>
        <v>0</v>
      </c>
      <c r="BP22" s="46">
        <f t="shared" si="19"/>
        <v>0</v>
      </c>
      <c r="BQ22" s="46">
        <f t="shared" si="20"/>
        <v>0</v>
      </c>
      <c r="BR22" s="46">
        <f t="shared" si="21"/>
        <v>0</v>
      </c>
      <c r="BS22" s="46">
        <f t="shared" si="22"/>
        <v>0</v>
      </c>
      <c r="BT22" s="24">
        <f t="shared" si="23"/>
        <v>0</v>
      </c>
      <c r="BU22" s="45">
        <f t="shared" si="24"/>
        <v>0</v>
      </c>
      <c r="BV22" s="45">
        <f t="shared" si="25"/>
        <v>0</v>
      </c>
      <c r="BW22" s="45" t="e">
        <f t="shared" si="26"/>
        <v>#VALUE!</v>
      </c>
      <c r="BX22" s="45">
        <f t="shared" si="27"/>
        <v>0</v>
      </c>
      <c r="BY22" s="41">
        <f t="shared" si="28"/>
        <v>0</v>
      </c>
      <c r="BZ22" s="11">
        <f t="shared" si="29"/>
        <v>0</v>
      </c>
      <c r="CA22" s="3">
        <f t="shared" si="30"/>
        <v>0</v>
      </c>
      <c r="CB22" s="3">
        <f t="shared" si="31"/>
        <v>0</v>
      </c>
      <c r="CC22" s="3">
        <f t="shared" si="32"/>
        <v>0</v>
      </c>
      <c r="CD22" s="3">
        <f t="shared" si="33"/>
        <v>0</v>
      </c>
      <c r="CE22" s="3">
        <f t="shared" si="34"/>
        <v>0</v>
      </c>
      <c r="CF22" s="3">
        <f t="shared" si="35"/>
        <v>0</v>
      </c>
      <c r="CG22" s="3">
        <f t="shared" si="36"/>
        <v>0</v>
      </c>
      <c r="CH22" s="3">
        <f t="shared" si="37"/>
        <v>0</v>
      </c>
      <c r="CI22" s="3">
        <f t="shared" si="38"/>
        <v>0</v>
      </c>
      <c r="CJ22" s="3">
        <f t="shared" si="39"/>
        <v>0</v>
      </c>
      <c r="CK22" s="3">
        <f t="shared" si="40"/>
        <v>0</v>
      </c>
      <c r="CL22" s="3">
        <f t="shared" si="41"/>
        <v>0</v>
      </c>
      <c r="CM22" s="3">
        <f t="shared" si="42"/>
        <v>0</v>
      </c>
      <c r="CN22" s="3">
        <f t="shared" si="43"/>
        <v>0</v>
      </c>
      <c r="CO22" s="3">
        <f t="shared" si="44"/>
        <v>0</v>
      </c>
      <c r="CP22" s="22"/>
    </row>
    <row r="23" spans="2:94" x14ac:dyDescent="0.25">
      <c r="B23" s="19" t="s">
        <v>97</v>
      </c>
      <c r="C23" s="19" t="s">
        <v>112</v>
      </c>
      <c r="D23" s="19" t="s">
        <v>113</v>
      </c>
      <c r="E23" s="20">
        <v>40664</v>
      </c>
      <c r="F23" s="20">
        <v>40694</v>
      </c>
      <c r="G23" s="28" t="s">
        <v>100</v>
      </c>
      <c r="H23" s="19">
        <v>130</v>
      </c>
      <c r="I23" s="19" t="s">
        <v>114</v>
      </c>
      <c r="J23" s="19">
        <v>0</v>
      </c>
      <c r="K23" s="19">
        <v>744</v>
      </c>
      <c r="L23" s="19">
        <v>0</v>
      </c>
      <c r="M23" s="19">
        <v>0</v>
      </c>
      <c r="N23" s="19">
        <v>0</v>
      </c>
      <c r="O23" s="19">
        <v>0</v>
      </c>
      <c r="P23" s="19">
        <v>0</v>
      </c>
      <c r="Q23" s="19">
        <v>0</v>
      </c>
      <c r="R23" s="19">
        <v>0</v>
      </c>
      <c r="S23" s="19">
        <v>0</v>
      </c>
      <c r="T23" s="19">
        <v>0</v>
      </c>
      <c r="U23" s="19">
        <v>0</v>
      </c>
      <c r="V23" s="19">
        <v>0</v>
      </c>
      <c r="W23" s="19">
        <v>0</v>
      </c>
      <c r="X23" s="19">
        <v>0</v>
      </c>
      <c r="Y23" s="19">
        <v>0</v>
      </c>
      <c r="Z23" s="19">
        <v>0</v>
      </c>
      <c r="AA23" s="19">
        <v>0</v>
      </c>
      <c r="AB23" s="19">
        <v>0</v>
      </c>
      <c r="AC23" s="19">
        <v>0</v>
      </c>
      <c r="AD23" s="37">
        <v>40182</v>
      </c>
      <c r="AE23" s="37">
        <f t="shared" si="2"/>
        <v>40664</v>
      </c>
      <c r="AF23" s="37">
        <f t="shared" si="3"/>
        <v>40694</v>
      </c>
      <c r="AG23" s="37">
        <f t="shared" si="4"/>
        <v>40694</v>
      </c>
      <c r="AH23" s="43" t="s">
        <v>68</v>
      </c>
      <c r="AI23" s="7" t="s">
        <v>95</v>
      </c>
      <c r="AJ23" s="33">
        <f t="shared" si="5"/>
        <v>130</v>
      </c>
      <c r="AK23" s="7" t="s">
        <v>95</v>
      </c>
      <c r="AL23" s="33">
        <f t="shared" si="6"/>
        <v>0</v>
      </c>
      <c r="AM23" s="7" t="s">
        <v>95</v>
      </c>
      <c r="AN23" s="7" t="s">
        <v>95</v>
      </c>
      <c r="AO23" s="7" t="s">
        <v>95</v>
      </c>
      <c r="AP23" s="7"/>
      <c r="AQ23" s="9">
        <f t="shared" si="7"/>
        <v>0</v>
      </c>
      <c r="AR23" s="7" t="s">
        <v>95</v>
      </c>
      <c r="AS23" s="9" t="s">
        <v>135</v>
      </c>
      <c r="AT23" s="40" t="b">
        <f t="shared" si="8"/>
        <v>0</v>
      </c>
      <c r="AU23" s="2">
        <f t="shared" si="9"/>
        <v>130</v>
      </c>
      <c r="AV23" s="2">
        <f t="shared" si="10"/>
        <v>1</v>
      </c>
      <c r="AW23" s="2" t="b">
        <f t="shared" si="11"/>
        <v>0</v>
      </c>
      <c r="AX23" s="26" t="str">
        <f t="shared" si="0"/>
        <v>N/A</v>
      </c>
      <c r="AY23" s="29">
        <f>IF(AW23,"",ImpliedVolatilityB76Future($E$9,AH23,AI23,AU23,AG23,AX23/AV23,AM23))</f>
        <v>0</v>
      </c>
      <c r="AZ23" s="26" t="str">
        <f t="shared" ref="AZ23:BB27" si="45">AM23</f>
        <v>N/A</v>
      </c>
      <c r="BA23" s="26" t="str">
        <f t="shared" si="45"/>
        <v>N/A</v>
      </c>
      <c r="BB23" s="26" t="str">
        <f t="shared" si="45"/>
        <v>N/A</v>
      </c>
      <c r="BC23" s="1">
        <f t="shared" si="13"/>
        <v>0</v>
      </c>
      <c r="BD23" s="26">
        <v>0</v>
      </c>
      <c r="BE23" s="26">
        <v>0</v>
      </c>
      <c r="BF23" s="26">
        <v>0</v>
      </c>
      <c r="BG23" s="26">
        <v>0</v>
      </c>
      <c r="BH23" s="26">
        <v>0</v>
      </c>
      <c r="BI23" s="46">
        <f>-AL23*AQ23</f>
        <v>0</v>
      </c>
      <c r="BJ23" s="46">
        <v>0</v>
      </c>
      <c r="BK23" s="46">
        <f t="shared" si="16"/>
        <v>0</v>
      </c>
      <c r="BL23" s="46"/>
      <c r="BM23" s="46"/>
      <c r="BN23" s="46">
        <f>BI23+BL23</f>
        <v>0</v>
      </c>
      <c r="BO23" s="46">
        <f>BK23</f>
        <v>0</v>
      </c>
      <c r="BP23" s="46">
        <f>BN23+BO23</f>
        <v>0</v>
      </c>
      <c r="BQ23" s="46">
        <f>BL23+BI23</f>
        <v>0</v>
      </c>
      <c r="BR23" s="46">
        <f>BK23</f>
        <v>0</v>
      </c>
      <c r="BS23" s="46">
        <f>BQ23+BR23</f>
        <v>0</v>
      </c>
      <c r="BT23" s="24">
        <v>0</v>
      </c>
      <c r="BU23" s="45">
        <f t="shared" si="24"/>
        <v>0</v>
      </c>
      <c r="BV23" s="45">
        <f t="shared" si="25"/>
        <v>0</v>
      </c>
      <c r="BW23" s="45" t="e">
        <f t="shared" si="26"/>
        <v>#VALUE!</v>
      </c>
      <c r="BX23" s="45">
        <f t="shared" si="27"/>
        <v>0</v>
      </c>
      <c r="BY23" s="41">
        <f t="shared" si="28"/>
        <v>0</v>
      </c>
      <c r="BZ23" s="11">
        <f t="shared" si="29"/>
        <v>0</v>
      </c>
      <c r="CA23" s="3">
        <f t="shared" si="30"/>
        <v>0</v>
      </c>
      <c r="CB23" s="3">
        <f t="shared" si="31"/>
        <v>0</v>
      </c>
      <c r="CC23" s="3">
        <f t="shared" si="32"/>
        <v>0</v>
      </c>
      <c r="CD23" s="3">
        <f t="shared" si="33"/>
        <v>0</v>
      </c>
      <c r="CE23" s="3">
        <f t="shared" si="34"/>
        <v>0</v>
      </c>
      <c r="CF23" s="3">
        <f t="shared" si="35"/>
        <v>0</v>
      </c>
      <c r="CG23" s="3">
        <f t="shared" si="36"/>
        <v>0</v>
      </c>
      <c r="CH23" s="3">
        <f t="shared" si="37"/>
        <v>0</v>
      </c>
      <c r="CI23" s="3">
        <f t="shared" si="38"/>
        <v>0</v>
      </c>
      <c r="CJ23" s="3">
        <f t="shared" si="39"/>
        <v>0</v>
      </c>
      <c r="CK23" s="3">
        <f t="shared" si="40"/>
        <v>0</v>
      </c>
      <c r="CL23" s="3">
        <f t="shared" si="41"/>
        <v>0</v>
      </c>
      <c r="CM23" s="3">
        <f t="shared" si="42"/>
        <v>0</v>
      </c>
      <c r="CN23" s="3">
        <f t="shared" si="43"/>
        <v>0</v>
      </c>
      <c r="CO23" s="3">
        <f t="shared" si="44"/>
        <v>0</v>
      </c>
      <c r="CP23" s="22"/>
    </row>
    <row r="24" spans="2:94" x14ac:dyDescent="0.25">
      <c r="B24" s="19" t="s">
        <v>97</v>
      </c>
      <c r="C24" s="19" t="s">
        <v>115</v>
      </c>
      <c r="D24" s="19" t="s">
        <v>116</v>
      </c>
      <c r="E24" s="20">
        <v>40787</v>
      </c>
      <c r="F24" s="20">
        <v>40816</v>
      </c>
      <c r="G24" s="28" t="s">
        <v>100</v>
      </c>
      <c r="H24" s="19">
        <v>130</v>
      </c>
      <c r="I24" s="19" t="s">
        <v>114</v>
      </c>
      <c r="J24" s="19">
        <v>5</v>
      </c>
      <c r="K24" s="19">
        <v>720</v>
      </c>
      <c r="L24" s="19">
        <v>3.66</v>
      </c>
      <c r="M24" s="19">
        <v>-18.3</v>
      </c>
      <c r="N24" s="19">
        <v>0</v>
      </c>
      <c r="O24" s="19">
        <v>0</v>
      </c>
      <c r="P24" s="19">
        <v>0</v>
      </c>
      <c r="Q24" s="19">
        <v>0</v>
      </c>
      <c r="R24" s="19">
        <v>0</v>
      </c>
      <c r="S24" s="19">
        <v>0</v>
      </c>
      <c r="T24" s="19">
        <v>0</v>
      </c>
      <c r="U24" s="19">
        <v>0</v>
      </c>
      <c r="V24" s="19">
        <v>0</v>
      </c>
      <c r="W24" s="19">
        <v>0</v>
      </c>
      <c r="X24" s="19">
        <v>-18.3</v>
      </c>
      <c r="Y24" s="19">
        <v>0</v>
      </c>
      <c r="Z24" s="19">
        <v>-18.3</v>
      </c>
      <c r="AA24" s="19">
        <v>-18.3</v>
      </c>
      <c r="AB24" s="19">
        <v>0</v>
      </c>
      <c r="AC24" s="19">
        <v>-18.3</v>
      </c>
      <c r="AD24" s="37">
        <v>40182</v>
      </c>
      <c r="AE24" s="37">
        <f t="shared" si="2"/>
        <v>40787</v>
      </c>
      <c r="AF24" s="37">
        <f t="shared" si="3"/>
        <v>40816</v>
      </c>
      <c r="AG24" s="37">
        <f t="shared" si="4"/>
        <v>40816</v>
      </c>
      <c r="AH24" s="43" t="s">
        <v>68</v>
      </c>
      <c r="AI24" s="7" t="s">
        <v>95</v>
      </c>
      <c r="AJ24" s="33">
        <f t="shared" si="5"/>
        <v>130</v>
      </c>
      <c r="AK24" s="7" t="s">
        <v>95</v>
      </c>
      <c r="AL24" s="33">
        <f t="shared" si="6"/>
        <v>3.66</v>
      </c>
      <c r="AM24" s="7" t="s">
        <v>95</v>
      </c>
      <c r="AN24" s="7" t="s">
        <v>95</v>
      </c>
      <c r="AO24" s="7" t="s">
        <v>95</v>
      </c>
      <c r="AP24" s="7"/>
      <c r="AQ24" s="9">
        <f t="shared" si="7"/>
        <v>5</v>
      </c>
      <c r="AR24" s="7" t="s">
        <v>95</v>
      </c>
      <c r="AS24" s="9" t="s">
        <v>125</v>
      </c>
      <c r="AT24" s="40" t="b">
        <f t="shared" si="8"/>
        <v>0</v>
      </c>
      <c r="AU24" s="2">
        <f t="shared" si="9"/>
        <v>130</v>
      </c>
      <c r="AV24" s="2">
        <f t="shared" si="10"/>
        <v>1</v>
      </c>
      <c r="AW24" s="2" t="b">
        <f t="shared" si="11"/>
        <v>0</v>
      </c>
      <c r="AX24" s="26" t="str">
        <f t="shared" si="0"/>
        <v>N/A</v>
      </c>
      <c r="AY24" s="29">
        <f>IF(AW24,"",ImpliedVolatilityB76Future($E$9,AH24,AI24,AU24,AG24,AX24/AV24,AM24))</f>
        <v>0</v>
      </c>
      <c r="AZ24" s="26" t="str">
        <f t="shared" si="45"/>
        <v>N/A</v>
      </c>
      <c r="BA24" s="26" t="str">
        <f t="shared" si="45"/>
        <v>N/A</v>
      </c>
      <c r="BB24" s="26" t="str">
        <f t="shared" si="45"/>
        <v>N/A</v>
      </c>
      <c r="BC24" s="1">
        <f t="shared" si="13"/>
        <v>3.66</v>
      </c>
      <c r="BD24" s="26">
        <v>0</v>
      </c>
      <c r="BE24" s="26">
        <v>0</v>
      </c>
      <c r="BF24" s="26">
        <v>0</v>
      </c>
      <c r="BG24" s="26">
        <v>0</v>
      </c>
      <c r="BH24" s="26">
        <v>0</v>
      </c>
      <c r="BI24" s="46">
        <f>-AL24*AQ24</f>
        <v>-18.3</v>
      </c>
      <c r="BJ24" s="46">
        <v>0</v>
      </c>
      <c r="BK24" s="46">
        <f t="shared" si="16"/>
        <v>0</v>
      </c>
      <c r="BL24" s="46"/>
      <c r="BM24" s="46">
        <v>0</v>
      </c>
      <c r="BN24" s="46">
        <f>BI24+BL24+BM24</f>
        <v>-18.3</v>
      </c>
      <c r="BO24" s="46">
        <f>BK24</f>
        <v>0</v>
      </c>
      <c r="BP24" s="46">
        <f>BN24+BO24</f>
        <v>-18.3</v>
      </c>
      <c r="BQ24" s="46">
        <f>BL24+BI24+BM24</f>
        <v>-18.3</v>
      </c>
      <c r="BR24" s="46">
        <f>BK24</f>
        <v>0</v>
      </c>
      <c r="BS24" s="46">
        <f>BQ24+BR24</f>
        <v>-18.3</v>
      </c>
      <c r="BT24" s="24">
        <v>0</v>
      </c>
      <c r="BU24" s="45">
        <f t="shared" si="24"/>
        <v>0</v>
      </c>
      <c r="BV24" s="45">
        <f t="shared" si="25"/>
        <v>0</v>
      </c>
      <c r="BW24" s="45" t="e">
        <f t="shared" si="26"/>
        <v>#VALUE!</v>
      </c>
      <c r="BX24" s="45">
        <f t="shared" si="27"/>
        <v>0</v>
      </c>
      <c r="BY24" s="41">
        <f t="shared" si="28"/>
        <v>0</v>
      </c>
      <c r="BZ24" s="11">
        <f t="shared" si="29"/>
        <v>0</v>
      </c>
      <c r="CA24" s="3">
        <f t="shared" si="30"/>
        <v>0</v>
      </c>
      <c r="CB24" s="3">
        <f t="shared" si="31"/>
        <v>0</v>
      </c>
      <c r="CC24" s="3">
        <f t="shared" si="32"/>
        <v>0</v>
      </c>
      <c r="CD24" s="3">
        <f t="shared" si="33"/>
        <v>0</v>
      </c>
      <c r="CE24" s="3">
        <f t="shared" si="34"/>
        <v>0</v>
      </c>
      <c r="CF24" s="3">
        <f t="shared" si="35"/>
        <v>0</v>
      </c>
      <c r="CG24" s="3">
        <f t="shared" si="36"/>
        <v>0</v>
      </c>
      <c r="CH24" s="3">
        <f t="shared" si="37"/>
        <v>0</v>
      </c>
      <c r="CI24" s="3">
        <f t="shared" si="38"/>
        <v>0</v>
      </c>
      <c r="CJ24" s="3">
        <f t="shared" si="39"/>
        <v>0</v>
      </c>
      <c r="CK24" s="3">
        <f t="shared" si="40"/>
        <v>0</v>
      </c>
      <c r="CL24" s="3">
        <f t="shared" si="41"/>
        <v>0</v>
      </c>
      <c r="CM24" s="3">
        <f t="shared" si="42"/>
        <v>0</v>
      </c>
      <c r="CN24" s="3">
        <f t="shared" si="43"/>
        <v>0</v>
      </c>
      <c r="CO24" s="3">
        <f t="shared" si="44"/>
        <v>0</v>
      </c>
      <c r="CP24" s="22"/>
    </row>
    <row r="25" spans="2:94" x14ac:dyDescent="0.25">
      <c r="B25" s="5" t="s">
        <v>97</v>
      </c>
      <c r="C25" s="5" t="s">
        <v>115</v>
      </c>
      <c r="D25" s="5" t="s">
        <v>117</v>
      </c>
      <c r="E25" s="51">
        <v>40787</v>
      </c>
      <c r="F25" s="51">
        <v>40816</v>
      </c>
      <c r="G25" s="28" t="s">
        <v>100</v>
      </c>
      <c r="H25" s="5">
        <v>130</v>
      </c>
      <c r="I25" s="5" t="s">
        <v>114</v>
      </c>
      <c r="J25" s="5">
        <v>5</v>
      </c>
      <c r="K25" s="5">
        <v>720</v>
      </c>
      <c r="L25" s="5">
        <v>3.66</v>
      </c>
      <c r="M25" s="5">
        <v>-18.3</v>
      </c>
      <c r="N25" s="5">
        <v>0</v>
      </c>
      <c r="O25" s="5">
        <v>0</v>
      </c>
      <c r="P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77.395454545454598</v>
      </c>
      <c r="Y25" s="5">
        <v>0</v>
      </c>
      <c r="Z25" s="5">
        <v>77.395454545454598</v>
      </c>
      <c r="AA25" s="5">
        <v>77.395454545454598</v>
      </c>
      <c r="AB25" s="5">
        <v>0</v>
      </c>
      <c r="AC25" s="5">
        <v>77.395454545454598</v>
      </c>
      <c r="AD25" s="37">
        <v>40182</v>
      </c>
      <c r="AE25" s="37">
        <f t="shared" si="2"/>
        <v>40787</v>
      </c>
      <c r="AF25" s="37">
        <f t="shared" si="3"/>
        <v>40816</v>
      </c>
      <c r="AG25" s="37">
        <f t="shared" si="4"/>
        <v>40816</v>
      </c>
      <c r="AH25" s="43" t="s">
        <v>120</v>
      </c>
      <c r="AI25" s="7" t="s">
        <v>95</v>
      </c>
      <c r="AJ25" s="33">
        <f t="shared" si="5"/>
        <v>130</v>
      </c>
      <c r="AK25" s="7" t="s">
        <v>95</v>
      </c>
      <c r="AL25" s="33">
        <f t="shared" si="6"/>
        <v>3.66</v>
      </c>
      <c r="AM25" s="7" t="s">
        <v>95</v>
      </c>
      <c r="AN25" s="7" t="s">
        <v>95</v>
      </c>
      <c r="AO25" s="7" t="s">
        <v>95</v>
      </c>
      <c r="AP25" s="7"/>
      <c r="AQ25" s="9">
        <f t="shared" si="7"/>
        <v>5</v>
      </c>
      <c r="AR25" s="7" t="s">
        <v>95</v>
      </c>
      <c r="AS25" s="9" t="s">
        <v>126</v>
      </c>
      <c r="AT25" s="40" t="b">
        <f t="shared" si="8"/>
        <v>0</v>
      </c>
      <c r="AU25" s="2">
        <f t="shared" si="9"/>
        <v>130</v>
      </c>
      <c r="AV25" s="2">
        <f t="shared" si="10"/>
        <v>1</v>
      </c>
      <c r="AW25" s="2" t="b">
        <f t="shared" si="11"/>
        <v>0</v>
      </c>
      <c r="AX25" s="26" t="str">
        <f t="shared" si="0"/>
        <v>N/A</v>
      </c>
      <c r="AY25" s="29">
        <f>IF(AW25,"",ImpliedVolatilityB76Future($E$9,AH25,AI25,AU25,AG25,AX25/AV25,AM25))</f>
        <v>0</v>
      </c>
      <c r="AZ25" s="26" t="str">
        <f t="shared" si="45"/>
        <v>N/A</v>
      </c>
      <c r="BA25" s="26" t="str">
        <f t="shared" si="45"/>
        <v>N/A</v>
      </c>
      <c r="BB25" s="26" t="str">
        <f t="shared" si="45"/>
        <v>N/A</v>
      </c>
      <c r="BC25" s="1">
        <f t="shared" si="13"/>
        <v>3.66</v>
      </c>
      <c r="BD25" s="26">
        <v>0</v>
      </c>
      <c r="BE25" s="26">
        <v>0</v>
      </c>
      <c r="BF25" s="26">
        <v>0</v>
      </c>
      <c r="BG25" s="26">
        <v>0</v>
      </c>
      <c r="BH25" s="26">
        <v>0</v>
      </c>
      <c r="BI25" s="46">
        <f>-AL25*AQ25</f>
        <v>-18.3</v>
      </c>
      <c r="BJ25" s="46">
        <v>0</v>
      </c>
      <c r="BK25" s="46">
        <f t="shared" si="16"/>
        <v>0</v>
      </c>
      <c r="BL25" s="46"/>
      <c r="BM25" s="46">
        <f>(AJ25-'Historic settlement prices'!F3)*AQ25</f>
        <v>95.695454545454979</v>
      </c>
      <c r="BN25" s="46">
        <f>BI25+BL25+BM25</f>
        <v>77.395454545454982</v>
      </c>
      <c r="BO25" s="46">
        <f>BK25</f>
        <v>0</v>
      </c>
      <c r="BP25" s="46">
        <f>BN25+BO25</f>
        <v>77.395454545454982</v>
      </c>
      <c r="BQ25" s="46">
        <f>BL25+BI25+BM25</f>
        <v>77.395454545454982</v>
      </c>
      <c r="BR25" s="46">
        <f>BK25</f>
        <v>0</v>
      </c>
      <c r="BS25" s="46">
        <f>BQ25+BR25</f>
        <v>77.395454545454982</v>
      </c>
      <c r="BT25" s="24">
        <v>0</v>
      </c>
      <c r="BU25" s="45">
        <f t="shared" ref="BU25:BW27" si="46">QaAssert(E25,AE25)</f>
        <v>0</v>
      </c>
      <c r="BV25" s="45">
        <f t="shared" si="46"/>
        <v>0</v>
      </c>
      <c r="BW25" s="45" t="e">
        <f t="shared" si="46"/>
        <v>#VALUE!</v>
      </c>
      <c r="BX25" s="45">
        <f>QaAssert(H25,AJ25)</f>
        <v>0</v>
      </c>
      <c r="BY25" s="41">
        <f>QaAssert(T25,AY25)</f>
        <v>0</v>
      </c>
      <c r="BZ25" s="11">
        <f>QaAssert(L25,BC25)</f>
        <v>0</v>
      </c>
      <c r="CA25" s="3">
        <f>QaAssert(M25,BI25)</f>
        <v>0</v>
      </c>
      <c r="CB25" s="3">
        <f t="shared" ref="CB25:CD27" si="47">QaAssert(U25,BJ25)</f>
        <v>0</v>
      </c>
      <c r="CC25" s="3">
        <f t="shared" si="47"/>
        <v>0</v>
      </c>
      <c r="CD25" s="3">
        <f t="shared" si="47"/>
        <v>0</v>
      </c>
      <c r="CE25" s="3">
        <f t="shared" ref="CE25:CJ27" si="48">QaAssert(X25,BN25)</f>
        <v>0</v>
      </c>
      <c r="CF25" s="3">
        <f t="shared" si="48"/>
        <v>0</v>
      </c>
      <c r="CG25" s="3">
        <f t="shared" si="48"/>
        <v>0</v>
      </c>
      <c r="CH25" s="3">
        <f t="shared" si="48"/>
        <v>0</v>
      </c>
      <c r="CI25" s="3">
        <f t="shared" si="48"/>
        <v>0</v>
      </c>
      <c r="CJ25" s="3">
        <f t="shared" si="48"/>
        <v>0</v>
      </c>
      <c r="CK25" s="3">
        <f t="shared" ref="CK25:CM27" si="49">QaAssert(O25,BD25)</f>
        <v>0</v>
      </c>
      <c r="CL25" s="3">
        <f t="shared" si="49"/>
        <v>0</v>
      </c>
      <c r="CM25" s="3">
        <f t="shared" si="49"/>
        <v>0</v>
      </c>
      <c r="CN25" s="3">
        <f>QaAssert(S25,BH25)</f>
        <v>0</v>
      </c>
      <c r="CO25" s="3">
        <f>QaAssert(R25,BG25)</f>
        <v>0</v>
      </c>
    </row>
    <row r="26" spans="2:94" ht="15.75" customHeight="1" x14ac:dyDescent="0.25">
      <c r="B26" s="14" t="s">
        <v>97</v>
      </c>
      <c r="C26" s="14" t="s">
        <v>115</v>
      </c>
      <c r="D26" s="14" t="s">
        <v>118</v>
      </c>
      <c r="E26" s="15">
        <v>40787</v>
      </c>
      <c r="F26" s="15">
        <v>40816</v>
      </c>
      <c r="G26" s="28" t="s">
        <v>100</v>
      </c>
      <c r="H26" s="14">
        <v>80</v>
      </c>
      <c r="I26" s="14" t="s">
        <v>114</v>
      </c>
      <c r="J26" s="14">
        <v>5</v>
      </c>
      <c r="K26" s="14">
        <v>720</v>
      </c>
      <c r="L26" s="14">
        <v>3.66</v>
      </c>
      <c r="M26" s="14">
        <v>-18.3</v>
      </c>
      <c r="N26" s="14">
        <v>0</v>
      </c>
      <c r="O26" s="14">
        <v>0</v>
      </c>
      <c r="P26" s="14">
        <v>0</v>
      </c>
      <c r="Q26" s="14">
        <v>0</v>
      </c>
      <c r="R26" s="16">
        <v>0</v>
      </c>
      <c r="S26" s="14">
        <v>0</v>
      </c>
      <c r="T26" s="31">
        <v>0</v>
      </c>
      <c r="U26" s="14">
        <v>0</v>
      </c>
      <c r="V26" s="14">
        <v>0</v>
      </c>
      <c r="W26" s="14">
        <v>0</v>
      </c>
      <c r="X26" s="14">
        <v>136.004545454545</v>
      </c>
      <c r="Y26" s="14">
        <v>0</v>
      </c>
      <c r="Z26" s="14">
        <v>136.004545454545</v>
      </c>
      <c r="AA26" s="14">
        <v>136.004545454545</v>
      </c>
      <c r="AB26" s="14">
        <v>0</v>
      </c>
      <c r="AC26" s="14">
        <v>136.004545454545</v>
      </c>
      <c r="AD26" s="37">
        <v>40182</v>
      </c>
      <c r="AE26" s="37">
        <f t="shared" si="2"/>
        <v>40787</v>
      </c>
      <c r="AF26" s="37">
        <f t="shared" si="3"/>
        <v>40816</v>
      </c>
      <c r="AG26" s="37">
        <f t="shared" si="4"/>
        <v>40816</v>
      </c>
      <c r="AH26" s="43" t="s">
        <v>68</v>
      </c>
      <c r="AI26" s="7" t="s">
        <v>95</v>
      </c>
      <c r="AJ26" s="33">
        <f t="shared" si="5"/>
        <v>80</v>
      </c>
      <c r="AK26" s="7" t="s">
        <v>95</v>
      </c>
      <c r="AL26" s="33">
        <f t="shared" si="6"/>
        <v>3.66</v>
      </c>
      <c r="AM26" s="7" t="s">
        <v>95</v>
      </c>
      <c r="AN26" s="7" t="s">
        <v>95</v>
      </c>
      <c r="AO26" s="7" t="s">
        <v>95</v>
      </c>
      <c r="AP26" s="7"/>
      <c r="AQ26" s="9">
        <f t="shared" si="7"/>
        <v>5</v>
      </c>
      <c r="AR26" s="7" t="s">
        <v>95</v>
      </c>
      <c r="AS26" s="9" t="s">
        <v>127</v>
      </c>
      <c r="AT26" s="40" t="b">
        <f t="shared" si="8"/>
        <v>0</v>
      </c>
      <c r="AU26" s="2">
        <f t="shared" si="9"/>
        <v>80</v>
      </c>
      <c r="AV26" s="2">
        <f t="shared" si="10"/>
        <v>1</v>
      </c>
      <c r="AW26" s="2" t="b">
        <f t="shared" si="11"/>
        <v>0</v>
      </c>
      <c r="AX26" s="26" t="str">
        <f t="shared" si="0"/>
        <v>N/A</v>
      </c>
      <c r="AY26" s="29">
        <f>IF(AW26,"",ImpliedVolatilityB76Future($E$9,AH26,AI26,AU26,AG26,AX26/AV26,AM26))</f>
        <v>0</v>
      </c>
      <c r="AZ26" s="26" t="str">
        <f t="shared" si="45"/>
        <v>N/A</v>
      </c>
      <c r="BA26" s="26" t="str">
        <f t="shared" si="45"/>
        <v>N/A</v>
      </c>
      <c r="BB26" s="26" t="str">
        <f t="shared" si="45"/>
        <v>N/A</v>
      </c>
      <c r="BC26" s="1">
        <f t="shared" si="13"/>
        <v>3.66</v>
      </c>
      <c r="BD26" s="26">
        <v>0</v>
      </c>
      <c r="BE26" s="26">
        <v>0</v>
      </c>
      <c r="BF26" s="26">
        <v>0</v>
      </c>
      <c r="BG26" s="26">
        <v>0</v>
      </c>
      <c r="BH26" s="26">
        <v>0</v>
      </c>
      <c r="BI26" s="46">
        <f>-AL26*AQ26</f>
        <v>-18.3</v>
      </c>
      <c r="BJ26" s="46">
        <v>0</v>
      </c>
      <c r="BK26" s="46">
        <f t="shared" si="16"/>
        <v>0</v>
      </c>
      <c r="BL26" s="46"/>
      <c r="BM26" s="46">
        <f>('Historic settlement prices'!F3-'Asian-PosMon-USD-MtM'!AU26)*AQ26</f>
        <v>154.30454545454501</v>
      </c>
      <c r="BN26" s="46">
        <f>BI26+BL26+BM26</f>
        <v>136.004545454545</v>
      </c>
      <c r="BO26" s="46">
        <f>BK26</f>
        <v>0</v>
      </c>
      <c r="BP26" s="46">
        <f>BN26+BO26</f>
        <v>136.004545454545</v>
      </c>
      <c r="BQ26" s="46">
        <f>BL26+BI26+BM26</f>
        <v>136.004545454545</v>
      </c>
      <c r="BR26" s="46">
        <f>BK26</f>
        <v>0</v>
      </c>
      <c r="BS26" s="46">
        <f>BQ26+BR26</f>
        <v>136.004545454545</v>
      </c>
      <c r="BT26" s="24">
        <v>0</v>
      </c>
      <c r="BU26" s="45">
        <f t="shared" si="46"/>
        <v>0</v>
      </c>
      <c r="BV26" s="45">
        <f t="shared" si="46"/>
        <v>0</v>
      </c>
      <c r="BW26" s="45" t="e">
        <f t="shared" si="46"/>
        <v>#VALUE!</v>
      </c>
      <c r="BX26" s="45">
        <f>QaAssert(H26,AJ26)</f>
        <v>0</v>
      </c>
      <c r="BY26" s="41">
        <f>QaAssert(T26,AY26)</f>
        <v>0</v>
      </c>
      <c r="BZ26" s="11">
        <f>QaAssert(L26,BC26)</f>
        <v>0</v>
      </c>
      <c r="CA26" s="3">
        <f>QaAssert(M26,BI26)</f>
        <v>0</v>
      </c>
      <c r="CB26" s="3">
        <f t="shared" si="47"/>
        <v>0</v>
      </c>
      <c r="CC26" s="3">
        <f t="shared" si="47"/>
        <v>0</v>
      </c>
      <c r="CD26" s="3">
        <f t="shared" si="47"/>
        <v>0</v>
      </c>
      <c r="CE26" s="3">
        <f t="shared" si="48"/>
        <v>0</v>
      </c>
      <c r="CF26" s="3">
        <f t="shared" si="48"/>
        <v>0</v>
      </c>
      <c r="CG26" s="3">
        <f t="shared" si="48"/>
        <v>0</v>
      </c>
      <c r="CH26" s="3">
        <f t="shared" si="48"/>
        <v>0</v>
      </c>
      <c r="CI26" s="3">
        <f t="shared" si="48"/>
        <v>0</v>
      </c>
      <c r="CJ26" s="3">
        <f t="shared" si="48"/>
        <v>0</v>
      </c>
      <c r="CK26" s="3">
        <f t="shared" si="49"/>
        <v>0</v>
      </c>
      <c r="CL26" s="3">
        <f t="shared" si="49"/>
        <v>0</v>
      </c>
      <c r="CM26" s="3">
        <f t="shared" si="49"/>
        <v>0</v>
      </c>
      <c r="CN26" s="3">
        <f>QaAssert(S26,BH26)</f>
        <v>0</v>
      </c>
      <c r="CO26" s="3">
        <f>QaAssert(R26,BG26)</f>
        <v>0</v>
      </c>
    </row>
    <row r="27" spans="2:94" x14ac:dyDescent="0.25">
      <c r="B27" s="14" t="s">
        <v>97</v>
      </c>
      <c r="C27" s="14" t="s">
        <v>115</v>
      </c>
      <c r="D27" s="14" t="s">
        <v>119</v>
      </c>
      <c r="E27" s="15">
        <v>40787</v>
      </c>
      <c r="F27" s="15">
        <v>40816</v>
      </c>
      <c r="G27" s="28" t="s">
        <v>100</v>
      </c>
      <c r="H27" s="14">
        <v>80</v>
      </c>
      <c r="I27" s="14" t="s">
        <v>114</v>
      </c>
      <c r="J27" s="14">
        <v>5</v>
      </c>
      <c r="K27" s="14">
        <v>720</v>
      </c>
      <c r="L27" s="14">
        <v>3.66</v>
      </c>
      <c r="M27" s="14">
        <v>-18.3</v>
      </c>
      <c r="N27" s="14">
        <v>0</v>
      </c>
      <c r="O27" s="14">
        <v>0</v>
      </c>
      <c r="P27" s="14">
        <v>0</v>
      </c>
      <c r="Q27" s="14">
        <v>0</v>
      </c>
      <c r="R27" s="16">
        <v>0</v>
      </c>
      <c r="S27" s="14">
        <v>0</v>
      </c>
      <c r="T27" s="31">
        <v>0</v>
      </c>
      <c r="U27" s="14">
        <v>0</v>
      </c>
      <c r="V27" s="14">
        <v>0</v>
      </c>
      <c r="W27" s="14">
        <v>0</v>
      </c>
      <c r="X27" s="14">
        <v>-18.3</v>
      </c>
      <c r="Y27" s="14">
        <v>0</v>
      </c>
      <c r="Z27" s="14">
        <v>-18.3</v>
      </c>
      <c r="AA27" s="14">
        <v>-18.3</v>
      </c>
      <c r="AB27" s="14">
        <v>0</v>
      </c>
      <c r="AC27" s="14">
        <v>-18.3</v>
      </c>
      <c r="AD27" s="37">
        <v>40182</v>
      </c>
      <c r="AE27" s="37">
        <f t="shared" si="2"/>
        <v>40787</v>
      </c>
      <c r="AF27" s="37">
        <f t="shared" si="3"/>
        <v>40816</v>
      </c>
      <c r="AG27" s="37">
        <f t="shared" si="4"/>
        <v>40816</v>
      </c>
      <c r="AH27" s="43" t="s">
        <v>120</v>
      </c>
      <c r="AI27" s="7" t="s">
        <v>95</v>
      </c>
      <c r="AJ27" s="33">
        <f t="shared" si="5"/>
        <v>80</v>
      </c>
      <c r="AK27" s="7" t="s">
        <v>95</v>
      </c>
      <c r="AL27" s="33">
        <f t="shared" si="6"/>
        <v>3.66</v>
      </c>
      <c r="AM27" s="7" t="s">
        <v>95</v>
      </c>
      <c r="AN27" s="7" t="s">
        <v>95</v>
      </c>
      <c r="AO27" s="7" t="s">
        <v>95</v>
      </c>
      <c r="AP27" s="7"/>
      <c r="AQ27" s="9">
        <f t="shared" si="7"/>
        <v>5</v>
      </c>
      <c r="AR27" s="7" t="s">
        <v>95</v>
      </c>
      <c r="AS27" s="9" t="s">
        <v>128</v>
      </c>
      <c r="AT27" s="40" t="b">
        <f t="shared" si="8"/>
        <v>0</v>
      </c>
      <c r="AU27" s="2">
        <f t="shared" si="9"/>
        <v>80</v>
      </c>
      <c r="AV27" s="2">
        <f t="shared" si="10"/>
        <v>1</v>
      </c>
      <c r="AW27" s="2" t="b">
        <f t="shared" si="11"/>
        <v>0</v>
      </c>
      <c r="AX27" s="26" t="str">
        <f t="shared" si="0"/>
        <v>N/A</v>
      </c>
      <c r="AY27" s="29">
        <f>IF(AW27,"",ImpliedVolatilityB76Future($E$9,AH27,AI27,AU27,AG27,AX27/AV27,AM27))</f>
        <v>0</v>
      </c>
      <c r="AZ27" s="26" t="str">
        <f t="shared" si="45"/>
        <v>N/A</v>
      </c>
      <c r="BA27" s="26" t="str">
        <f t="shared" si="45"/>
        <v>N/A</v>
      </c>
      <c r="BB27" s="26" t="str">
        <f t="shared" si="45"/>
        <v>N/A</v>
      </c>
      <c r="BC27" s="1">
        <f t="shared" si="13"/>
        <v>3.66</v>
      </c>
      <c r="BD27" s="26">
        <v>0</v>
      </c>
      <c r="BE27" s="26">
        <v>0</v>
      </c>
      <c r="BF27" s="26">
        <v>0</v>
      </c>
      <c r="BG27" s="26">
        <v>0</v>
      </c>
      <c r="BH27" s="26">
        <v>0</v>
      </c>
      <c r="BI27" s="46">
        <f>-AL27*AQ27</f>
        <v>-18.3</v>
      </c>
      <c r="BJ27" s="46">
        <v>0</v>
      </c>
      <c r="BK27" s="46">
        <f t="shared" si="16"/>
        <v>0</v>
      </c>
      <c r="BL27" s="46"/>
      <c r="BM27" s="46">
        <v>0</v>
      </c>
      <c r="BN27" s="46">
        <f>BI27+BL27+BM27</f>
        <v>-18.3</v>
      </c>
      <c r="BO27" s="46">
        <f>BK27</f>
        <v>0</v>
      </c>
      <c r="BP27" s="46">
        <f>BN27+BO27</f>
        <v>-18.3</v>
      </c>
      <c r="BQ27" s="46">
        <f>BL27+BI27+BM27</f>
        <v>-18.3</v>
      </c>
      <c r="BR27" s="46">
        <f>BK27</f>
        <v>0</v>
      </c>
      <c r="BS27" s="46">
        <f>BQ27+BR27</f>
        <v>-18.3</v>
      </c>
      <c r="BT27" s="24">
        <v>0</v>
      </c>
      <c r="BU27" s="45">
        <f t="shared" si="46"/>
        <v>0</v>
      </c>
      <c r="BV27" s="45">
        <f t="shared" si="46"/>
        <v>0</v>
      </c>
      <c r="BW27" s="45" t="e">
        <f t="shared" si="46"/>
        <v>#VALUE!</v>
      </c>
      <c r="BX27" s="45">
        <f>QaAssert(H27,AJ27)</f>
        <v>0</v>
      </c>
      <c r="BY27" s="41">
        <f>QaAssert(T27,AY27)</f>
        <v>0</v>
      </c>
      <c r="BZ27" s="11">
        <f>QaAssert(L27,BC27)</f>
        <v>0</v>
      </c>
      <c r="CA27" s="3">
        <f>QaAssert(M27,BI27)</f>
        <v>0</v>
      </c>
      <c r="CB27" s="3">
        <f t="shared" si="47"/>
        <v>0</v>
      </c>
      <c r="CC27" s="3">
        <f t="shared" si="47"/>
        <v>0</v>
      </c>
      <c r="CD27" s="3">
        <f t="shared" si="47"/>
        <v>0</v>
      </c>
      <c r="CE27" s="3">
        <f t="shared" si="48"/>
        <v>0</v>
      </c>
      <c r="CF27" s="3">
        <f t="shared" si="48"/>
        <v>0</v>
      </c>
      <c r="CG27" s="3">
        <f t="shared" si="48"/>
        <v>0</v>
      </c>
      <c r="CH27" s="3">
        <f t="shared" si="48"/>
        <v>0</v>
      </c>
      <c r="CI27" s="3">
        <f t="shared" si="48"/>
        <v>0</v>
      </c>
      <c r="CJ27" s="3">
        <f t="shared" si="48"/>
        <v>0</v>
      </c>
      <c r="CK27" s="3">
        <f t="shared" si="49"/>
        <v>0</v>
      </c>
      <c r="CL27" s="3">
        <f t="shared" si="49"/>
        <v>0</v>
      </c>
      <c r="CM27" s="3">
        <f t="shared" si="49"/>
        <v>0</v>
      </c>
      <c r="CN27" s="3">
        <f>QaAssert(S27,BH27)</f>
        <v>0</v>
      </c>
      <c r="CO27" s="3">
        <f>QaAssert(R27,BG27)</f>
        <v>0</v>
      </c>
    </row>
    <row r="28" spans="2:94" x14ac:dyDescent="0.25">
      <c r="B28" s="34"/>
      <c r="C28" s="34"/>
      <c r="D28" s="34"/>
      <c r="E28" s="47"/>
      <c r="F28" s="47"/>
      <c r="G28" s="47"/>
      <c r="H28" s="34"/>
      <c r="I28" s="34"/>
      <c r="J28" s="34"/>
      <c r="K28" s="34"/>
      <c r="L28" s="34"/>
      <c r="M28" s="34"/>
      <c r="N28" s="34"/>
      <c r="O28" s="34"/>
      <c r="P28" s="34"/>
      <c r="Q28" s="34"/>
      <c r="R28" s="48"/>
      <c r="S28" s="34"/>
      <c r="T28" s="49"/>
      <c r="U28" s="34"/>
      <c r="V28" s="34"/>
      <c r="W28" s="34"/>
      <c r="X28" s="34"/>
      <c r="Y28" s="34"/>
      <c r="Z28" s="34"/>
      <c r="AA28" s="34"/>
      <c r="AB28" s="34"/>
      <c r="AC28" s="34"/>
      <c r="BD28" s="23"/>
      <c r="BU28" s="52"/>
      <c r="BV28" s="52"/>
      <c r="BW28" s="52"/>
      <c r="BX28" s="52"/>
      <c r="BY28" s="53"/>
      <c r="BZ28" s="54"/>
      <c r="CA28" s="55"/>
      <c r="CB28" s="55"/>
      <c r="CC28" s="55"/>
      <c r="CD28" s="55"/>
      <c r="CE28" s="55"/>
      <c r="CF28" s="55"/>
      <c r="CG28" s="55"/>
      <c r="CH28" s="55"/>
      <c r="CI28" s="55"/>
      <c r="CJ28" s="55"/>
      <c r="CK28" s="55"/>
      <c r="CL28" s="55"/>
      <c r="CM28" s="55"/>
      <c r="CN28" s="55"/>
      <c r="CO28" s="55"/>
    </row>
    <row r="29" spans="2:94" ht="15" customHeight="1" x14ac:dyDescent="0.25">
      <c r="BD29" s="23"/>
      <c r="BU29" s="52"/>
      <c r="BV29" s="52"/>
      <c r="BW29" s="52"/>
      <c r="BX29" s="52"/>
      <c r="BY29" s="53"/>
      <c r="BZ29" s="54"/>
      <c r="CA29" s="55"/>
      <c r="CB29" s="55"/>
      <c r="CC29" s="55"/>
      <c r="CD29" s="55"/>
      <c r="CE29" s="55"/>
      <c r="CF29" s="55"/>
      <c r="CG29" s="55"/>
      <c r="CH29" s="55"/>
      <c r="CI29" s="55"/>
      <c r="CJ29" s="55"/>
      <c r="CK29" s="55"/>
      <c r="CL29" s="55"/>
      <c r="CM29" s="55"/>
      <c r="CN29" s="55"/>
      <c r="CO29" s="55"/>
    </row>
    <row r="30" spans="2:94" x14ac:dyDescent="0.25">
      <c r="AI30" s="22"/>
      <c r="AJ30" s="22"/>
    </row>
  </sheetData>
  <pageMargins left="0.7" right="0.7" top="0.75" bottom="0.75" header="0.3" footer="0.3"/>
  <pageSetup paperSize="9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7"/>
  <dimension ref="B1:CP30"/>
  <sheetViews>
    <sheetView zoomScaleNormal="100" workbookViewId="0">
      <selection activeCell="D10" sqref="D10:H11"/>
    </sheetView>
  </sheetViews>
  <sheetFormatPr baseColWidth="10" defaultColWidth="11.42578125" defaultRowHeight="15" x14ac:dyDescent="0.25"/>
  <cols>
    <col min="1" max="1" width="11.42578125" style="32"/>
    <col min="2" max="3" width="15.140625" style="32" bestFit="1" customWidth="1"/>
    <col min="4" max="4" width="27.42578125" style="32" bestFit="1" customWidth="1"/>
    <col min="5" max="5" width="11.42578125" style="32"/>
    <col min="6" max="6" width="22.85546875" style="32" customWidth="1"/>
    <col min="7" max="7" width="23.5703125" style="32" bestFit="1" customWidth="1"/>
    <col min="8" max="19" width="11.42578125" style="32"/>
    <col min="20" max="20" width="14" style="32" customWidth="1"/>
    <col min="21" max="28" width="11.42578125" style="32"/>
    <col min="29" max="29" width="12" style="32" bestFit="1" customWidth="1"/>
    <col min="30" max="34" width="12" style="32" customWidth="1"/>
    <col min="35" max="35" width="19.42578125" style="32" bestFit="1" customWidth="1"/>
    <col min="36" max="36" width="19.42578125" style="32" customWidth="1"/>
    <col min="37" max="37" width="15.42578125" style="32" bestFit="1" customWidth="1"/>
    <col min="38" max="38" width="29.85546875" style="32" customWidth="1"/>
    <col min="39" max="39" width="19.42578125" style="32" bestFit="1" customWidth="1"/>
    <col min="40" max="40" width="19" style="32" bestFit="1" customWidth="1"/>
    <col min="41" max="41" width="19.28515625" style="32" bestFit="1" customWidth="1"/>
    <col min="42" max="42" width="9.28515625" style="32" bestFit="1" customWidth="1"/>
    <col min="43" max="43" width="9.28515625" style="32" customWidth="1"/>
    <col min="44" max="44" width="11.42578125" style="32"/>
    <col min="45" max="45" width="18.28515625" style="32" bestFit="1" customWidth="1"/>
    <col min="46" max="46" width="12.28515625" style="32" bestFit="1" customWidth="1"/>
    <col min="47" max="47" width="18.42578125" style="32" bestFit="1" customWidth="1"/>
    <col min="48" max="48" width="12" style="32" bestFit="1" customWidth="1"/>
    <col min="49" max="49" width="11.42578125" style="32"/>
    <col min="50" max="50" width="16.5703125" style="32" bestFit="1" customWidth="1"/>
    <col min="51" max="51" width="16.5703125" style="32" customWidth="1"/>
    <col min="52" max="52" width="11.42578125" style="32"/>
    <col min="53" max="53" width="14.7109375" style="32" bestFit="1" customWidth="1"/>
    <col min="54" max="54" width="16.42578125" style="32" bestFit="1" customWidth="1"/>
    <col min="55" max="55" width="13.5703125" style="32" bestFit="1" customWidth="1"/>
    <col min="56" max="56" width="13.28515625" style="32" bestFit="1" customWidth="1"/>
    <col min="57" max="57" width="12.5703125" style="32" bestFit="1" customWidth="1"/>
    <col min="58" max="58" width="13.7109375" style="32" bestFit="1" customWidth="1"/>
    <col min="59" max="59" width="13.42578125" style="32" bestFit="1" customWidth="1"/>
    <col min="60" max="60" width="15.5703125" style="32" customWidth="1"/>
    <col min="61" max="61" width="16.42578125" style="32" bestFit="1" customWidth="1"/>
    <col min="62" max="65" width="11.42578125" style="32"/>
    <col min="66" max="66" width="14.5703125" style="32" customWidth="1"/>
    <col min="67" max="71" width="11.42578125" style="32"/>
    <col min="72" max="72" width="13.28515625" style="32" bestFit="1" customWidth="1"/>
    <col min="73" max="75" width="13.28515625" style="32" customWidth="1"/>
    <col min="76" max="76" width="10.42578125" style="32" bestFit="1" customWidth="1"/>
    <col min="77" max="77" width="13.5703125" style="32" bestFit="1" customWidth="1"/>
    <col min="78" max="78" width="14.28515625" style="32" bestFit="1" customWidth="1"/>
    <col min="79" max="79" width="15" style="32" bestFit="1" customWidth="1"/>
    <col min="80" max="80" width="12.7109375" style="32" bestFit="1" customWidth="1"/>
    <col min="81" max="83" width="11.42578125" style="32"/>
    <col min="84" max="84" width="14.85546875" style="32" bestFit="1" customWidth="1"/>
    <col min="85" max="85" width="17.140625" style="32" bestFit="1" customWidth="1"/>
    <col min="86" max="16384" width="11.42578125" style="32"/>
  </cols>
  <sheetData>
    <row r="1" spans="2:94" x14ac:dyDescent="0.25">
      <c r="AS1" s="34"/>
      <c r="AT1" s="34"/>
      <c r="AU1" s="34"/>
      <c r="AV1" s="34"/>
      <c r="AW1" s="34"/>
    </row>
    <row r="2" spans="2:94" ht="13.5" customHeight="1" x14ac:dyDescent="0.25">
      <c r="F2" s="23"/>
      <c r="AS2" s="34"/>
      <c r="AT2" s="34"/>
      <c r="AU2" s="34"/>
      <c r="AV2" s="34"/>
      <c r="AW2" s="34"/>
    </row>
    <row r="3" spans="2:94" x14ac:dyDescent="0.25">
      <c r="D3" s="5" t="s">
        <v>67</v>
      </c>
      <c r="F3" s="23"/>
      <c r="AI3" s="13"/>
      <c r="AJ3" s="13"/>
      <c r="AS3" s="34"/>
      <c r="AT3" s="34"/>
      <c r="AU3" s="34"/>
      <c r="AV3" s="34"/>
      <c r="AW3" s="34"/>
    </row>
    <row r="4" spans="2:94" x14ac:dyDescent="0.25">
      <c r="D4" s="7" t="s">
        <v>63</v>
      </c>
      <c r="F4" s="23"/>
      <c r="AS4" s="21"/>
      <c r="AT4" s="21"/>
      <c r="AU4" s="21"/>
      <c r="AV4" s="21"/>
      <c r="AW4" s="21"/>
    </row>
    <row r="5" spans="2:94" x14ac:dyDescent="0.25">
      <c r="D5" s="2" t="s">
        <v>65</v>
      </c>
      <c r="F5" s="23"/>
      <c r="AS5" s="21"/>
      <c r="AT5" s="21"/>
      <c r="AU5" s="21"/>
      <c r="AV5" s="21"/>
      <c r="AW5" s="21"/>
    </row>
    <row r="6" spans="2:94" x14ac:dyDescent="0.25">
      <c r="D6" s="4" t="s">
        <v>66</v>
      </c>
      <c r="F6" s="23"/>
    </row>
    <row r="7" spans="2:94" x14ac:dyDescent="0.25">
      <c r="D7" s="21"/>
      <c r="F7" s="23"/>
    </row>
    <row r="8" spans="2:94" ht="93" customHeight="1" x14ac:dyDescent="0.25">
      <c r="D8" s="32" t="s">
        <v>62</v>
      </c>
      <c r="E8" s="12" t="s">
        <v>140</v>
      </c>
      <c r="F8" s="23"/>
      <c r="AI8" s="22"/>
      <c r="AJ8" s="22"/>
    </row>
    <row r="9" spans="2:94" x14ac:dyDescent="0.25">
      <c r="D9" s="32" t="s">
        <v>64</v>
      </c>
      <c r="E9" s="23">
        <v>40862</v>
      </c>
      <c r="F9" s="23"/>
      <c r="AT9" s="32">
        <f>EXP(-AM15*TimeToExpiry($E$9,AG15))</f>
        <v>0.99990626871461874</v>
      </c>
    </row>
    <row r="10" spans="2:94" x14ac:dyDescent="0.25">
      <c r="D10" s="21" t="s">
        <v>141</v>
      </c>
      <c r="E10" s="32">
        <v>0.73307563081571603</v>
      </c>
      <c r="F10" s="22"/>
      <c r="G10" s="32" t="s">
        <v>143</v>
      </c>
      <c r="H10" s="32">
        <v>0.74429940043643505</v>
      </c>
      <c r="AT10" s="32">
        <f>(AI15-AU15)*AT9*AV15</f>
        <v>33.211886715356059</v>
      </c>
    </row>
    <row r="11" spans="2:94" x14ac:dyDescent="0.25">
      <c r="D11" s="21" t="s">
        <v>142</v>
      </c>
      <c r="E11" s="32">
        <v>0.692520772879059</v>
      </c>
    </row>
    <row r="12" spans="2:94" x14ac:dyDescent="0.25">
      <c r="B12" s="14" t="s">
        <v>8</v>
      </c>
      <c r="C12" s="14" t="s">
        <v>17</v>
      </c>
      <c r="D12" s="14" t="s">
        <v>9</v>
      </c>
      <c r="E12" s="14" t="s">
        <v>10</v>
      </c>
      <c r="F12" s="14" t="s">
        <v>11</v>
      </c>
      <c r="G12" s="14" t="s">
        <v>1</v>
      </c>
      <c r="H12" s="14" t="s">
        <v>2</v>
      </c>
      <c r="I12" s="14" t="s">
        <v>12</v>
      </c>
      <c r="J12" s="14" t="s">
        <v>13</v>
      </c>
      <c r="K12" s="14" t="s">
        <v>0</v>
      </c>
      <c r="L12" s="14" t="s">
        <v>14</v>
      </c>
      <c r="M12" s="14" t="s">
        <v>15</v>
      </c>
      <c r="N12" s="14" t="s">
        <v>16</v>
      </c>
      <c r="O12" s="14" t="s">
        <v>18</v>
      </c>
      <c r="P12" s="14" t="s">
        <v>19</v>
      </c>
      <c r="Q12" s="14" t="s">
        <v>20</v>
      </c>
      <c r="R12" s="14" t="s">
        <v>6</v>
      </c>
      <c r="S12" s="14" t="s">
        <v>7</v>
      </c>
      <c r="T12" s="14" t="s">
        <v>4</v>
      </c>
      <c r="U12" s="14" t="s">
        <v>21</v>
      </c>
      <c r="V12" s="14" t="s">
        <v>22</v>
      </c>
      <c r="W12" s="14" t="s">
        <v>23</v>
      </c>
      <c r="X12" s="14" t="s">
        <v>24</v>
      </c>
      <c r="Y12" s="14" t="s">
        <v>25</v>
      </c>
      <c r="Z12" s="14" t="s">
        <v>26</v>
      </c>
      <c r="AA12" s="14" t="s">
        <v>27</v>
      </c>
      <c r="AB12" s="14" t="s">
        <v>28</v>
      </c>
      <c r="AC12" s="14" t="s">
        <v>29</v>
      </c>
      <c r="AD12" s="36" t="s">
        <v>88</v>
      </c>
      <c r="AE12" s="36" t="s">
        <v>10</v>
      </c>
      <c r="AF12" s="36" t="s">
        <v>11</v>
      </c>
      <c r="AG12" s="36" t="s">
        <v>84</v>
      </c>
      <c r="AH12" s="36" t="s">
        <v>31</v>
      </c>
      <c r="AI12" s="36" t="s">
        <v>32</v>
      </c>
      <c r="AJ12" s="36" t="s">
        <v>2</v>
      </c>
      <c r="AK12" s="36" t="s">
        <v>83</v>
      </c>
      <c r="AL12" s="36" t="s">
        <v>87</v>
      </c>
      <c r="AM12" s="6" t="s">
        <v>5</v>
      </c>
      <c r="AN12" s="36" t="s">
        <v>75</v>
      </c>
      <c r="AO12" s="36" t="s">
        <v>76</v>
      </c>
      <c r="AP12" s="36" t="s">
        <v>77</v>
      </c>
      <c r="AQ12" s="36" t="s">
        <v>86</v>
      </c>
      <c r="AR12" s="36" t="s">
        <v>78</v>
      </c>
      <c r="AS12" s="36" t="s">
        <v>89</v>
      </c>
      <c r="AT12" s="38" t="s">
        <v>80</v>
      </c>
      <c r="AU12" s="39" t="s">
        <v>81</v>
      </c>
      <c r="AV12" s="39" t="s">
        <v>79</v>
      </c>
      <c r="AW12" s="39" t="s">
        <v>82</v>
      </c>
      <c r="AX12" s="39" t="s">
        <v>83</v>
      </c>
      <c r="AY12" s="8" t="s">
        <v>94</v>
      </c>
      <c r="AZ12" s="1" t="s">
        <v>30</v>
      </c>
      <c r="BA12" s="1" t="s">
        <v>74</v>
      </c>
      <c r="BB12" s="1" t="s">
        <v>85</v>
      </c>
      <c r="BC12" s="1" t="s">
        <v>71</v>
      </c>
      <c r="BD12" s="30" t="s">
        <v>33</v>
      </c>
      <c r="BE12" s="30" t="s">
        <v>34</v>
      </c>
      <c r="BF12" s="30" t="s">
        <v>35</v>
      </c>
      <c r="BG12" s="30" t="s">
        <v>36</v>
      </c>
      <c r="BH12" s="30" t="s">
        <v>37</v>
      </c>
      <c r="BI12" s="10" t="s">
        <v>38</v>
      </c>
      <c r="BJ12" s="10" t="s">
        <v>39</v>
      </c>
      <c r="BK12" s="10" t="s">
        <v>40</v>
      </c>
      <c r="BL12" s="10" t="s">
        <v>41</v>
      </c>
      <c r="BM12" s="10" t="s">
        <v>139</v>
      </c>
      <c r="BN12" s="10" t="s">
        <v>42</v>
      </c>
      <c r="BO12" s="10" t="s">
        <v>43</v>
      </c>
      <c r="BP12" s="10" t="s">
        <v>44</v>
      </c>
      <c r="BQ12" s="10" t="s">
        <v>45</v>
      </c>
      <c r="BR12" s="10" t="s">
        <v>46</v>
      </c>
      <c r="BS12" s="10" t="s">
        <v>47</v>
      </c>
      <c r="BT12" s="10" t="s">
        <v>72</v>
      </c>
      <c r="BU12" s="44" t="s">
        <v>90</v>
      </c>
      <c r="BV12" s="44" t="s">
        <v>91</v>
      </c>
      <c r="BW12" s="44" t="s">
        <v>92</v>
      </c>
      <c r="BX12" s="44" t="s">
        <v>93</v>
      </c>
      <c r="BY12" s="11" t="s">
        <v>73</v>
      </c>
      <c r="BZ12" s="11" t="s">
        <v>57</v>
      </c>
      <c r="CA12" s="11" t="s">
        <v>48</v>
      </c>
      <c r="CB12" s="11" t="s">
        <v>49</v>
      </c>
      <c r="CC12" s="11" t="s">
        <v>50</v>
      </c>
      <c r="CD12" s="11" t="s">
        <v>58</v>
      </c>
      <c r="CE12" s="11" t="s">
        <v>51</v>
      </c>
      <c r="CF12" s="11" t="s">
        <v>52</v>
      </c>
      <c r="CG12" s="11" t="s">
        <v>53</v>
      </c>
      <c r="CH12" s="11" t="s">
        <v>54</v>
      </c>
      <c r="CI12" s="11" t="s">
        <v>55</v>
      </c>
      <c r="CJ12" s="11" t="s">
        <v>56</v>
      </c>
      <c r="CK12" s="11" t="s">
        <v>69</v>
      </c>
      <c r="CL12" s="11" t="s">
        <v>59</v>
      </c>
      <c r="CM12" s="11" t="s">
        <v>70</v>
      </c>
      <c r="CN12" s="11" t="s">
        <v>60</v>
      </c>
      <c r="CO12" s="11" t="s">
        <v>61</v>
      </c>
    </row>
    <row r="13" spans="2:94" x14ac:dyDescent="0.25">
      <c r="B13" s="14" t="s">
        <v>97</v>
      </c>
      <c r="C13" s="14" t="s">
        <v>98</v>
      </c>
      <c r="D13" s="14" t="s">
        <v>99</v>
      </c>
      <c r="E13" s="15">
        <v>40848</v>
      </c>
      <c r="F13" s="15">
        <v>40877</v>
      </c>
      <c r="G13" s="28" t="s">
        <v>100</v>
      </c>
      <c r="H13" s="14">
        <v>130</v>
      </c>
      <c r="I13" s="14" t="s">
        <v>3</v>
      </c>
      <c r="J13" s="14">
        <v>5000</v>
      </c>
      <c r="K13" s="14">
        <v>720</v>
      </c>
      <c r="L13" s="14">
        <v>2.5346260287373599</v>
      </c>
      <c r="M13" s="14">
        <v>-12673.1301436868</v>
      </c>
      <c r="N13" s="14">
        <v>0.73307563081571703</v>
      </c>
      <c r="O13" s="14">
        <v>8.5658409636628297E-2</v>
      </c>
      <c r="P13" s="14">
        <v>5.3589739602808604E-3</v>
      </c>
      <c r="Q13" s="14">
        <v>3.13340952506113</v>
      </c>
      <c r="R13" s="16">
        <v>-0.100212585545483</v>
      </c>
      <c r="S13" s="14">
        <v>-4.3835616406646301E-2</v>
      </c>
      <c r="T13" s="31">
        <v>1.0234826251860201</v>
      </c>
      <c r="U13" s="14">
        <v>3665.3781540785799</v>
      </c>
      <c r="V13" s="14">
        <v>3665.3781540785799</v>
      </c>
      <c r="W13" s="14">
        <v>0</v>
      </c>
      <c r="X13" s="14">
        <v>-12673.1301436868</v>
      </c>
      <c r="Y13" s="14">
        <v>3665.3781540785799</v>
      </c>
      <c r="Z13" s="14">
        <v>-9007.7519896081994</v>
      </c>
      <c r="AA13" s="14">
        <v>-12673.1301436868</v>
      </c>
      <c r="AB13" s="14">
        <v>3665.3781540785799</v>
      </c>
      <c r="AC13" s="14">
        <v>-9007.7519896081994</v>
      </c>
      <c r="AD13" s="37">
        <v>40182</v>
      </c>
      <c r="AE13" s="37">
        <f>E13</f>
        <v>40848</v>
      </c>
      <c r="AF13" s="37">
        <f>F13</f>
        <v>40877</v>
      </c>
      <c r="AG13" s="37">
        <f>AF13</f>
        <v>40877</v>
      </c>
      <c r="AH13" s="9" t="s">
        <v>68</v>
      </c>
      <c r="AI13" s="9">
        <v>114.16</v>
      </c>
      <c r="AJ13" s="33">
        <f>H13</f>
        <v>130</v>
      </c>
      <c r="AK13" s="9">
        <v>1</v>
      </c>
      <c r="AL13" s="57">
        <f>3.66</f>
        <v>3.66</v>
      </c>
      <c r="AM13" s="9">
        <v>2.1383451642447899E-3</v>
      </c>
      <c r="AN13" s="9">
        <f>COUNT('Historic settlement prices'!B3:B16)</f>
        <v>10</v>
      </c>
      <c r="AO13" s="9">
        <v>12</v>
      </c>
      <c r="AP13" s="9">
        <f>AN13+AO13</f>
        <v>22</v>
      </c>
      <c r="AQ13" s="9">
        <f>J13</f>
        <v>5000</v>
      </c>
      <c r="AR13" s="9">
        <f>AVERAGE('Historic settlement prices'!$B$3:$B$16)</f>
        <v>112.08099999999999</v>
      </c>
      <c r="AS13" s="9" t="s">
        <v>121</v>
      </c>
      <c r="AT13" s="40" t="b">
        <f>AND(AE13&lt;=E$9,AF13&gt;=E$9)</f>
        <v>1</v>
      </c>
      <c r="AU13" s="2">
        <f>IF(AT13,(AP13/AO13)*AJ13-(AN13/AO13*AR13),AJ13)</f>
        <v>144.9325</v>
      </c>
      <c r="AV13" s="2">
        <f>IF(AP13="",1,AO13/AP13)</f>
        <v>0.54545454545454541</v>
      </c>
      <c r="AW13" s="2" t="b">
        <f>AU13&lt;0</f>
        <v>0</v>
      </c>
      <c r="AX13" s="26">
        <f t="shared" ref="AX13:AX27" si="0">AK13</f>
        <v>1</v>
      </c>
      <c r="AY13" s="29">
        <f>IF(AW13,"",ImpliedVolatilityB76Future($E$9,AH13,AI13,AU13,AG13,AX13/AV13,AM13))</f>
        <v>1.0234826236505254</v>
      </c>
      <c r="AZ13" s="26">
        <f>AX13</f>
        <v>1</v>
      </c>
      <c r="BA13" s="30">
        <f>IF(AW13,EXP(-TimeToExpiry($E$9,AG13)*AM13)*(AI13-AU13)*AV13,B76Future($E$9,AH13,AI13,AU13,AG13,AY13,AM13)*AV13)</f>
        <v>0.99999999999999978</v>
      </c>
      <c r="BB13" s="27">
        <f>IF(AW13,EXP(-AM13*TimeToExpiry($E$9,AG13))*(AI13-AU13)*AV13,B76Future($E$9,AH13,AI13,AU13,AG13,T13,AM13)*AV13)</f>
        <v>1.0000000048113351</v>
      </c>
      <c r="BC13" s="1">
        <f>AL13*$E$11</f>
        <v>2.5346260287373559</v>
      </c>
      <c r="BD13" s="30">
        <f>IF(AW13,EXP(-TimeToExpiry($E$9,AG13)*AM13)*AV13, B76Delta($E$9,AH13,AI13,AU13,AG13,AY13,AM13)*AV13)</f>
        <v>8.565840944293629E-2</v>
      </c>
      <c r="BE13" s="30">
        <f>IF(AW13,0,B76Gamma($E$9,AH13,AI13,AU13,AG13,T13,AM13)*AV13)</f>
        <v>5.3589739607244205E-3</v>
      </c>
      <c r="BF13" s="30">
        <f>IF(AW13,0,B76Vega($E$9,AH13,AI13,AU13,AG13,T13,AM13)*AV13)</f>
        <v>3.1334095275871277</v>
      </c>
      <c r="BG13" s="30">
        <f>IF(AW13,(EXP(-TimeToExpiry($E$9,AG13)*AM13)*(AI13-AU13)*AV13*AM13/365),B76Theta($E$9,AH13,AI13,AU13,AG13,AY13,AM13)*AV13)</f>
        <v>-0.10021258521863528</v>
      </c>
      <c r="BH13" s="30">
        <f>IF(AW13,(EXP(-TimeToExpiry($E$9,AG13)*AM13)*(AI13-AU13)*AV13*-TimeToExpiry($E$9,AG13)),B76Rho($E$9,AH13,AI13,AU13,AG13,T13,AM13)*AV13)</f>
        <v>-4.3835616649264005E-2</v>
      </c>
      <c r="BI13" s="46">
        <f>-AL13*AQ13*$E$11</f>
        <v>-12673.13014368678</v>
      </c>
      <c r="BJ13" s="46">
        <f>AX13*AQ13*$E$10</f>
        <v>3665.3781540785803</v>
      </c>
      <c r="BK13" s="46">
        <f>BJ13</f>
        <v>3665.3781540785803</v>
      </c>
      <c r="BL13" s="46"/>
      <c r="BM13" s="46"/>
      <c r="BN13" s="46">
        <f>BI13+BL13</f>
        <v>-12673.13014368678</v>
      </c>
      <c r="BO13" s="46">
        <f>BK13</f>
        <v>3665.3781540785803</v>
      </c>
      <c r="BP13" s="46">
        <f>BN13+BO13</f>
        <v>-9007.7519896081994</v>
      </c>
      <c r="BQ13" s="46">
        <f>BL13+BI13</f>
        <v>-12673.13014368678</v>
      </c>
      <c r="BR13" s="46">
        <f>BK13</f>
        <v>3665.3781540785803</v>
      </c>
      <c r="BS13" s="46">
        <f>BQ13+BR13</f>
        <v>-9007.7519896081994</v>
      </c>
      <c r="BT13" s="24">
        <f>BD13*AQ13</f>
        <v>428.29204721468147</v>
      </c>
      <c r="BU13" s="45">
        <f>QaAssert(E13,AE13)</f>
        <v>0</v>
      </c>
      <c r="BV13" s="45">
        <f>QaAssert(F13,AF13)</f>
        <v>0</v>
      </c>
      <c r="BW13" s="45" t="e">
        <f>QaAssert(G13,AG13)</f>
        <v>#VALUE!</v>
      </c>
      <c r="BX13" s="45">
        <f>QaAssert(H13,AJ13)</f>
        <v>0</v>
      </c>
      <c r="BY13" s="41">
        <f>QaAssert(T13,AY13)</f>
        <v>0</v>
      </c>
      <c r="BZ13" s="11">
        <f>QaAssert(L13,BC13)</f>
        <v>0</v>
      </c>
      <c r="CA13" s="3">
        <f>QaAssert(M13,BI13)</f>
        <v>0</v>
      </c>
      <c r="CB13" s="3">
        <f>QaAssert(U13,BJ13)</f>
        <v>0</v>
      </c>
      <c r="CC13" s="3">
        <f>QaAssert(V13,BK13)</f>
        <v>0</v>
      </c>
      <c r="CD13" s="3">
        <f>QaAssert(W13,BL13)</f>
        <v>0</v>
      </c>
      <c r="CE13" s="3">
        <f t="shared" ref="CE13:CJ13" si="1">QaAssert(X13,BN13)</f>
        <v>0</v>
      </c>
      <c r="CF13" s="3">
        <f t="shared" si="1"/>
        <v>0</v>
      </c>
      <c r="CG13" s="3">
        <f t="shared" si="1"/>
        <v>0</v>
      </c>
      <c r="CH13" s="3">
        <f t="shared" si="1"/>
        <v>0</v>
      </c>
      <c r="CI13" s="3">
        <f t="shared" si="1"/>
        <v>0</v>
      </c>
      <c r="CJ13" s="3">
        <f t="shared" si="1"/>
        <v>0</v>
      </c>
      <c r="CK13" s="3">
        <f>QaAssert(O13,BD13)</f>
        <v>0</v>
      </c>
      <c r="CL13" s="3">
        <f>QaAssert(P13,BE13)</f>
        <v>0</v>
      </c>
      <c r="CM13" s="3">
        <f>QaAssert(Q13,BF13)</f>
        <v>0</v>
      </c>
      <c r="CN13" s="3">
        <f>QaAssert(S13,BH13)</f>
        <v>0</v>
      </c>
      <c r="CO13" s="3">
        <f>QaAssert(R13,BG13)</f>
        <v>0</v>
      </c>
      <c r="CP13" s="22"/>
    </row>
    <row r="14" spans="2:94" x14ac:dyDescent="0.25">
      <c r="B14" s="14" t="s">
        <v>97</v>
      </c>
      <c r="C14" s="14" t="s">
        <v>98</v>
      </c>
      <c r="D14" s="14" t="s">
        <v>101</v>
      </c>
      <c r="E14" s="15">
        <v>40848</v>
      </c>
      <c r="F14" s="15">
        <v>40877</v>
      </c>
      <c r="G14" s="28" t="s">
        <v>100</v>
      </c>
      <c r="H14" s="14">
        <v>130</v>
      </c>
      <c r="I14" s="14" t="s">
        <v>3</v>
      </c>
      <c r="J14" s="14">
        <v>5</v>
      </c>
      <c r="K14" s="14">
        <v>720</v>
      </c>
      <c r="L14" s="14">
        <v>2.5346260287373599</v>
      </c>
      <c r="M14" s="14">
        <v>-12.6731301436868</v>
      </c>
      <c r="N14" s="14">
        <v>14.661512616314299</v>
      </c>
      <c r="O14" s="14">
        <v>-0.38669908604312297</v>
      </c>
      <c r="P14" s="14">
        <v>4.9204407284714697E-3</v>
      </c>
      <c r="Q14" s="14">
        <v>4.4693751482086101</v>
      </c>
      <c r="R14" s="16">
        <v>-0.221950123528105</v>
      </c>
      <c r="S14" s="14">
        <v>-0.87671232813292799</v>
      </c>
      <c r="T14" s="31">
        <v>1.58996574224575</v>
      </c>
      <c r="U14" s="14">
        <v>73.307563081571701</v>
      </c>
      <c r="V14" s="14">
        <v>73.307563081571701</v>
      </c>
      <c r="W14" s="14">
        <v>0</v>
      </c>
      <c r="X14" s="14">
        <v>-12.6731301436868</v>
      </c>
      <c r="Y14" s="14">
        <v>73.307563081571701</v>
      </c>
      <c r="Z14" s="14">
        <v>60.634432937884903</v>
      </c>
      <c r="AA14" s="14">
        <v>-12.6731301436868</v>
      </c>
      <c r="AB14" s="14">
        <v>73.307563081571701</v>
      </c>
      <c r="AC14" s="14">
        <v>60.634432937884903</v>
      </c>
      <c r="AD14" s="37">
        <v>40182</v>
      </c>
      <c r="AE14" s="37">
        <f t="shared" ref="AE14:AF27" si="2">E14</f>
        <v>40848</v>
      </c>
      <c r="AF14" s="37">
        <f t="shared" si="2"/>
        <v>40877</v>
      </c>
      <c r="AG14" s="37">
        <f t="shared" ref="AG14:AG27" si="3">AF14</f>
        <v>40877</v>
      </c>
      <c r="AH14" s="9" t="s">
        <v>120</v>
      </c>
      <c r="AI14" s="9">
        <v>114.16</v>
      </c>
      <c r="AJ14" s="33">
        <f t="shared" ref="AJ14:AJ27" si="4">H14</f>
        <v>130</v>
      </c>
      <c r="AK14" s="7">
        <v>20</v>
      </c>
      <c r="AL14" s="57">
        <f t="shared" ref="AL14:AL21" si="5">3.66</f>
        <v>3.66</v>
      </c>
      <c r="AM14" s="7">
        <v>2.1383451642447899E-3</v>
      </c>
      <c r="AN14" s="7">
        <v>10</v>
      </c>
      <c r="AO14" s="7">
        <v>12</v>
      </c>
      <c r="AP14" s="9">
        <f>AN14+AO14</f>
        <v>22</v>
      </c>
      <c r="AQ14" s="9">
        <f t="shared" ref="AQ14:AQ27" si="6">J14</f>
        <v>5</v>
      </c>
      <c r="AR14" s="9">
        <f>AVERAGE('Historic settlement prices'!$B$3:$B$16)</f>
        <v>112.08099999999999</v>
      </c>
      <c r="AS14" s="9" t="s">
        <v>122</v>
      </c>
      <c r="AT14" s="40" t="b">
        <f t="shared" ref="AT14:AT27" si="7">AND(AE14&lt;=E$9,AF14&gt;=E$9)</f>
        <v>1</v>
      </c>
      <c r="AU14" s="2">
        <f t="shared" ref="AU14:AU27" si="8">IF(AT14,(AP14/AO14)*AJ14-(AN14/AO14*AR14),AJ14)</f>
        <v>144.9325</v>
      </c>
      <c r="AV14" s="2">
        <f t="shared" ref="AV14:AV27" si="9">IF(AP14="",1,AO14/AP14)</f>
        <v>0.54545454545454541</v>
      </c>
      <c r="AW14" s="2" t="b">
        <f t="shared" ref="AW14:AW27" si="10">AU14&lt;0</f>
        <v>0</v>
      </c>
      <c r="AX14" s="26">
        <f t="shared" si="0"/>
        <v>20</v>
      </c>
      <c r="AY14" s="29">
        <f>IF(AW14,"",ImpliedVolatilityB76Future($E$9,AH14,AI14,AU14,AG14,AX14/AV14,AM14))</f>
        <v>1.5899657409581822</v>
      </c>
      <c r="AZ14" s="26">
        <f t="shared" ref="AZ14:AZ22" si="11">AX14</f>
        <v>20</v>
      </c>
      <c r="BA14" s="30">
        <f>IF(AW14,EXP(-TimeToExpiry($E$9,AG14)*AM14)*(AI14-AU14)*AV14,B76Future($E$9,AH14,AI14,AU14,AG14,AY14,AM14)*AV14)</f>
        <v>20.000000000000004</v>
      </c>
      <c r="BB14" s="27">
        <f>IF(AW14,EXP(-AM14*TimeToExpiry($E$9,AG14))*(AI14-AU14)*AV14,B76Future($E$9,AH14,AI14,AU14,AG14,T14,AM14)*AV14)</f>
        <v>20.000000005754625</v>
      </c>
      <c r="BC14" s="1">
        <f t="shared" ref="BC14:BC27" si="12">AL14*$E$11</f>
        <v>2.5346260287373559</v>
      </c>
      <c r="BD14" s="30">
        <f>IF(AW14,EXP(-TimeToExpiry($E$9,AG14)*AM14)*AV14, B76Delta($E$9,AH14,AI14,AU14,AG14,AY14,AM14)*AV14)</f>
        <v>-0.38669908611732989</v>
      </c>
      <c r="BE14" s="30">
        <f>IF(AW14,0,B76Gamma($E$9,AH14,AI14,AU14,AG14,T14,AM14)*AV14)</f>
        <v>4.9204407275569547E-3</v>
      </c>
      <c r="BF14" s="30">
        <f>IF(AW14,0,B76Vega($E$9,AH14,AI14,AU14,AG14,T14,AM14)*AV14)</f>
        <v>4.4693751506109898</v>
      </c>
      <c r="BG14" s="30">
        <f>IF(AW14,(EXP(-TimeToExpiry($E$9,AG14)*AM14)*(AI14-AU14)*AV14*AM14/365),B76Theta($E$9,AH14,AI14,AU14,AG14,AY14,AM14)*AV14)</f>
        <v>-0.22195012321954374</v>
      </c>
      <c r="BH14" s="30">
        <f>IF(AW14,(EXP(-TimeToExpiry($E$9,AG14)*AM14)*(AI14-AU14)*AV14*-TimeToExpiry($E$9,AG14)),B76Rho($E$9,AH14,AI14,AU14,AG14,T14,AM14)*AV14)</f>
        <v>-0.8767123290193809</v>
      </c>
      <c r="BI14" s="46">
        <f t="shared" ref="BI14:BI27" si="13">-AL14*AQ14*$E$11</f>
        <v>-12.67313014368678</v>
      </c>
      <c r="BJ14" s="46">
        <f t="shared" ref="BJ14:BJ22" si="14">AX14*AQ14*$E$10</f>
        <v>73.307563081571601</v>
      </c>
      <c r="BK14" s="46">
        <f t="shared" ref="BK14:BK27" si="15">BJ14</f>
        <v>73.307563081571601</v>
      </c>
      <c r="BL14" s="46"/>
      <c r="BM14" s="46"/>
      <c r="BN14" s="46">
        <f t="shared" ref="BN14:BN23" si="16">BI14+BL14</f>
        <v>-12.67313014368678</v>
      </c>
      <c r="BO14" s="46">
        <f t="shared" ref="BO14:BO27" si="17">BK14</f>
        <v>73.307563081571601</v>
      </c>
      <c r="BP14" s="46">
        <f t="shared" ref="BP14:BP27" si="18">BN14+BO14</f>
        <v>60.634432937884824</v>
      </c>
      <c r="BQ14" s="46">
        <f t="shared" ref="BQ14:BQ23" si="19">BL14+BI14</f>
        <v>-12.67313014368678</v>
      </c>
      <c r="BR14" s="46">
        <f t="shared" ref="BR14:BR27" si="20">BK14</f>
        <v>73.307563081571601</v>
      </c>
      <c r="BS14" s="46">
        <f t="shared" ref="BS14:BS27" si="21">BQ14+BR14</f>
        <v>60.634432937884824</v>
      </c>
      <c r="BT14" s="24">
        <f t="shared" ref="BT14:BT22" si="22">BD14*AQ14</f>
        <v>-1.9334954305866494</v>
      </c>
      <c r="BU14" s="45">
        <f t="shared" ref="BU14:BU27" si="23">QaAssert(E14,AE14)</f>
        <v>0</v>
      </c>
      <c r="BV14" s="45">
        <f t="shared" ref="BV14:BV27" si="24">QaAssert(F14,AF14)</f>
        <v>0</v>
      </c>
      <c r="BW14" s="45" t="e">
        <f t="shared" ref="BW14:BW27" si="25">QaAssert(G14,AG14)</f>
        <v>#VALUE!</v>
      </c>
      <c r="BX14" s="45">
        <f t="shared" ref="BX14:BX27" si="26">QaAssert(H14,AJ14)</f>
        <v>0</v>
      </c>
      <c r="BY14" s="41">
        <f t="shared" ref="BY14:BY27" si="27">QaAssert(T14,AY14)</f>
        <v>0</v>
      </c>
      <c r="BZ14" s="11">
        <f t="shared" ref="BZ14:BZ27" si="28">QaAssert(L14,BC14)</f>
        <v>0</v>
      </c>
      <c r="CA14" s="3">
        <f t="shared" ref="CA14:CA27" si="29">QaAssert(M14,BI14)</f>
        <v>0</v>
      </c>
      <c r="CB14" s="3">
        <f t="shared" ref="CB14:CB27" si="30">QaAssert(U14,BJ14)</f>
        <v>0</v>
      </c>
      <c r="CC14" s="3">
        <f t="shared" ref="CC14:CC27" si="31">QaAssert(V14,BK14)</f>
        <v>0</v>
      </c>
      <c r="CD14" s="3">
        <f t="shared" ref="CD14:CD27" si="32">QaAssert(W14,BL14)</f>
        <v>0</v>
      </c>
      <c r="CE14" s="3">
        <f t="shared" ref="CE14:CE27" si="33">QaAssert(X14,BN14)</f>
        <v>0</v>
      </c>
      <c r="CF14" s="3">
        <f t="shared" ref="CF14:CF27" si="34">QaAssert(Y14,BO14)</f>
        <v>0</v>
      </c>
      <c r="CG14" s="3">
        <f t="shared" ref="CG14:CG27" si="35">QaAssert(Z14,BP14)</f>
        <v>0</v>
      </c>
      <c r="CH14" s="3">
        <f t="shared" ref="CH14:CH27" si="36">QaAssert(AA14,BQ14)</f>
        <v>0</v>
      </c>
      <c r="CI14" s="3">
        <f t="shared" ref="CI14:CI27" si="37">QaAssert(AB14,BR14)</f>
        <v>0</v>
      </c>
      <c r="CJ14" s="3">
        <f t="shared" ref="CJ14:CJ27" si="38">QaAssert(AC14,BS14)</f>
        <v>0</v>
      </c>
      <c r="CK14" s="3">
        <f t="shared" ref="CK14:CK27" si="39">QaAssert(O14,BD14)</f>
        <v>0</v>
      </c>
      <c r="CL14" s="3">
        <f t="shared" ref="CL14:CL27" si="40">QaAssert(P14,BE14)</f>
        <v>0</v>
      </c>
      <c r="CM14" s="3">
        <f t="shared" ref="CM14:CM27" si="41">QaAssert(Q14,BF14)</f>
        <v>0</v>
      </c>
      <c r="CN14" s="3">
        <f t="shared" ref="CN14:CN27" si="42">QaAssert(S14,BH14)</f>
        <v>0</v>
      </c>
      <c r="CO14" s="3">
        <f t="shared" ref="CO14:CO27" si="43">QaAssert(R14,BG14)</f>
        <v>0</v>
      </c>
      <c r="CP14" s="22"/>
    </row>
    <row r="15" spans="2:94" x14ac:dyDescent="0.25">
      <c r="B15" s="14" t="s">
        <v>97</v>
      </c>
      <c r="C15" s="14" t="s">
        <v>98</v>
      </c>
      <c r="D15" s="14" t="s">
        <v>102</v>
      </c>
      <c r="E15" s="15">
        <v>40848</v>
      </c>
      <c r="F15" s="15">
        <v>40877</v>
      </c>
      <c r="G15" s="28" t="s">
        <v>100</v>
      </c>
      <c r="H15" s="14">
        <v>80</v>
      </c>
      <c r="I15" s="14" t="s">
        <v>3</v>
      </c>
      <c r="J15" s="14">
        <v>5</v>
      </c>
      <c r="K15" s="14">
        <v>720</v>
      </c>
      <c r="L15" s="14">
        <v>2.5346260287373599</v>
      </c>
      <c r="M15" s="14">
        <v>-12.6731301436868</v>
      </c>
      <c r="N15" s="14">
        <v>28.589949601813</v>
      </c>
      <c r="O15" s="14">
        <v>0.487652047959512</v>
      </c>
      <c r="P15" s="14">
        <v>8.2255332527717895E-4</v>
      </c>
      <c r="Q15" s="14">
        <v>2.3848898398544298</v>
      </c>
      <c r="R15" s="16">
        <v>-0.37801161807490402</v>
      </c>
      <c r="S15" s="14">
        <v>-1.70958903985921</v>
      </c>
      <c r="T15" s="31">
        <v>5.0751539757903004</v>
      </c>
      <c r="U15" s="14">
        <v>142.94974800906499</v>
      </c>
      <c r="V15" s="14">
        <v>142.94974800906499</v>
      </c>
      <c r="W15" s="14">
        <v>0</v>
      </c>
      <c r="X15" s="14">
        <v>-12.6731301436868</v>
      </c>
      <c r="Y15" s="14">
        <v>142.94974800906499</v>
      </c>
      <c r="Z15" s="14">
        <v>130.276617865378</v>
      </c>
      <c r="AA15" s="14">
        <v>-12.6731301436868</v>
      </c>
      <c r="AB15" s="14">
        <v>142.94974800906499</v>
      </c>
      <c r="AC15" s="14">
        <v>130.276617865378</v>
      </c>
      <c r="AD15" s="37">
        <v>40182</v>
      </c>
      <c r="AE15" s="37">
        <f t="shared" si="2"/>
        <v>40848</v>
      </c>
      <c r="AF15" s="37">
        <f t="shared" si="2"/>
        <v>40877</v>
      </c>
      <c r="AG15" s="37">
        <f t="shared" si="3"/>
        <v>40877</v>
      </c>
      <c r="AH15" s="9" t="s">
        <v>68</v>
      </c>
      <c r="AI15" s="9">
        <v>114.16</v>
      </c>
      <c r="AJ15" s="33">
        <f t="shared" si="4"/>
        <v>80</v>
      </c>
      <c r="AK15" s="7">
        <v>39</v>
      </c>
      <c r="AL15" s="57">
        <f t="shared" si="5"/>
        <v>3.66</v>
      </c>
      <c r="AM15" s="7">
        <v>2.1383451642447899E-3</v>
      </c>
      <c r="AN15" s="7">
        <v>10</v>
      </c>
      <c r="AO15" s="7">
        <v>12</v>
      </c>
      <c r="AP15" s="9">
        <f>AN15+AO15</f>
        <v>22</v>
      </c>
      <c r="AQ15" s="9">
        <f t="shared" si="6"/>
        <v>5</v>
      </c>
      <c r="AR15" s="9">
        <f>AVERAGE('Historic settlement prices'!$B$3:$B$16)</f>
        <v>112.08099999999999</v>
      </c>
      <c r="AS15" s="9" t="s">
        <v>123</v>
      </c>
      <c r="AT15" s="40" t="b">
        <f t="shared" si="7"/>
        <v>1</v>
      </c>
      <c r="AU15" s="2">
        <f t="shared" si="8"/>
        <v>53.265833333333333</v>
      </c>
      <c r="AV15" s="2">
        <f t="shared" si="9"/>
        <v>0.54545454545454541</v>
      </c>
      <c r="AW15" s="2" t="b">
        <f t="shared" si="10"/>
        <v>0</v>
      </c>
      <c r="AX15" s="26">
        <f t="shared" si="0"/>
        <v>39</v>
      </c>
      <c r="AY15" s="56">
        <v>5.0751539757903004</v>
      </c>
      <c r="AZ15" s="26">
        <f t="shared" si="11"/>
        <v>39</v>
      </c>
      <c r="BA15" s="30">
        <f>IF(AW15,EXP(-TimeToExpiry($E$9,AG15)*AM15)*(AI15-AU15)*AV15,B76Future($E$9,AH15,AI15,AU15,AG15,AY15,AM15)*AV15)</f>
        <v>39.000000010715816</v>
      </c>
      <c r="BB15" s="27">
        <f>IF(AW15,EXP(-AM15*TimeToExpiry($E$9,AG15))*(AI15-AU15)*AV15,B76Future($E$9,AH15,AI15,AU15,AG15,T15,AM15)*AV15)</f>
        <v>39.000000010715816</v>
      </c>
      <c r="BC15" s="1">
        <f t="shared" si="12"/>
        <v>2.5346260287373559</v>
      </c>
      <c r="BD15" s="30">
        <f>IF(AW15,EXP(-TimeToExpiry($E$9,AG15)*AM15)*AV15, B76Delta($E$9,AH15,AI15,AU15,AG15,AY15,AM15)*AV15)</f>
        <v>0.48765204800839251</v>
      </c>
      <c r="BE15" s="30">
        <f>IF(AW15,0,B76Gamma($E$9,AH15,AI15,AU15,AG15,T15,AM15)*AV15)</f>
        <v>8.2255332504875577E-4</v>
      </c>
      <c r="BF15" s="30">
        <f>IF(AW15,0,B76Vega($E$9,AH15,AI15,AU15,AG15,T15,AM15)*AV15)</f>
        <v>2.3848898409173298</v>
      </c>
      <c r="BG15" s="30">
        <f>IF(AW15,(EXP(-TimeToExpiry($E$9,AG15)*AM15)*(AI15-AU15)*AV15*AM15/365),B76Theta($E$9,AH15,AI15,AU15,AG15,AY15,AM15)*AV15)</f>
        <v>-0.37801161796980398</v>
      </c>
      <c r="BH15" s="30">
        <f>IF(AW15,(EXP(-TimeToExpiry($E$9,AG15)*AM15)*(AI15-AU15)*AV15*-TimeToExpiry($E$9,AG15)),B76Rho($E$9,AH15,AI15,AU15,AG15,T15,AM15)*AV15)</f>
        <v>-1.7095890415656247</v>
      </c>
      <c r="BI15" s="46">
        <f t="shared" si="13"/>
        <v>-12.67313014368678</v>
      </c>
      <c r="BJ15" s="46">
        <f t="shared" si="14"/>
        <v>142.94974800906462</v>
      </c>
      <c r="BK15" s="46">
        <f t="shared" si="15"/>
        <v>142.94974800906462</v>
      </c>
      <c r="BL15" s="46"/>
      <c r="BM15" s="46"/>
      <c r="BN15" s="46">
        <f t="shared" si="16"/>
        <v>-12.67313014368678</v>
      </c>
      <c r="BO15" s="46">
        <f t="shared" si="17"/>
        <v>142.94974800906462</v>
      </c>
      <c r="BP15" s="46">
        <f t="shared" si="18"/>
        <v>130.27661786537783</v>
      </c>
      <c r="BQ15" s="46">
        <f t="shared" si="19"/>
        <v>-12.67313014368678</v>
      </c>
      <c r="BR15" s="46">
        <f t="shared" si="20"/>
        <v>142.94974800906462</v>
      </c>
      <c r="BS15" s="46">
        <f t="shared" si="21"/>
        <v>130.27661786537783</v>
      </c>
      <c r="BT15" s="24">
        <f t="shared" si="22"/>
        <v>2.4382602400419624</v>
      </c>
      <c r="BU15" s="45">
        <f t="shared" si="23"/>
        <v>0</v>
      </c>
      <c r="BV15" s="45">
        <f t="shared" si="24"/>
        <v>0</v>
      </c>
      <c r="BW15" s="45" t="e">
        <f t="shared" si="25"/>
        <v>#VALUE!</v>
      </c>
      <c r="BX15" s="45">
        <f t="shared" si="26"/>
        <v>0</v>
      </c>
      <c r="BY15" s="41">
        <f t="shared" si="27"/>
        <v>0</v>
      </c>
      <c r="BZ15" s="11">
        <f t="shared" si="28"/>
        <v>0</v>
      </c>
      <c r="CA15" s="3">
        <f t="shared" si="29"/>
        <v>0</v>
      </c>
      <c r="CB15" s="3">
        <f t="shared" si="30"/>
        <v>0</v>
      </c>
      <c r="CC15" s="3">
        <f t="shared" si="31"/>
        <v>0</v>
      </c>
      <c r="CD15" s="3">
        <f t="shared" si="32"/>
        <v>0</v>
      </c>
      <c r="CE15" s="3">
        <f t="shared" si="33"/>
        <v>0</v>
      </c>
      <c r="CF15" s="3">
        <f t="shared" si="34"/>
        <v>0</v>
      </c>
      <c r="CG15" s="3">
        <f t="shared" si="35"/>
        <v>0</v>
      </c>
      <c r="CH15" s="3">
        <f t="shared" si="36"/>
        <v>0</v>
      </c>
      <c r="CI15" s="3">
        <f t="shared" si="37"/>
        <v>0</v>
      </c>
      <c r="CJ15" s="3">
        <f t="shared" si="38"/>
        <v>0</v>
      </c>
      <c r="CK15" s="3">
        <f t="shared" si="39"/>
        <v>0</v>
      </c>
      <c r="CL15" s="3">
        <f t="shared" si="40"/>
        <v>0</v>
      </c>
      <c r="CM15" s="3">
        <f t="shared" si="41"/>
        <v>0</v>
      </c>
      <c r="CN15" s="3">
        <f t="shared" si="42"/>
        <v>0</v>
      </c>
      <c r="CO15" s="3">
        <f t="shared" si="43"/>
        <v>0</v>
      </c>
      <c r="CP15" s="22"/>
    </row>
    <row r="16" spans="2:94" x14ac:dyDescent="0.25">
      <c r="B16" s="14" t="s">
        <v>97</v>
      </c>
      <c r="C16" s="14" t="s">
        <v>98</v>
      </c>
      <c r="D16" s="14" t="s">
        <v>103</v>
      </c>
      <c r="E16" s="15">
        <v>40848</v>
      </c>
      <c r="F16" s="15">
        <v>40877</v>
      </c>
      <c r="G16" s="15" t="s">
        <v>100</v>
      </c>
      <c r="H16" s="14">
        <v>80</v>
      </c>
      <c r="I16" s="14" t="s">
        <v>3</v>
      </c>
      <c r="J16" s="14">
        <v>5</v>
      </c>
      <c r="K16" s="14">
        <v>720</v>
      </c>
      <c r="L16" s="14">
        <v>2.5346260287373599</v>
      </c>
      <c r="M16" s="14">
        <v>-12.6731301436868</v>
      </c>
      <c r="N16" s="14">
        <v>0.29323025232628702</v>
      </c>
      <c r="O16" s="14">
        <v>-1.6420695400155502E-2</v>
      </c>
      <c r="P16" s="14">
        <v>7.0481617980806604E-4</v>
      </c>
      <c r="Q16" s="14">
        <v>0.88962985143026996</v>
      </c>
      <c r="R16" s="14">
        <v>-6.1421616763413497E-2</v>
      </c>
      <c r="S16" s="14">
        <v>-1.75342465626585E-2</v>
      </c>
      <c r="T16" s="14">
        <v>2.20942082866268</v>
      </c>
      <c r="U16" s="14">
        <v>1.4661512616314301</v>
      </c>
      <c r="V16" s="14">
        <v>1.4661512616314301</v>
      </c>
      <c r="W16" s="14">
        <v>0</v>
      </c>
      <c r="X16" s="14">
        <v>-12.6731301436868</v>
      </c>
      <c r="Y16" s="14">
        <v>1.4661512616314301</v>
      </c>
      <c r="Z16" s="14">
        <v>-11.206978882055299</v>
      </c>
      <c r="AA16" s="14">
        <v>-12.6731301436868</v>
      </c>
      <c r="AB16" s="14">
        <v>1.4661512616314301</v>
      </c>
      <c r="AC16" s="14">
        <v>-11.206978882055299</v>
      </c>
      <c r="AD16" s="37">
        <v>40182</v>
      </c>
      <c r="AE16" s="37">
        <f t="shared" si="2"/>
        <v>40848</v>
      </c>
      <c r="AF16" s="37">
        <f t="shared" si="2"/>
        <v>40877</v>
      </c>
      <c r="AG16" s="37">
        <f t="shared" si="3"/>
        <v>40877</v>
      </c>
      <c r="AH16" s="33" t="s">
        <v>120</v>
      </c>
      <c r="AI16" s="9">
        <v>114.16</v>
      </c>
      <c r="AJ16" s="33">
        <f t="shared" si="4"/>
        <v>80</v>
      </c>
      <c r="AK16" s="9">
        <v>0.4</v>
      </c>
      <c r="AL16" s="57">
        <f t="shared" si="5"/>
        <v>3.66</v>
      </c>
      <c r="AM16" s="9">
        <v>2.1383451642447899E-3</v>
      </c>
      <c r="AN16" s="9">
        <v>10</v>
      </c>
      <c r="AO16" s="7">
        <v>12</v>
      </c>
      <c r="AP16" s="9">
        <f>AN16+AO16</f>
        <v>22</v>
      </c>
      <c r="AQ16" s="9">
        <f t="shared" si="6"/>
        <v>5</v>
      </c>
      <c r="AR16" s="9">
        <f>AVERAGE('Historic settlement prices'!$B$3:$B$16)</f>
        <v>112.08099999999999</v>
      </c>
      <c r="AS16" s="9" t="s">
        <v>124</v>
      </c>
      <c r="AT16" s="40" t="b">
        <f t="shared" si="7"/>
        <v>1</v>
      </c>
      <c r="AU16" s="2">
        <f t="shared" si="8"/>
        <v>53.265833333333333</v>
      </c>
      <c r="AV16" s="2">
        <f t="shared" si="9"/>
        <v>0.54545454545454541</v>
      </c>
      <c r="AW16" s="2" t="b">
        <f t="shared" si="10"/>
        <v>0</v>
      </c>
      <c r="AX16" s="26">
        <f t="shared" si="0"/>
        <v>0.4</v>
      </c>
      <c r="AY16" s="56">
        <v>2.20942082866268</v>
      </c>
      <c r="AZ16" s="26">
        <f t="shared" si="11"/>
        <v>0.4</v>
      </c>
      <c r="BA16" s="30">
        <f>IF(AW16,EXP(-TimeToExpiry($E$9,AG16)*AM16)*(AI16-AU16)*AV16,B76Future($E$9,AH16,AI16,AU16,AG16,AY16,AM16)*AV16)</f>
        <v>0.39999998939054682</v>
      </c>
      <c r="BB16" s="27">
        <f>IF(AW16,EXP(-AM16*TimeToExpiry($E$9,AG16))*(AI16-AU16)*AV16,B76Future($E$9,AH16,AI16,AU16,AG16,T16,AM16)*AV16)</f>
        <v>0.39999998939054682</v>
      </c>
      <c r="BC16" s="1">
        <f t="shared" si="12"/>
        <v>2.5346260287373559</v>
      </c>
      <c r="BD16" s="30">
        <f>IF(AW16,EXP(-TimeToExpiry($E$9,AG16)*AM16)*AV16, B76Delta($E$9,AH16,AI16,AU16,AG16,AY16,AM16)*AV16)</f>
        <v>-1.6420695487659571E-2</v>
      </c>
      <c r="BE16" s="30">
        <f>IF(AW16,0,B76Gamma($E$9,AH16,AI16,AU16,AG16,T16,AM16)*AV16)</f>
        <v>7.0481618023174027E-4</v>
      </c>
      <c r="BF16" s="30">
        <f>IF(AW16,0,B76Vega($E$9,AH16,AI16,AU16,AG16,T16,AM16)*AV16)</f>
        <v>0.88962985260857841</v>
      </c>
      <c r="BG16" s="30">
        <f>IF(AW16,(EXP(-TimeToExpiry($E$9,AG16)*AM16)*(AI16-AU16)*AV16*AM16/365),B76Theta($E$9,AH16,AI16,AU16,AG16,AY16,AM16)*AV16)</f>
        <v>-6.1421616800398315E-2</v>
      </c>
      <c r="BH16" s="30">
        <f>IF(AW16,(EXP(-TimeToExpiry($E$9,AG16)*AM16)*(AI16-AU16)*AV16*-TimeToExpiry($E$9,AG16)),B76Rho($E$9,AH16,AI16,AU16,AG16,AY16,AM16)*AV16)</f>
        <v>-1.7534246110270546E-2</v>
      </c>
      <c r="BI16" s="46">
        <f t="shared" si="13"/>
        <v>-12.67313014368678</v>
      </c>
      <c r="BJ16" s="46">
        <f t="shared" si="14"/>
        <v>1.4661512616314321</v>
      </c>
      <c r="BK16" s="46">
        <f t="shared" si="15"/>
        <v>1.4661512616314321</v>
      </c>
      <c r="BL16" s="46"/>
      <c r="BM16" s="46"/>
      <c r="BN16" s="46">
        <f t="shared" si="16"/>
        <v>-12.67313014368678</v>
      </c>
      <c r="BO16" s="46">
        <f t="shared" si="17"/>
        <v>1.4661512616314321</v>
      </c>
      <c r="BP16" s="46">
        <f t="shared" si="18"/>
        <v>-11.206978882055349</v>
      </c>
      <c r="BQ16" s="46">
        <f t="shared" si="19"/>
        <v>-12.67313014368678</v>
      </c>
      <c r="BR16" s="46">
        <f t="shared" si="20"/>
        <v>1.4661512616314321</v>
      </c>
      <c r="BS16" s="46">
        <f t="shared" si="21"/>
        <v>-11.206978882055349</v>
      </c>
      <c r="BT16" s="24">
        <f t="shared" si="22"/>
        <v>-8.210347743829785E-2</v>
      </c>
      <c r="BU16" s="45">
        <f t="shared" si="23"/>
        <v>0</v>
      </c>
      <c r="BV16" s="45">
        <f t="shared" si="24"/>
        <v>0</v>
      </c>
      <c r="BW16" s="45" t="e">
        <f t="shared" si="25"/>
        <v>#VALUE!</v>
      </c>
      <c r="BX16" s="45">
        <f t="shared" si="26"/>
        <v>0</v>
      </c>
      <c r="BY16" s="41">
        <f t="shared" si="27"/>
        <v>0</v>
      </c>
      <c r="BZ16" s="11">
        <f t="shared" si="28"/>
        <v>0</v>
      </c>
      <c r="CA16" s="3">
        <f t="shared" si="29"/>
        <v>0</v>
      </c>
      <c r="CB16" s="3">
        <f t="shared" si="30"/>
        <v>0</v>
      </c>
      <c r="CC16" s="3">
        <f t="shared" si="31"/>
        <v>0</v>
      </c>
      <c r="CD16" s="3">
        <f t="shared" si="32"/>
        <v>0</v>
      </c>
      <c r="CE16" s="3">
        <f t="shared" si="33"/>
        <v>0</v>
      </c>
      <c r="CF16" s="3">
        <f t="shared" si="34"/>
        <v>0</v>
      </c>
      <c r="CG16" s="3">
        <f t="shared" si="35"/>
        <v>0</v>
      </c>
      <c r="CH16" s="3">
        <f t="shared" si="36"/>
        <v>0</v>
      </c>
      <c r="CI16" s="3">
        <f t="shared" si="37"/>
        <v>0</v>
      </c>
      <c r="CJ16" s="3">
        <f t="shared" si="38"/>
        <v>0</v>
      </c>
      <c r="CK16" s="3">
        <f t="shared" si="39"/>
        <v>0</v>
      </c>
      <c r="CL16" s="3">
        <f t="shared" si="40"/>
        <v>0</v>
      </c>
      <c r="CM16" s="3">
        <f t="shared" si="41"/>
        <v>0</v>
      </c>
      <c r="CN16" s="3">
        <f t="shared" si="42"/>
        <v>2.5800251046703693E-8</v>
      </c>
      <c r="CO16" s="3">
        <f t="shared" si="43"/>
        <v>0</v>
      </c>
      <c r="CP16" s="22"/>
    </row>
    <row r="17" spans="2:94" x14ac:dyDescent="0.25">
      <c r="B17" s="14" t="s">
        <v>97</v>
      </c>
      <c r="C17" s="14" t="s">
        <v>98</v>
      </c>
      <c r="D17" s="14" t="s">
        <v>104</v>
      </c>
      <c r="E17" s="15">
        <v>40848</v>
      </c>
      <c r="F17" s="15">
        <v>40877</v>
      </c>
      <c r="G17" s="15" t="s">
        <v>100</v>
      </c>
      <c r="H17" s="14">
        <v>5</v>
      </c>
      <c r="I17" s="14" t="s">
        <v>3</v>
      </c>
      <c r="J17" s="14">
        <v>5000</v>
      </c>
      <c r="K17" s="14">
        <v>720</v>
      </c>
      <c r="L17" s="14">
        <v>2.5346260287373599</v>
      </c>
      <c r="M17" s="14">
        <v>-12673.1301436868</v>
      </c>
      <c r="N17" s="14">
        <v>79.322343706536998</v>
      </c>
      <c r="O17" s="14">
        <v>0.54540341929892</v>
      </c>
      <c r="P17" s="14">
        <v>0</v>
      </c>
      <c r="Q17" s="14">
        <v>0</v>
      </c>
      <c r="R17" s="14">
        <v>6.3391597926997401E-4</v>
      </c>
      <c r="S17" s="14">
        <v>-4.7432265990438003</v>
      </c>
      <c r="T17" s="14">
        <v>0</v>
      </c>
      <c r="U17" s="14">
        <v>396611.71853268502</v>
      </c>
      <c r="V17" s="14">
        <v>396611.71853268502</v>
      </c>
      <c r="W17" s="14">
        <v>0</v>
      </c>
      <c r="X17" s="14">
        <v>-12673.1301436868</v>
      </c>
      <c r="Y17" s="14">
        <v>396611.71853268502</v>
      </c>
      <c r="Z17" s="14">
        <v>383938.588388998</v>
      </c>
      <c r="AA17" s="14">
        <v>-12673.1301436868</v>
      </c>
      <c r="AB17" s="14">
        <v>396611.71853268502</v>
      </c>
      <c r="AC17" s="17">
        <v>383938.588388998</v>
      </c>
      <c r="AD17" s="37">
        <v>40182</v>
      </c>
      <c r="AE17" s="37">
        <f t="shared" si="2"/>
        <v>40848</v>
      </c>
      <c r="AF17" s="37">
        <f t="shared" si="2"/>
        <v>40877</v>
      </c>
      <c r="AG17" s="37">
        <f t="shared" si="3"/>
        <v>40877</v>
      </c>
      <c r="AH17" s="42" t="s">
        <v>68</v>
      </c>
      <c r="AI17" s="9">
        <v>114.16</v>
      </c>
      <c r="AJ17" s="33">
        <f t="shared" si="4"/>
        <v>5</v>
      </c>
      <c r="AK17" s="9">
        <v>110</v>
      </c>
      <c r="AL17" s="57">
        <f t="shared" si="5"/>
        <v>3.66</v>
      </c>
      <c r="AM17" s="9">
        <v>2.1383451642447899E-3</v>
      </c>
      <c r="AN17" s="7">
        <v>10</v>
      </c>
      <c r="AO17" s="7">
        <v>12</v>
      </c>
      <c r="AP17" s="9">
        <f>AN17+AO17</f>
        <v>22</v>
      </c>
      <c r="AQ17" s="9">
        <f t="shared" si="6"/>
        <v>5000</v>
      </c>
      <c r="AR17" s="9">
        <f>AVERAGE('Historic settlement prices'!$B$3:$B$16)</f>
        <v>112.08099999999999</v>
      </c>
      <c r="AS17" s="9" t="s">
        <v>133</v>
      </c>
      <c r="AT17" s="40" t="b">
        <f t="shared" si="7"/>
        <v>1</v>
      </c>
      <c r="AU17" s="58">
        <f t="shared" si="8"/>
        <v>-84.234166666666653</v>
      </c>
      <c r="AV17" s="2">
        <f t="shared" si="9"/>
        <v>0.54545454545454541</v>
      </c>
      <c r="AW17" s="2" t="b">
        <f t="shared" si="10"/>
        <v>1</v>
      </c>
      <c r="AX17" s="26">
        <f t="shared" si="0"/>
        <v>110</v>
      </c>
      <c r="AY17" s="29">
        <f>IF(AW17,0,ImpliedVolatilityB76Future($E$9,AH17,AI17,AU17,AG17,AX17/AV17,AM17))</f>
        <v>0</v>
      </c>
      <c r="AZ17" s="26">
        <f t="shared" si="11"/>
        <v>110</v>
      </c>
      <c r="BA17" s="30">
        <f>IF(AW17,EXP(-TimeToExpiry($E$9,AG17)*AM17)*(AI17-AU17)*AV17,B76Future($E$9,AH17,AI17,AU17,AG17,AY17,AM17)*AV17)</f>
        <v>108.20485686895246</v>
      </c>
      <c r="BB17" s="27">
        <f>IF(AW17,EXP(-AM17*TimeToExpiry($E$9,AG17))*(AI17-AU17)*AV17,B76Future($E$9,AH17,AI17,AU17,AG17,T17,AM17)*AV17)</f>
        <v>108.20485686895246</v>
      </c>
      <c r="BC17" s="1">
        <f t="shared" si="12"/>
        <v>2.5346260287373559</v>
      </c>
      <c r="BD17" s="30">
        <f>IF(AW17,EXP(-TimeToExpiry($E$9,AG17)*AM17)*AV17, B76Delta($E$9,AH17,AI17,AU17,AG17,AY17,AM17)*AV17)</f>
        <v>0.54540341929888292</v>
      </c>
      <c r="BE17" s="30">
        <f>IF(AW17,0,B76Gamma($E$9,AH17,AI17,AU17,AG17,T17,AM17)*AV17)</f>
        <v>0</v>
      </c>
      <c r="BF17" s="30">
        <f>IF(AW17,0,B76Vega($E$9,AH17,AI17,AU17,AG17,T17,AM17)*AV17)</f>
        <v>0</v>
      </c>
      <c r="BG17" s="30">
        <f>IF(AW17,(EXP(-TimeToExpiry($E$9,AG17)*AM17)*(AI17-AU17)*AV17*AM17/365),B76Theta($E$9,AH17,AI17,AU17,AG17,AY17,AM17)*AV17)</f>
        <v>6.3391597926992912E-4</v>
      </c>
      <c r="BH17" s="30">
        <f>IF(AW17,(EXP(-TimeToExpiry($E$9,AG17)*AM17)*(AI17-AU17)*AV17*-TimeToExpiry($E$9,AG17)),B76Rho($E$9,AH17,AI17,AU17,AG17,T17,AM17)*AV17)</f>
        <v>-4.7432266024746284</v>
      </c>
      <c r="BI17" s="46">
        <f t="shared" si="13"/>
        <v>-12673.13014368678</v>
      </c>
      <c r="BJ17" s="46">
        <f>EXP(-TimeToExpiry($E$9,AG17)*AM17)*(AI17-AU17)*AV17*AQ17*$E$10</f>
        <v>396611.71853265795</v>
      </c>
      <c r="BK17" s="46">
        <f t="shared" si="15"/>
        <v>396611.71853265795</v>
      </c>
      <c r="BL17" s="46"/>
      <c r="BM17" s="46"/>
      <c r="BN17" s="46">
        <f t="shared" si="16"/>
        <v>-12673.13014368678</v>
      </c>
      <c r="BO17" s="46">
        <f t="shared" si="17"/>
        <v>396611.71853265795</v>
      </c>
      <c r="BP17" s="46">
        <f t="shared" si="18"/>
        <v>383938.58838897117</v>
      </c>
      <c r="BQ17" s="46">
        <f t="shared" si="19"/>
        <v>-12673.13014368678</v>
      </c>
      <c r="BR17" s="46">
        <f t="shared" si="20"/>
        <v>396611.71853265795</v>
      </c>
      <c r="BS17" s="46">
        <f t="shared" si="21"/>
        <v>383938.58838897117</v>
      </c>
      <c r="BT17" s="24">
        <f t="shared" si="22"/>
        <v>2727.0170964944145</v>
      </c>
      <c r="BU17" s="45">
        <f t="shared" si="23"/>
        <v>0</v>
      </c>
      <c r="BV17" s="45">
        <f t="shared" si="24"/>
        <v>0</v>
      </c>
      <c r="BW17" s="45" t="e">
        <f t="shared" si="25"/>
        <v>#VALUE!</v>
      </c>
      <c r="BX17" s="45">
        <f t="shared" si="26"/>
        <v>0</v>
      </c>
      <c r="BY17" s="41">
        <f t="shared" si="27"/>
        <v>0</v>
      </c>
      <c r="BZ17" s="11">
        <f t="shared" si="28"/>
        <v>0</v>
      </c>
      <c r="CA17" s="3">
        <f t="shared" si="29"/>
        <v>0</v>
      </c>
      <c r="CB17" s="3">
        <f t="shared" si="30"/>
        <v>0</v>
      </c>
      <c r="CC17" s="3">
        <f t="shared" si="31"/>
        <v>0</v>
      </c>
      <c r="CD17" s="3">
        <f t="shared" si="32"/>
        <v>0</v>
      </c>
      <c r="CE17" s="3">
        <f t="shared" si="33"/>
        <v>0</v>
      </c>
      <c r="CF17" s="3">
        <f t="shared" si="34"/>
        <v>0</v>
      </c>
      <c r="CG17" s="3">
        <f t="shared" si="35"/>
        <v>0</v>
      </c>
      <c r="CH17" s="3">
        <f t="shared" si="36"/>
        <v>0</v>
      </c>
      <c r="CI17" s="3">
        <f t="shared" si="37"/>
        <v>0</v>
      </c>
      <c r="CJ17" s="3">
        <f t="shared" si="38"/>
        <v>0</v>
      </c>
      <c r="CK17" s="3">
        <f t="shared" si="39"/>
        <v>0</v>
      </c>
      <c r="CL17" s="3">
        <f t="shared" si="40"/>
        <v>0</v>
      </c>
      <c r="CM17" s="3">
        <f t="shared" si="41"/>
        <v>0</v>
      </c>
      <c r="CN17" s="3">
        <f t="shared" si="42"/>
        <v>0</v>
      </c>
      <c r="CO17" s="3">
        <f t="shared" si="43"/>
        <v>0</v>
      </c>
      <c r="CP17" s="22"/>
    </row>
    <row r="18" spans="2:94" x14ac:dyDescent="0.25">
      <c r="B18" s="17" t="s">
        <v>97</v>
      </c>
      <c r="C18" s="17" t="s">
        <v>105</v>
      </c>
      <c r="D18" s="17" t="s">
        <v>106</v>
      </c>
      <c r="E18" s="15">
        <v>40969</v>
      </c>
      <c r="F18" s="15">
        <v>40999</v>
      </c>
      <c r="G18" s="15" t="s">
        <v>100</v>
      </c>
      <c r="H18" s="14">
        <v>130</v>
      </c>
      <c r="I18" s="18" t="s">
        <v>3</v>
      </c>
      <c r="J18" s="14">
        <v>5</v>
      </c>
      <c r="K18" s="14">
        <v>743</v>
      </c>
      <c r="L18" s="14">
        <v>2.5346260287373599</v>
      </c>
      <c r="M18" s="14">
        <v>-12.6731301436868</v>
      </c>
      <c r="N18" s="14">
        <v>1.09961344622358</v>
      </c>
      <c r="O18" s="14">
        <v>0.170925645078324</v>
      </c>
      <c r="P18" s="14">
        <v>1.4416805429373399E-2</v>
      </c>
      <c r="Q18" s="14">
        <v>17.1500236524979</v>
      </c>
      <c r="R18" s="14">
        <v>-1.6276669490339901E-2</v>
      </c>
      <c r="S18" s="14">
        <v>-0.563013698582569</v>
      </c>
      <c r="T18" s="14">
        <v>0.26041109104753302</v>
      </c>
      <c r="U18" s="14">
        <v>5.4980672311178802</v>
      </c>
      <c r="V18" s="14">
        <v>5.4980672311178802</v>
      </c>
      <c r="W18" s="14">
        <v>0</v>
      </c>
      <c r="X18" s="14">
        <v>-12.6731301436868</v>
      </c>
      <c r="Y18" s="14">
        <v>5.4980672311178802</v>
      </c>
      <c r="Z18" s="14">
        <v>-7.1750629125689098</v>
      </c>
      <c r="AA18" s="14">
        <v>-12.6731301436868</v>
      </c>
      <c r="AB18" s="14">
        <v>5.4980672311178802</v>
      </c>
      <c r="AC18" s="14">
        <v>-7.1750629125689098</v>
      </c>
      <c r="AD18" s="37">
        <v>40182</v>
      </c>
      <c r="AE18" s="37">
        <f t="shared" si="2"/>
        <v>40969</v>
      </c>
      <c r="AF18" s="37">
        <f t="shared" si="2"/>
        <v>40999</v>
      </c>
      <c r="AG18" s="37">
        <v>40998</v>
      </c>
      <c r="AH18" s="33" t="s">
        <v>68</v>
      </c>
      <c r="AI18" s="7">
        <v>110.32</v>
      </c>
      <c r="AJ18" s="33">
        <f t="shared" si="4"/>
        <v>130</v>
      </c>
      <c r="AK18" s="7">
        <v>1.5</v>
      </c>
      <c r="AL18" s="57">
        <f t="shared" si="5"/>
        <v>3.66</v>
      </c>
      <c r="AM18" s="7">
        <v>5.54953714034539E-3</v>
      </c>
      <c r="AN18" s="9"/>
      <c r="AO18" s="7"/>
      <c r="AP18" s="9"/>
      <c r="AQ18" s="9">
        <f t="shared" si="6"/>
        <v>5</v>
      </c>
      <c r="AR18" s="7"/>
      <c r="AS18" s="9" t="s">
        <v>129</v>
      </c>
      <c r="AT18" s="40" t="b">
        <f t="shared" si="7"/>
        <v>0</v>
      </c>
      <c r="AU18" s="2">
        <f t="shared" si="8"/>
        <v>130</v>
      </c>
      <c r="AV18" s="2">
        <f t="shared" si="9"/>
        <v>1</v>
      </c>
      <c r="AW18" s="2" t="b">
        <f t="shared" si="10"/>
        <v>0</v>
      </c>
      <c r="AX18" s="26">
        <f t="shared" si="0"/>
        <v>1.5</v>
      </c>
      <c r="AY18" s="29">
        <f>IF(AW18,"",ImpliedVolatilityB76Future($E$9,AH18,AI18,AU18,AG18,AX18/AV18,AM18))</f>
        <v>0.26041109101980131</v>
      </c>
      <c r="AZ18" s="26">
        <f t="shared" si="11"/>
        <v>1.5</v>
      </c>
      <c r="BA18" s="30">
        <f>IF(AW18,EXP(-TimeToExpiry($E$9,AG18)*AM18)*(AI18-AU18)*AV18,B76Future($E$9,AH18,AI18,AU18,AG18,AY18,AM18)*AV18)</f>
        <v>1.499999999999988</v>
      </c>
      <c r="BB18" s="27">
        <f>IF(AW18,EXP(-AM18*TimeToExpiry($E$9,AG18))*(AI18-AU18)*AV18,B76Future($E$9,AH18,AI18,AU18,AG18,T18,AM18)*AV18)</f>
        <v>1.5000000004755962</v>
      </c>
      <c r="BC18" s="1">
        <f t="shared" si="12"/>
        <v>2.5346260287373559</v>
      </c>
      <c r="BD18" s="30">
        <f>IF(AW18,EXP(-TimeToExpiry($E$9,AG18)*AM18)*AV18, B76Delta($E$9,AH18,AI18,AU18,AG18,AY18,AM18)*AV18)</f>
        <v>0.17092564505358812</v>
      </c>
      <c r="BE18" s="30">
        <f>IF(AW18,0,B76Gamma($E$9,AH18,AI18,AU18,AG18,T18,AM18)*AV18)</f>
        <v>1.4416805429392183E-2</v>
      </c>
      <c r="BF18" s="30">
        <f>IF(AW18,0,B76Vega($E$9,AH18,AI18,AU18,AG18,T18,AM18)*AV18)</f>
        <v>17.150023653964038</v>
      </c>
      <c r="BG18" s="30">
        <f>IF(AW18,(EXP(-TimeToExpiry($E$9,AG18)*AM18)*(AI18-AU18)*AV18*AM18/365),B76Theta($E$9,AH18,AI18,AU18,AG18,AY18,AM18)*AV18)</f>
        <v>-1.6276669486794123E-2</v>
      </c>
      <c r="BH18" s="30">
        <f>IF(AW18,(EXP(-TimeToExpiry($E$9,AG18)*AM18)*(AI18-AU18)*AV18*-TimeToExpiry($E$9,AG18)),B76Rho($E$9,AH18,AI18,AU18,AG18,T18,AM18)*AV18)</f>
        <v>-0.56301369880864849</v>
      </c>
      <c r="BI18" s="46">
        <f t="shared" si="13"/>
        <v>-12.67313014368678</v>
      </c>
      <c r="BJ18" s="46">
        <f t="shared" si="14"/>
        <v>5.4980672311178704</v>
      </c>
      <c r="BK18" s="46">
        <f t="shared" si="15"/>
        <v>5.4980672311178704</v>
      </c>
      <c r="BL18" s="46"/>
      <c r="BM18" s="46"/>
      <c r="BN18" s="46">
        <f t="shared" si="16"/>
        <v>-12.67313014368678</v>
      </c>
      <c r="BO18" s="46">
        <f t="shared" si="17"/>
        <v>5.4980672311178704</v>
      </c>
      <c r="BP18" s="46">
        <f t="shared" si="18"/>
        <v>-7.1750629125689098</v>
      </c>
      <c r="BQ18" s="46">
        <f t="shared" si="19"/>
        <v>-12.67313014368678</v>
      </c>
      <c r="BR18" s="46">
        <f t="shared" si="20"/>
        <v>5.4980672311178704</v>
      </c>
      <c r="BS18" s="46">
        <f t="shared" si="21"/>
        <v>-7.1750629125689098</v>
      </c>
      <c r="BT18" s="24">
        <f t="shared" si="22"/>
        <v>0.85462822526794058</v>
      </c>
      <c r="BU18" s="45">
        <f t="shared" si="23"/>
        <v>0</v>
      </c>
      <c r="BV18" s="45">
        <f t="shared" si="24"/>
        <v>0</v>
      </c>
      <c r="BW18" s="45" t="e">
        <f t="shared" si="25"/>
        <v>#VALUE!</v>
      </c>
      <c r="BX18" s="45">
        <f t="shared" si="26"/>
        <v>0</v>
      </c>
      <c r="BY18" s="41">
        <f t="shared" si="27"/>
        <v>0</v>
      </c>
      <c r="BZ18" s="11">
        <f t="shared" si="28"/>
        <v>0</v>
      </c>
      <c r="CA18" s="3">
        <f t="shared" si="29"/>
        <v>0</v>
      </c>
      <c r="CB18" s="3">
        <f t="shared" si="30"/>
        <v>0</v>
      </c>
      <c r="CC18" s="3">
        <f t="shared" si="31"/>
        <v>0</v>
      </c>
      <c r="CD18" s="3">
        <f t="shared" si="32"/>
        <v>0</v>
      </c>
      <c r="CE18" s="3">
        <f t="shared" si="33"/>
        <v>0</v>
      </c>
      <c r="CF18" s="3">
        <f t="shared" si="34"/>
        <v>0</v>
      </c>
      <c r="CG18" s="3">
        <f t="shared" si="35"/>
        <v>0</v>
      </c>
      <c r="CH18" s="3">
        <f t="shared" si="36"/>
        <v>0</v>
      </c>
      <c r="CI18" s="3">
        <f t="shared" si="37"/>
        <v>0</v>
      </c>
      <c r="CJ18" s="3">
        <f t="shared" si="38"/>
        <v>0</v>
      </c>
      <c r="CK18" s="3">
        <f t="shared" si="39"/>
        <v>0</v>
      </c>
      <c r="CL18" s="3">
        <f t="shared" si="40"/>
        <v>0</v>
      </c>
      <c r="CM18" s="3">
        <f t="shared" si="41"/>
        <v>0</v>
      </c>
      <c r="CN18" s="3">
        <f t="shared" si="42"/>
        <v>0</v>
      </c>
      <c r="CO18" s="3">
        <f t="shared" si="43"/>
        <v>0</v>
      </c>
      <c r="CP18" s="22"/>
    </row>
    <row r="19" spans="2:94" x14ac:dyDescent="0.25">
      <c r="B19" s="19" t="s">
        <v>97</v>
      </c>
      <c r="C19" s="19" t="s">
        <v>105</v>
      </c>
      <c r="D19" s="19" t="s">
        <v>107</v>
      </c>
      <c r="E19" s="20">
        <v>40969</v>
      </c>
      <c r="F19" s="20">
        <v>40999</v>
      </c>
      <c r="G19" s="20" t="s">
        <v>100</v>
      </c>
      <c r="H19" s="19">
        <v>130</v>
      </c>
      <c r="I19" s="19" t="s">
        <v>3</v>
      </c>
      <c r="J19" s="19">
        <v>5</v>
      </c>
      <c r="K19" s="19">
        <v>743</v>
      </c>
      <c r="L19" s="19">
        <v>2.5346260287373599</v>
      </c>
      <c r="M19" s="19">
        <v>-12.6731301436868</v>
      </c>
      <c r="N19" s="19">
        <v>17.593815139577199</v>
      </c>
      <c r="O19" s="19">
        <v>-0.70711916203828395</v>
      </c>
      <c r="P19" s="19">
        <v>1.26954066216026E-2</v>
      </c>
      <c r="Q19" s="19">
        <v>23.139724721604299</v>
      </c>
      <c r="R19" s="19">
        <v>-3.3331458898516797E-2</v>
      </c>
      <c r="S19" s="19">
        <v>-9.0082191773211608</v>
      </c>
      <c r="T19" s="19">
        <v>0.39900226741192502</v>
      </c>
      <c r="U19" s="19">
        <v>87.969075697885998</v>
      </c>
      <c r="V19" s="19">
        <v>87.969075697885998</v>
      </c>
      <c r="W19" s="19">
        <v>0</v>
      </c>
      <c r="X19" s="19">
        <v>-12.6731301436868</v>
      </c>
      <c r="Y19" s="19">
        <v>87.969075697885998</v>
      </c>
      <c r="Z19" s="19">
        <v>75.295945554199307</v>
      </c>
      <c r="AA19" s="19">
        <v>-12.6731301436868</v>
      </c>
      <c r="AB19" s="19">
        <v>87.969075697885998</v>
      </c>
      <c r="AC19" s="19">
        <v>75.295945554199307</v>
      </c>
      <c r="AD19" s="37">
        <v>40182</v>
      </c>
      <c r="AE19" s="37">
        <f t="shared" si="2"/>
        <v>40969</v>
      </c>
      <c r="AF19" s="37">
        <f t="shared" si="2"/>
        <v>40999</v>
      </c>
      <c r="AG19" s="37">
        <v>40998</v>
      </c>
      <c r="AH19" s="43" t="s">
        <v>120</v>
      </c>
      <c r="AI19" s="7">
        <v>110.32</v>
      </c>
      <c r="AJ19" s="33">
        <f t="shared" si="4"/>
        <v>130</v>
      </c>
      <c r="AK19" s="7">
        <v>24</v>
      </c>
      <c r="AL19" s="57">
        <f t="shared" si="5"/>
        <v>3.66</v>
      </c>
      <c r="AM19" s="7">
        <v>5.54953714034539E-3</v>
      </c>
      <c r="AN19" s="9"/>
      <c r="AO19" s="7"/>
      <c r="AP19" s="9"/>
      <c r="AQ19" s="9">
        <f t="shared" si="6"/>
        <v>5</v>
      </c>
      <c r="AR19" s="7"/>
      <c r="AS19" s="9" t="s">
        <v>130</v>
      </c>
      <c r="AT19" s="40" t="b">
        <f t="shared" si="7"/>
        <v>0</v>
      </c>
      <c r="AU19" s="2">
        <f t="shared" si="8"/>
        <v>130</v>
      </c>
      <c r="AV19" s="2">
        <f t="shared" si="9"/>
        <v>1</v>
      </c>
      <c r="AW19" s="2" t="b">
        <f t="shared" si="10"/>
        <v>0</v>
      </c>
      <c r="AX19" s="26">
        <f t="shared" si="0"/>
        <v>24</v>
      </c>
      <c r="AY19" s="29">
        <f>IF(AW19,"",ImpliedVolatilityB76Future($E$9,AH19,AI19,AU19,AG19,AX19/AV19,AM19))</f>
        <v>0.39900226736470862</v>
      </c>
      <c r="AZ19" s="26">
        <f t="shared" si="11"/>
        <v>24</v>
      </c>
      <c r="BA19" s="30">
        <f>IF(AW19,EXP(-TimeToExpiry($E$9,AG19)*AM19)*(AI19-AU19)*AV19,B76Future($E$9,AH19,AI19,AU19,AG19,AY19,AM19)*AV19)</f>
        <v>23.999999999999993</v>
      </c>
      <c r="BB19" s="27">
        <f>IF(AW19,EXP(-AM19*TimeToExpiry($E$9,AG19))*(AI19-AU19)*AV19,B76Future($E$9,AH19,AI19,AU19,AG19,T19,AM19)*AV19)</f>
        <v>24.000000001092573</v>
      </c>
      <c r="BC19" s="1">
        <f t="shared" si="12"/>
        <v>2.5346260287373559</v>
      </c>
      <c r="BD19" s="30">
        <f>IF(AW19,EXP(-TimeToExpiry($E$9,AG19)*AM19)*AV19, B76Delta($E$9,AH19,AI19,AU19,AG19,AY19,AM19)*AV19)</f>
        <v>-0.70711916205941538</v>
      </c>
      <c r="BE19" s="30">
        <f>IF(AW19,0,B76Gamma($E$9,AH19,AI19,AU19,AG19,T19,AM19)*AV19)</f>
        <v>1.2695406621295535E-2</v>
      </c>
      <c r="BF19" s="30">
        <f>IF(AW19,0,B76Vega($E$9,AH19,AI19,AU19,AG19,T19,AM19)*AV19)</f>
        <v>23.139724722992707</v>
      </c>
      <c r="BG19" s="30">
        <f>IF(AW19,(EXP(-TimeToExpiry($E$9,AG19)*AM19)*(AI19-AU19)*AV19*AM19/365),B76Theta($E$9,AH19,AI19,AU19,AG19,AY19,AM19)*AV19)</f>
        <v>-3.3331458891965975E-2</v>
      </c>
      <c r="BH19" s="30">
        <f>IF(AW19,(EXP(-TimeToExpiry($E$9,AG19)*AM19)*(AI19-AU19)*AV19*-TimeToExpiry($E$9,AG19)),B76Rho($E$9,AH19,AI19,AU19,AG19,T19,AM19)*AV19)</f>
        <v>-9.0082191784922809</v>
      </c>
      <c r="BI19" s="46">
        <f t="shared" si="13"/>
        <v>-12.67313014368678</v>
      </c>
      <c r="BJ19" s="46">
        <f t="shared" si="14"/>
        <v>87.969075697885927</v>
      </c>
      <c r="BK19" s="46">
        <f t="shared" si="15"/>
        <v>87.969075697885927</v>
      </c>
      <c r="BL19" s="46"/>
      <c r="BM19" s="46"/>
      <c r="BN19" s="46">
        <f t="shared" si="16"/>
        <v>-12.67313014368678</v>
      </c>
      <c r="BO19" s="46">
        <f t="shared" si="17"/>
        <v>87.969075697885927</v>
      </c>
      <c r="BP19" s="46">
        <f t="shared" si="18"/>
        <v>75.29594555419915</v>
      </c>
      <c r="BQ19" s="46">
        <f t="shared" si="19"/>
        <v>-12.67313014368678</v>
      </c>
      <c r="BR19" s="46">
        <f t="shared" si="20"/>
        <v>87.969075697885927</v>
      </c>
      <c r="BS19" s="46">
        <f t="shared" si="21"/>
        <v>75.29594555419915</v>
      </c>
      <c r="BT19" s="24">
        <f t="shared" si="22"/>
        <v>-3.5355958102970768</v>
      </c>
      <c r="BU19" s="45">
        <f t="shared" si="23"/>
        <v>0</v>
      </c>
      <c r="BV19" s="45">
        <f t="shared" si="24"/>
        <v>0</v>
      </c>
      <c r="BW19" s="45" t="e">
        <f t="shared" si="25"/>
        <v>#VALUE!</v>
      </c>
      <c r="BX19" s="45">
        <f t="shared" si="26"/>
        <v>0</v>
      </c>
      <c r="BY19" s="41">
        <f t="shared" si="27"/>
        <v>0</v>
      </c>
      <c r="BZ19" s="11">
        <f t="shared" si="28"/>
        <v>0</v>
      </c>
      <c r="CA19" s="3">
        <f t="shared" si="29"/>
        <v>0</v>
      </c>
      <c r="CB19" s="3">
        <f t="shared" si="30"/>
        <v>0</v>
      </c>
      <c r="CC19" s="3">
        <f t="shared" si="31"/>
        <v>0</v>
      </c>
      <c r="CD19" s="3">
        <f t="shared" si="32"/>
        <v>0</v>
      </c>
      <c r="CE19" s="3">
        <f t="shared" si="33"/>
        <v>0</v>
      </c>
      <c r="CF19" s="3">
        <f t="shared" si="34"/>
        <v>0</v>
      </c>
      <c r="CG19" s="3">
        <f t="shared" si="35"/>
        <v>0</v>
      </c>
      <c r="CH19" s="3">
        <f t="shared" si="36"/>
        <v>0</v>
      </c>
      <c r="CI19" s="3">
        <f t="shared" si="37"/>
        <v>0</v>
      </c>
      <c r="CJ19" s="3">
        <f t="shared" si="38"/>
        <v>0</v>
      </c>
      <c r="CK19" s="3">
        <f t="shared" si="39"/>
        <v>0</v>
      </c>
      <c r="CL19" s="3">
        <f t="shared" si="40"/>
        <v>0</v>
      </c>
      <c r="CM19" s="3">
        <f t="shared" si="41"/>
        <v>0</v>
      </c>
      <c r="CN19" s="3">
        <f t="shared" si="42"/>
        <v>0</v>
      </c>
      <c r="CO19" s="3">
        <f t="shared" si="43"/>
        <v>0</v>
      </c>
      <c r="CP19" s="22"/>
    </row>
    <row r="20" spans="2:94" x14ac:dyDescent="0.25">
      <c r="B20" s="19" t="s">
        <v>97</v>
      </c>
      <c r="C20" s="19" t="s">
        <v>105</v>
      </c>
      <c r="D20" s="19" t="s">
        <v>108</v>
      </c>
      <c r="E20" s="20">
        <v>40969</v>
      </c>
      <c r="F20" s="20">
        <v>40999</v>
      </c>
      <c r="G20" s="20" t="s">
        <v>100</v>
      </c>
      <c r="H20" s="19">
        <v>80</v>
      </c>
      <c r="I20" s="19" t="s">
        <v>3</v>
      </c>
      <c r="J20" s="19">
        <v>5</v>
      </c>
      <c r="K20" s="19">
        <v>743</v>
      </c>
      <c r="L20" s="19">
        <v>2.5346260287373599</v>
      </c>
      <c r="M20" s="19">
        <v>-12.6731301436868</v>
      </c>
      <c r="N20" s="19">
        <v>30.056100863444399</v>
      </c>
      <c r="O20" s="19">
        <v>0.79508409428550297</v>
      </c>
      <c r="P20" s="19">
        <v>4.1579636473297503E-3</v>
      </c>
      <c r="Q20" s="19">
        <v>19.066296063016502</v>
      </c>
      <c r="R20" s="19">
        <v>-6.9226433487694305E-2</v>
      </c>
      <c r="S20" s="19">
        <v>-15.389041094590301</v>
      </c>
      <c r="T20" s="19">
        <v>1.0038051869637901</v>
      </c>
      <c r="U20" s="19">
        <v>150.28050431722201</v>
      </c>
      <c r="V20" s="19">
        <v>150.28050431722201</v>
      </c>
      <c r="W20" s="19">
        <v>0</v>
      </c>
      <c r="X20" s="19">
        <v>-12.6731301436868</v>
      </c>
      <c r="Y20" s="19">
        <v>150.28050431722201</v>
      </c>
      <c r="Z20" s="19">
        <v>137.60737417353499</v>
      </c>
      <c r="AA20" s="19">
        <v>-12.6731301436868</v>
      </c>
      <c r="AB20" s="19">
        <v>150.28050431722201</v>
      </c>
      <c r="AC20" s="19">
        <v>137.60737417353499</v>
      </c>
      <c r="AD20" s="37">
        <v>40182</v>
      </c>
      <c r="AE20" s="37">
        <f t="shared" si="2"/>
        <v>40969</v>
      </c>
      <c r="AF20" s="37">
        <f t="shared" si="2"/>
        <v>40999</v>
      </c>
      <c r="AG20" s="37">
        <v>40998</v>
      </c>
      <c r="AH20" s="43" t="s">
        <v>68</v>
      </c>
      <c r="AI20" s="7">
        <v>110.32</v>
      </c>
      <c r="AJ20" s="33">
        <f t="shared" si="4"/>
        <v>80</v>
      </c>
      <c r="AK20" s="7">
        <v>41</v>
      </c>
      <c r="AL20" s="57">
        <f t="shared" si="5"/>
        <v>3.66</v>
      </c>
      <c r="AM20" s="7">
        <v>5.54953714034539E-3</v>
      </c>
      <c r="AN20" s="7"/>
      <c r="AO20" s="7"/>
      <c r="AP20" s="9"/>
      <c r="AQ20" s="9">
        <f t="shared" si="6"/>
        <v>5</v>
      </c>
      <c r="AR20" s="7"/>
      <c r="AS20" s="9" t="s">
        <v>131</v>
      </c>
      <c r="AT20" s="40" t="b">
        <f t="shared" si="7"/>
        <v>0</v>
      </c>
      <c r="AU20" s="2">
        <f t="shared" si="8"/>
        <v>80</v>
      </c>
      <c r="AV20" s="2">
        <f t="shared" si="9"/>
        <v>1</v>
      </c>
      <c r="AW20" s="2" t="b">
        <f t="shared" si="10"/>
        <v>0</v>
      </c>
      <c r="AX20" s="26">
        <f t="shared" si="0"/>
        <v>41</v>
      </c>
      <c r="AY20" s="29">
        <f>IF(AW20,"",ImpliedVolatilityB76Future($E$9,AH20,AI20,AU20,AG20,AX20/AV20,AM20))</f>
        <v>1.0038051868548592</v>
      </c>
      <c r="AZ20" s="26">
        <f t="shared" si="11"/>
        <v>41</v>
      </c>
      <c r="BA20" s="30">
        <f>IF(AW20,EXP(-TimeToExpiry($E$9,AG20)*AM20)*(AI20-AU20)*AV20,B76Future($E$9,AH20,AI20,AU20,AG20,AY20,AM20)*AV20)</f>
        <v>41.000000000000007</v>
      </c>
      <c r="BB20" s="27">
        <f>IF(AW20,EXP(-AM20*TimeToExpiry($E$9,AG20))*(AI20-AU20)*AV20,B76Future($E$9,AH20,AI20,AU20,AG20,T20,AM20)*AV20)</f>
        <v>41.000000002076916</v>
      </c>
      <c r="BC20" s="1">
        <f t="shared" si="12"/>
        <v>2.5346260287373559</v>
      </c>
      <c r="BD20" s="30">
        <f>IF(AW20,EXP(-TimeToExpiry($E$9,AG20)*AM20)*AV20, B76Delta($E$9,AH20,AI20,AU20,AG20,AY20,AM20)*AV20)</f>
        <v>0.79508409430223348</v>
      </c>
      <c r="BE20" s="30">
        <f>IF(AW20,0,B76Gamma($E$9,AH20,AI20,AU20,AG20,T20,AM20)*AV20)</f>
        <v>4.1579636471861699E-3</v>
      </c>
      <c r="BF20" s="30">
        <f>IF(AW20,0,B76Vega($E$9,AH20,AI20,AU20,AG20,T20,AM20)*AV20)</f>
        <v>19.066296063963225</v>
      </c>
      <c r="BG20" s="30">
        <f>IF(AW20,(EXP(-TimeToExpiry($E$9,AG20)*AM20)*(AI20-AU20)*AV20*AM20/365),B76Theta($E$9,AH20,AI20,AU20,AG20,AY20,AM20)*AV20)</f>
        <v>-6.9226433476328633E-2</v>
      </c>
      <c r="BH20" s="30">
        <f>IF(AW20,(EXP(-TimeToExpiry($E$9,AG20)*AM20)*(AI20-AU20)*AV20*-TimeToExpiry($E$9,AG20)),B76Rho($E$9,AH20,AI20,AU20,AG20,T20,AM20)*AV20)</f>
        <v>-15.389041096669967</v>
      </c>
      <c r="BI20" s="46">
        <f t="shared" si="13"/>
        <v>-12.67313014368678</v>
      </c>
      <c r="BJ20" s="46">
        <f t="shared" si="14"/>
        <v>150.28050431722178</v>
      </c>
      <c r="BK20" s="46">
        <f t="shared" si="15"/>
        <v>150.28050431722178</v>
      </c>
      <c r="BL20" s="46"/>
      <c r="BM20" s="46"/>
      <c r="BN20" s="46">
        <f t="shared" si="16"/>
        <v>-12.67313014368678</v>
      </c>
      <c r="BO20" s="46">
        <f t="shared" si="17"/>
        <v>150.28050431722178</v>
      </c>
      <c r="BP20" s="46">
        <f t="shared" si="18"/>
        <v>137.60737417353499</v>
      </c>
      <c r="BQ20" s="46">
        <f t="shared" si="19"/>
        <v>-12.67313014368678</v>
      </c>
      <c r="BR20" s="46">
        <f t="shared" si="20"/>
        <v>150.28050431722178</v>
      </c>
      <c r="BS20" s="46">
        <f t="shared" si="21"/>
        <v>137.60737417353499</v>
      </c>
      <c r="BT20" s="24">
        <f t="shared" si="22"/>
        <v>3.9754204715111676</v>
      </c>
      <c r="BU20" s="45">
        <f t="shared" si="23"/>
        <v>0</v>
      </c>
      <c r="BV20" s="45">
        <f t="shared" si="24"/>
        <v>0</v>
      </c>
      <c r="BW20" s="45" t="e">
        <f t="shared" si="25"/>
        <v>#VALUE!</v>
      </c>
      <c r="BX20" s="45">
        <f t="shared" si="26"/>
        <v>0</v>
      </c>
      <c r="BY20" s="41">
        <f t="shared" si="27"/>
        <v>0</v>
      </c>
      <c r="BZ20" s="11">
        <f t="shared" si="28"/>
        <v>0</v>
      </c>
      <c r="CA20" s="3">
        <f t="shared" si="29"/>
        <v>0</v>
      </c>
      <c r="CB20" s="3">
        <f t="shared" si="30"/>
        <v>0</v>
      </c>
      <c r="CC20" s="3">
        <f t="shared" si="31"/>
        <v>0</v>
      </c>
      <c r="CD20" s="3">
        <f t="shared" si="32"/>
        <v>0</v>
      </c>
      <c r="CE20" s="3">
        <f t="shared" si="33"/>
        <v>0</v>
      </c>
      <c r="CF20" s="3">
        <f t="shared" si="34"/>
        <v>0</v>
      </c>
      <c r="CG20" s="3">
        <f t="shared" si="35"/>
        <v>0</v>
      </c>
      <c r="CH20" s="3">
        <f t="shared" si="36"/>
        <v>0</v>
      </c>
      <c r="CI20" s="3">
        <f t="shared" si="37"/>
        <v>0</v>
      </c>
      <c r="CJ20" s="3">
        <f t="shared" si="38"/>
        <v>0</v>
      </c>
      <c r="CK20" s="3">
        <f t="shared" si="39"/>
        <v>0</v>
      </c>
      <c r="CL20" s="3">
        <f t="shared" si="40"/>
        <v>0</v>
      </c>
      <c r="CM20" s="3">
        <f t="shared" si="41"/>
        <v>0</v>
      </c>
      <c r="CN20" s="3">
        <f t="shared" si="42"/>
        <v>0</v>
      </c>
      <c r="CO20" s="3">
        <f t="shared" si="43"/>
        <v>0</v>
      </c>
      <c r="CP20" s="22"/>
    </row>
    <row r="21" spans="2:94" x14ac:dyDescent="0.25">
      <c r="B21" s="19" t="s">
        <v>97</v>
      </c>
      <c r="C21" s="19" t="s">
        <v>105</v>
      </c>
      <c r="D21" s="19" t="s">
        <v>109</v>
      </c>
      <c r="E21" s="20">
        <v>40969</v>
      </c>
      <c r="F21" s="20">
        <v>40999</v>
      </c>
      <c r="G21" s="20" t="s">
        <v>100</v>
      </c>
      <c r="H21" s="19">
        <v>80</v>
      </c>
      <c r="I21" s="19" t="s">
        <v>3</v>
      </c>
      <c r="J21" s="19">
        <v>5</v>
      </c>
      <c r="K21" s="19">
        <v>743</v>
      </c>
      <c r="L21" s="19">
        <v>2.5346260287373599</v>
      </c>
      <c r="M21" s="19">
        <v>-12.6731301436868</v>
      </c>
      <c r="N21" s="19">
        <v>0.219922689244715</v>
      </c>
      <c r="O21" s="19">
        <v>-3.4491629356078399E-2</v>
      </c>
      <c r="P21" s="19">
        <v>3.71217169876929E-3</v>
      </c>
      <c r="Q21" s="19">
        <v>5.1582228448546701</v>
      </c>
      <c r="R21" s="19">
        <v>-5.7218874289939698E-3</v>
      </c>
      <c r="S21" s="19">
        <v>-0.11260273971652</v>
      </c>
      <c r="T21" s="19">
        <v>0.30418362850479502</v>
      </c>
      <c r="U21" s="19">
        <v>1.09961344622358</v>
      </c>
      <c r="V21" s="19">
        <v>1.09961344622358</v>
      </c>
      <c r="W21" s="19">
        <v>0</v>
      </c>
      <c r="X21" s="19">
        <v>-12.6731301436868</v>
      </c>
      <c r="Y21" s="19">
        <v>1.09961344622358</v>
      </c>
      <c r="Z21" s="19">
        <v>-11.5735166974632</v>
      </c>
      <c r="AA21" s="19">
        <v>-12.6731301436868</v>
      </c>
      <c r="AB21" s="19">
        <v>1.09961344622358</v>
      </c>
      <c r="AC21" s="19">
        <v>-11.5735166974632</v>
      </c>
      <c r="AD21" s="37">
        <v>40182</v>
      </c>
      <c r="AE21" s="37">
        <f t="shared" si="2"/>
        <v>40969</v>
      </c>
      <c r="AF21" s="37">
        <f t="shared" si="2"/>
        <v>40999</v>
      </c>
      <c r="AG21" s="37">
        <v>40998</v>
      </c>
      <c r="AH21" s="43" t="s">
        <v>120</v>
      </c>
      <c r="AI21" s="7">
        <v>110.32</v>
      </c>
      <c r="AJ21" s="33">
        <f t="shared" si="4"/>
        <v>80</v>
      </c>
      <c r="AK21" s="7">
        <v>0.3</v>
      </c>
      <c r="AL21" s="57">
        <f t="shared" si="5"/>
        <v>3.66</v>
      </c>
      <c r="AM21" s="7">
        <v>5.54953714034539E-3</v>
      </c>
      <c r="AN21" s="9"/>
      <c r="AO21" s="7"/>
      <c r="AP21" s="9"/>
      <c r="AQ21" s="9">
        <f t="shared" si="6"/>
        <v>5</v>
      </c>
      <c r="AR21" s="7"/>
      <c r="AS21" s="9" t="s">
        <v>132</v>
      </c>
      <c r="AT21" s="40" t="b">
        <f t="shared" si="7"/>
        <v>0</v>
      </c>
      <c r="AU21" s="2">
        <f t="shared" si="8"/>
        <v>80</v>
      </c>
      <c r="AV21" s="2">
        <f t="shared" si="9"/>
        <v>1</v>
      </c>
      <c r="AW21" s="2" t="b">
        <f t="shared" si="10"/>
        <v>0</v>
      </c>
      <c r="AX21" s="26">
        <f t="shared" si="0"/>
        <v>0.3</v>
      </c>
      <c r="AY21" s="29">
        <f>IF(AW21,"",ImpliedVolatilityB76Future($E$9,AH21,AI21,AU21,AG21,AX21/AV21,AM21))</f>
        <v>0.3041836320596823</v>
      </c>
      <c r="AZ21" s="26">
        <f t="shared" si="11"/>
        <v>0.3</v>
      </c>
      <c r="BA21" s="30">
        <f>IF(AW21,EXP(-TimeToExpiry($E$9,AG21)*AM21)*(AI21-AU21)*AV21,B76Future($E$9,AH21,AI21,AU21,AG21,AY21,AM21)*AV21)</f>
        <v>0.29999999999999988</v>
      </c>
      <c r="BB21" s="27">
        <f>IF(AW21,EXP(-AM21*TimeToExpiry($E$9,AG21))*(AI21-AU21)*AV21,B76Future($E$9,AH21,AI21,AU21,AG21,T21,AM21)*AV21)</f>
        <v>0.29999998166309721</v>
      </c>
      <c r="BC21" s="1">
        <f t="shared" si="12"/>
        <v>2.5346260287373559</v>
      </c>
      <c r="BD21" s="30">
        <f>IF(AW21,EXP(-TimeToExpiry($E$9,AG21)*AM21)*AV21, B76Delta($E$9,AH21,AI21,AU21,AG21,T21,AM21)*AV21)</f>
        <v>-3.4491629508613043E-2</v>
      </c>
      <c r="BE21" s="30">
        <f>IF(AW21,0,B76Gamma($E$9,AH21,AI21,AU21,AG21,T21,AM21)*AV21)</f>
        <v>3.7121716990826344E-3</v>
      </c>
      <c r="BF21" s="30">
        <f>IF(AW21,0,B76Vega($E$9,AH21,AI21,AU21,AG21,T21,AM21)*AV21)</f>
        <v>5.1582228457243291</v>
      </c>
      <c r="BG21" s="30">
        <f>IF(AW21,(EXP(-TimeToExpiry($E$9,AG21)*AM21)*(AI21-AU21)*AV21*AM21/365),B76Theta($E$9,AH21,AI21,AU21,AG21,T21,AM21)*AV21)</f>
        <v>-5.7218874297544449E-3</v>
      </c>
      <c r="BH21" s="30">
        <f>IF(AW21,(EXP(-TimeToExpiry($E$9,AG21)*AM21)*(AI21-AU21)*AV21*-TimeToExpiry($E$9,AG21)),B76Rho($E$9,AH21,AI21,AU21,AG21,T21,AM21)*AV21)</f>
        <v>-0.11260273284340909</v>
      </c>
      <c r="BI21" s="46">
        <f t="shared" si="13"/>
        <v>-12.67313014368678</v>
      </c>
      <c r="BJ21" s="46">
        <f t="shared" si="14"/>
        <v>1.099613446223574</v>
      </c>
      <c r="BK21" s="46">
        <f t="shared" si="15"/>
        <v>1.099613446223574</v>
      </c>
      <c r="BL21" s="46"/>
      <c r="BM21" s="46"/>
      <c r="BN21" s="46">
        <f t="shared" si="16"/>
        <v>-12.67313014368678</v>
      </c>
      <c r="BO21" s="46">
        <f t="shared" si="17"/>
        <v>1.099613446223574</v>
      </c>
      <c r="BP21" s="46">
        <f t="shared" si="18"/>
        <v>-11.573516697463207</v>
      </c>
      <c r="BQ21" s="46">
        <f t="shared" si="19"/>
        <v>-12.67313014368678</v>
      </c>
      <c r="BR21" s="46">
        <f t="shared" si="20"/>
        <v>1.099613446223574</v>
      </c>
      <c r="BS21" s="46">
        <f t="shared" si="21"/>
        <v>-11.573516697463207</v>
      </c>
      <c r="BT21" s="24">
        <f t="shared" si="22"/>
        <v>-0.17245814754306521</v>
      </c>
      <c r="BU21" s="45">
        <f t="shared" si="23"/>
        <v>0</v>
      </c>
      <c r="BV21" s="45">
        <f t="shared" si="24"/>
        <v>0</v>
      </c>
      <c r="BW21" s="45" t="e">
        <f t="shared" si="25"/>
        <v>#VALUE!</v>
      </c>
      <c r="BX21" s="45">
        <f t="shared" si="26"/>
        <v>0</v>
      </c>
      <c r="BY21" s="41">
        <f t="shared" si="27"/>
        <v>-1.1686648759834384E-8</v>
      </c>
      <c r="BZ21" s="11">
        <f t="shared" si="28"/>
        <v>0</v>
      </c>
      <c r="CA21" s="3">
        <f t="shared" si="29"/>
        <v>0</v>
      </c>
      <c r="CB21" s="3">
        <f t="shared" si="30"/>
        <v>0</v>
      </c>
      <c r="CC21" s="3">
        <f t="shared" si="31"/>
        <v>0</v>
      </c>
      <c r="CD21" s="3">
        <f t="shared" si="32"/>
        <v>0</v>
      </c>
      <c r="CE21" s="3">
        <f t="shared" si="33"/>
        <v>0</v>
      </c>
      <c r="CF21" s="3">
        <f t="shared" si="34"/>
        <v>0</v>
      </c>
      <c r="CG21" s="3">
        <f t="shared" si="35"/>
        <v>0</v>
      </c>
      <c r="CH21" s="3">
        <f t="shared" si="36"/>
        <v>0</v>
      </c>
      <c r="CI21" s="3">
        <f t="shared" si="37"/>
        <v>0</v>
      </c>
      <c r="CJ21" s="3">
        <f t="shared" si="38"/>
        <v>0</v>
      </c>
      <c r="CK21" s="3">
        <f t="shared" si="39"/>
        <v>0</v>
      </c>
      <c r="CL21" s="3">
        <f t="shared" si="40"/>
        <v>0</v>
      </c>
      <c r="CM21" s="3">
        <f t="shared" si="41"/>
        <v>0</v>
      </c>
      <c r="CN21" s="3">
        <f t="shared" si="42"/>
        <v>6.1038579968197837E-8</v>
      </c>
      <c r="CO21" s="3">
        <f t="shared" si="43"/>
        <v>0</v>
      </c>
      <c r="CP21" s="22"/>
    </row>
    <row r="22" spans="2:94" x14ac:dyDescent="0.25">
      <c r="B22" s="19" t="s">
        <v>97</v>
      </c>
      <c r="C22" s="19" t="s">
        <v>110</v>
      </c>
      <c r="D22" s="19" t="s">
        <v>111</v>
      </c>
      <c r="E22" s="20">
        <v>41061</v>
      </c>
      <c r="F22" s="20">
        <v>41090</v>
      </c>
      <c r="G22" s="20" t="s">
        <v>100</v>
      </c>
      <c r="H22" s="19">
        <v>130</v>
      </c>
      <c r="I22" s="19" t="s">
        <v>3</v>
      </c>
      <c r="J22" s="19">
        <v>0</v>
      </c>
      <c r="K22" s="19">
        <v>720</v>
      </c>
      <c r="L22" s="19">
        <v>0</v>
      </c>
      <c r="M22" s="19">
        <v>0</v>
      </c>
      <c r="N22" s="19">
        <v>4.3984537848942997</v>
      </c>
      <c r="O22" s="19">
        <v>0.32886863218580198</v>
      </c>
      <c r="P22" s="19">
        <v>1.11859690436793E-2</v>
      </c>
      <c r="Q22" s="19">
        <v>31.174155986104299</v>
      </c>
      <c r="R22" s="19">
        <v>-2.5375661645479601E-2</v>
      </c>
      <c r="S22" s="19">
        <v>-3.7479452052891902</v>
      </c>
      <c r="T22" s="19">
        <v>0.37297754350740397</v>
      </c>
      <c r="U22" s="19">
        <v>0</v>
      </c>
      <c r="V22" s="19">
        <v>0</v>
      </c>
      <c r="W22" s="19">
        <v>0</v>
      </c>
      <c r="X22" s="19">
        <v>0</v>
      </c>
      <c r="Y22" s="19">
        <v>0</v>
      </c>
      <c r="Z22" s="19">
        <v>0</v>
      </c>
      <c r="AA22" s="19">
        <v>0</v>
      </c>
      <c r="AB22" s="19">
        <v>0</v>
      </c>
      <c r="AC22" s="19">
        <v>0</v>
      </c>
      <c r="AD22" s="37">
        <v>40182</v>
      </c>
      <c r="AE22" s="37">
        <f t="shared" si="2"/>
        <v>41061</v>
      </c>
      <c r="AF22" s="37">
        <f t="shared" si="2"/>
        <v>41090</v>
      </c>
      <c r="AG22" s="37">
        <v>41089</v>
      </c>
      <c r="AH22" s="43" t="s">
        <v>68</v>
      </c>
      <c r="AI22" s="7">
        <v>109.37</v>
      </c>
      <c r="AJ22" s="33">
        <f t="shared" si="4"/>
        <v>130</v>
      </c>
      <c r="AK22" s="7">
        <v>6</v>
      </c>
      <c r="AL22" s="33">
        <f>L22</f>
        <v>0</v>
      </c>
      <c r="AM22" s="7">
        <v>7.4652119758270401E-3</v>
      </c>
      <c r="AN22" s="7"/>
      <c r="AO22" s="7"/>
      <c r="AP22" s="9"/>
      <c r="AQ22" s="9">
        <f t="shared" si="6"/>
        <v>0</v>
      </c>
      <c r="AR22" s="7"/>
      <c r="AS22" s="9" t="s">
        <v>134</v>
      </c>
      <c r="AT22" s="40" t="b">
        <f t="shared" si="7"/>
        <v>0</v>
      </c>
      <c r="AU22" s="2">
        <f t="shared" si="8"/>
        <v>130</v>
      </c>
      <c r="AV22" s="2">
        <f t="shared" si="9"/>
        <v>1</v>
      </c>
      <c r="AW22" s="2" t="b">
        <f t="shared" si="10"/>
        <v>0</v>
      </c>
      <c r="AX22" s="26">
        <f t="shared" si="0"/>
        <v>6</v>
      </c>
      <c r="AY22" s="29">
        <f>IF(AW22,"",ImpliedVolatilityB76Future($E$9,AH22,AI22,AU22,AG22,AX22/AV22,AM22))</f>
        <v>0.37297754349004458</v>
      </c>
      <c r="AZ22" s="26">
        <f t="shared" si="11"/>
        <v>6</v>
      </c>
      <c r="BA22" s="30">
        <f>IF(AW22,EXP(-TimeToExpiry($E$9,AG22)*AM22)*(AI22-AU22)*AV22,B76Future($E$9,AH22,AI22,AU22,AG22,AY22,AM22)*AV22)</f>
        <v>6</v>
      </c>
      <c r="BB22" s="27">
        <f>IF(AW22,EXP(-AM22*TimeToExpiry($E$9,AG22))*(AI22-AU22)*AV22,B76Future($E$9,AH22,AI22,AU22,AG22,T22,AM22)*AV22)</f>
        <v>6.0000000005411671</v>
      </c>
      <c r="BC22" s="1">
        <f t="shared" si="12"/>
        <v>0</v>
      </c>
      <c r="BD22" s="30">
        <f>IF(AW22,EXP(-TimeToExpiry($E$9,AG22)*AM22)*AV22, B76Delta($E$9,AH22,AI22,AU22,AG22,T22,AM22)*AV22)</f>
        <v>0.328868632197162</v>
      </c>
      <c r="BE22" s="30">
        <f>IF(AW22,0,B76Gamma($E$9,AH22,AI22,AU22,AG22,T22,AM22)*AV22)</f>
        <v>1.1185969043508678E-2</v>
      </c>
      <c r="BF22" s="30">
        <f>IF(AW22,0,B76Vega($E$9,AH22,AI22,AU22,AG22,T22,AM22)*AV22)</f>
        <v>31.174155987490902</v>
      </c>
      <c r="BG22" s="30">
        <f>IF(AW22,(EXP(-TimeToExpiry($E$9,AG22)*AM22)*(AI22-AU22)*AV22*AM22/365),B76Theta($E$9,AH22,AI22,AU22,AG22,AY22,AM22)*AV22)</f>
        <v>-2.537566164375055E-2</v>
      </c>
      <c r="BH22" s="30">
        <f>IF(AW22,(EXP(-TimeToExpiry($E$9,AG22)*AM22)*(AI22-AU22)*AV22*-TimeToExpiry($E$9,AG22)),B76Rho($E$9,AH22,AI22,AU22,AG22,T22,AM22)*AV22)</f>
        <v>-3.747945205817496</v>
      </c>
      <c r="BI22" s="46">
        <f t="shared" si="13"/>
        <v>0</v>
      </c>
      <c r="BJ22" s="46">
        <f t="shared" si="14"/>
        <v>0</v>
      </c>
      <c r="BK22" s="46">
        <f t="shared" si="15"/>
        <v>0</v>
      </c>
      <c r="BL22" s="46"/>
      <c r="BM22" s="46"/>
      <c r="BN22" s="46">
        <f t="shared" si="16"/>
        <v>0</v>
      </c>
      <c r="BO22" s="46">
        <f t="shared" si="17"/>
        <v>0</v>
      </c>
      <c r="BP22" s="46">
        <f t="shared" si="18"/>
        <v>0</v>
      </c>
      <c r="BQ22" s="46">
        <f t="shared" si="19"/>
        <v>0</v>
      </c>
      <c r="BR22" s="46">
        <f t="shared" si="20"/>
        <v>0</v>
      </c>
      <c r="BS22" s="46">
        <f t="shared" si="21"/>
        <v>0</v>
      </c>
      <c r="BT22" s="24">
        <f t="shared" si="22"/>
        <v>0</v>
      </c>
      <c r="BU22" s="45">
        <f t="shared" si="23"/>
        <v>0</v>
      </c>
      <c r="BV22" s="45">
        <f t="shared" si="24"/>
        <v>0</v>
      </c>
      <c r="BW22" s="45" t="e">
        <f t="shared" si="25"/>
        <v>#VALUE!</v>
      </c>
      <c r="BX22" s="45">
        <f t="shared" si="26"/>
        <v>0</v>
      </c>
      <c r="BY22" s="41">
        <f t="shared" si="27"/>
        <v>0</v>
      </c>
      <c r="BZ22" s="11">
        <f t="shared" si="28"/>
        <v>0</v>
      </c>
      <c r="CA22" s="3">
        <f t="shared" si="29"/>
        <v>0</v>
      </c>
      <c r="CB22" s="3">
        <f t="shared" si="30"/>
        <v>0</v>
      </c>
      <c r="CC22" s="3">
        <f t="shared" si="31"/>
        <v>0</v>
      </c>
      <c r="CD22" s="3">
        <f t="shared" si="32"/>
        <v>0</v>
      </c>
      <c r="CE22" s="3">
        <f t="shared" si="33"/>
        <v>0</v>
      </c>
      <c r="CF22" s="3">
        <f t="shared" si="34"/>
        <v>0</v>
      </c>
      <c r="CG22" s="3">
        <f t="shared" si="35"/>
        <v>0</v>
      </c>
      <c r="CH22" s="3">
        <f t="shared" si="36"/>
        <v>0</v>
      </c>
      <c r="CI22" s="3">
        <f t="shared" si="37"/>
        <v>0</v>
      </c>
      <c r="CJ22" s="3">
        <f t="shared" si="38"/>
        <v>0</v>
      </c>
      <c r="CK22" s="3">
        <f t="shared" si="39"/>
        <v>0</v>
      </c>
      <c r="CL22" s="3">
        <f t="shared" si="40"/>
        <v>0</v>
      </c>
      <c r="CM22" s="3">
        <f t="shared" si="41"/>
        <v>0</v>
      </c>
      <c r="CN22" s="3">
        <f t="shared" si="42"/>
        <v>0</v>
      </c>
      <c r="CO22" s="3">
        <f t="shared" si="43"/>
        <v>0</v>
      </c>
      <c r="CP22" s="22"/>
    </row>
    <row r="23" spans="2:94" x14ac:dyDescent="0.25">
      <c r="B23" s="19" t="s">
        <v>97</v>
      </c>
      <c r="C23" s="19" t="s">
        <v>112</v>
      </c>
      <c r="D23" s="19" t="s">
        <v>113</v>
      </c>
      <c r="E23" s="20">
        <v>40664</v>
      </c>
      <c r="F23" s="20">
        <v>40694</v>
      </c>
      <c r="G23" s="20" t="s">
        <v>100</v>
      </c>
      <c r="H23" s="19">
        <v>130</v>
      </c>
      <c r="I23" s="19" t="s">
        <v>114</v>
      </c>
      <c r="J23" s="19">
        <v>0</v>
      </c>
      <c r="K23" s="19">
        <v>744</v>
      </c>
      <c r="L23" s="19">
        <v>0</v>
      </c>
      <c r="M23" s="19">
        <v>0</v>
      </c>
      <c r="N23" s="19">
        <v>0</v>
      </c>
      <c r="O23" s="19">
        <v>0</v>
      </c>
      <c r="P23" s="19">
        <v>0</v>
      </c>
      <c r="Q23" s="19">
        <v>0</v>
      </c>
      <c r="R23" s="19">
        <v>0</v>
      </c>
      <c r="S23" s="19">
        <v>0</v>
      </c>
      <c r="T23" s="19">
        <v>0</v>
      </c>
      <c r="U23" s="19">
        <v>0</v>
      </c>
      <c r="V23" s="19">
        <v>0</v>
      </c>
      <c r="W23" s="19">
        <v>0</v>
      </c>
      <c r="X23" s="19">
        <v>0</v>
      </c>
      <c r="Y23" s="19">
        <v>0</v>
      </c>
      <c r="Z23" s="19">
        <v>0</v>
      </c>
      <c r="AA23" s="19">
        <v>0</v>
      </c>
      <c r="AB23" s="19">
        <v>0</v>
      </c>
      <c r="AC23" s="19">
        <v>0</v>
      </c>
      <c r="AD23" s="37">
        <v>40182</v>
      </c>
      <c r="AE23" s="37">
        <f t="shared" si="2"/>
        <v>40664</v>
      </c>
      <c r="AF23" s="37">
        <f t="shared" si="2"/>
        <v>40694</v>
      </c>
      <c r="AG23" s="37">
        <f t="shared" si="3"/>
        <v>40694</v>
      </c>
      <c r="AH23" s="43" t="s">
        <v>68</v>
      </c>
      <c r="AI23" s="7" t="s">
        <v>95</v>
      </c>
      <c r="AJ23" s="33">
        <f t="shared" si="4"/>
        <v>130</v>
      </c>
      <c r="AK23" s="7" t="s">
        <v>95</v>
      </c>
      <c r="AL23" s="33">
        <f>L23</f>
        <v>0</v>
      </c>
      <c r="AM23" s="7" t="s">
        <v>95</v>
      </c>
      <c r="AN23" s="7" t="s">
        <v>95</v>
      </c>
      <c r="AO23" s="7" t="s">
        <v>95</v>
      </c>
      <c r="AP23" s="7"/>
      <c r="AQ23" s="9">
        <f t="shared" si="6"/>
        <v>0</v>
      </c>
      <c r="AR23" s="7" t="s">
        <v>95</v>
      </c>
      <c r="AS23" s="9" t="s">
        <v>135</v>
      </c>
      <c r="AT23" s="40" t="b">
        <f t="shared" si="7"/>
        <v>0</v>
      </c>
      <c r="AU23" s="2">
        <f t="shared" si="8"/>
        <v>130</v>
      </c>
      <c r="AV23" s="2">
        <f t="shared" si="9"/>
        <v>1</v>
      </c>
      <c r="AW23" s="2" t="b">
        <f t="shared" si="10"/>
        <v>0</v>
      </c>
      <c r="AX23" s="26" t="str">
        <f t="shared" si="0"/>
        <v>N/A</v>
      </c>
      <c r="AY23" s="29">
        <f>IF(AW23,"",ImpliedVolatilityB76Future($E$9,AH23,AI23,AU23,AG23,AX23/AV23,AM23))</f>
        <v>0</v>
      </c>
      <c r="AZ23" s="26" t="str">
        <f t="shared" ref="AZ23:BB27" si="44">AM23</f>
        <v>N/A</v>
      </c>
      <c r="BA23" s="26" t="str">
        <f t="shared" si="44"/>
        <v>N/A</v>
      </c>
      <c r="BB23" s="26" t="str">
        <f t="shared" si="44"/>
        <v>N/A</v>
      </c>
      <c r="BC23" s="1">
        <f t="shared" si="12"/>
        <v>0</v>
      </c>
      <c r="BD23" s="26">
        <v>0</v>
      </c>
      <c r="BE23" s="26">
        <v>0</v>
      </c>
      <c r="BF23" s="26">
        <v>0</v>
      </c>
      <c r="BG23" s="26">
        <v>0</v>
      </c>
      <c r="BH23" s="26">
        <v>0</v>
      </c>
      <c r="BI23" s="46">
        <f t="shared" si="13"/>
        <v>0</v>
      </c>
      <c r="BJ23" s="46">
        <v>0</v>
      </c>
      <c r="BK23" s="46">
        <f t="shared" si="15"/>
        <v>0</v>
      </c>
      <c r="BL23" s="46"/>
      <c r="BM23" s="46"/>
      <c r="BN23" s="46">
        <f t="shared" si="16"/>
        <v>0</v>
      </c>
      <c r="BO23" s="46">
        <f t="shared" si="17"/>
        <v>0</v>
      </c>
      <c r="BP23" s="46">
        <f t="shared" si="18"/>
        <v>0</v>
      </c>
      <c r="BQ23" s="46">
        <f t="shared" si="19"/>
        <v>0</v>
      </c>
      <c r="BR23" s="46">
        <f t="shared" si="20"/>
        <v>0</v>
      </c>
      <c r="BS23" s="46">
        <f t="shared" si="21"/>
        <v>0</v>
      </c>
      <c r="BT23" s="24">
        <v>0</v>
      </c>
      <c r="BU23" s="45">
        <f t="shared" si="23"/>
        <v>0</v>
      </c>
      <c r="BV23" s="45">
        <f t="shared" si="24"/>
        <v>0</v>
      </c>
      <c r="BW23" s="45" t="e">
        <f t="shared" si="25"/>
        <v>#VALUE!</v>
      </c>
      <c r="BX23" s="45">
        <f t="shared" si="26"/>
        <v>0</v>
      </c>
      <c r="BY23" s="41">
        <f t="shared" si="27"/>
        <v>0</v>
      </c>
      <c r="BZ23" s="11">
        <f t="shared" si="28"/>
        <v>0</v>
      </c>
      <c r="CA23" s="3">
        <f t="shared" si="29"/>
        <v>0</v>
      </c>
      <c r="CB23" s="3">
        <f t="shared" si="30"/>
        <v>0</v>
      </c>
      <c r="CC23" s="3">
        <f t="shared" si="31"/>
        <v>0</v>
      </c>
      <c r="CD23" s="3">
        <f t="shared" si="32"/>
        <v>0</v>
      </c>
      <c r="CE23" s="3">
        <f t="shared" si="33"/>
        <v>0</v>
      </c>
      <c r="CF23" s="3">
        <f t="shared" si="34"/>
        <v>0</v>
      </c>
      <c r="CG23" s="3">
        <f t="shared" si="35"/>
        <v>0</v>
      </c>
      <c r="CH23" s="3">
        <f t="shared" si="36"/>
        <v>0</v>
      </c>
      <c r="CI23" s="3">
        <f t="shared" si="37"/>
        <v>0</v>
      </c>
      <c r="CJ23" s="3">
        <f t="shared" si="38"/>
        <v>0</v>
      </c>
      <c r="CK23" s="3">
        <f t="shared" si="39"/>
        <v>0</v>
      </c>
      <c r="CL23" s="3">
        <f t="shared" si="40"/>
        <v>0</v>
      </c>
      <c r="CM23" s="3">
        <f t="shared" si="41"/>
        <v>0</v>
      </c>
      <c r="CN23" s="3">
        <f t="shared" si="42"/>
        <v>0</v>
      </c>
      <c r="CO23" s="3">
        <f t="shared" si="43"/>
        <v>0</v>
      </c>
      <c r="CP23" s="22"/>
    </row>
    <row r="24" spans="2:94" x14ac:dyDescent="0.25">
      <c r="B24" s="19" t="s">
        <v>97</v>
      </c>
      <c r="C24" s="19" t="s">
        <v>115</v>
      </c>
      <c r="D24" s="19" t="s">
        <v>116</v>
      </c>
      <c r="E24" s="20">
        <v>40787</v>
      </c>
      <c r="F24" s="20">
        <v>40816</v>
      </c>
      <c r="G24" s="20" t="s">
        <v>100</v>
      </c>
      <c r="H24" s="19">
        <v>130</v>
      </c>
      <c r="I24" s="19" t="s">
        <v>114</v>
      </c>
      <c r="J24" s="19">
        <v>5</v>
      </c>
      <c r="K24" s="19">
        <v>720</v>
      </c>
      <c r="L24" s="19">
        <v>2.5346260287373599</v>
      </c>
      <c r="M24" s="19">
        <v>-12.6731301436868</v>
      </c>
      <c r="N24" s="19">
        <v>0</v>
      </c>
      <c r="O24" s="19">
        <v>0</v>
      </c>
      <c r="P24" s="19">
        <v>0</v>
      </c>
      <c r="Q24" s="19">
        <v>0</v>
      </c>
      <c r="R24" s="19">
        <v>0</v>
      </c>
      <c r="S24" s="19">
        <v>0</v>
      </c>
      <c r="T24" s="19">
        <v>0</v>
      </c>
      <c r="U24" s="19">
        <v>0</v>
      </c>
      <c r="V24" s="19">
        <v>0</v>
      </c>
      <c r="W24" s="19">
        <v>0</v>
      </c>
      <c r="X24" s="19">
        <v>-12.6731301436868</v>
      </c>
      <c r="Y24" s="19">
        <v>0</v>
      </c>
      <c r="Z24" s="19">
        <v>-12.6731301436868</v>
      </c>
      <c r="AA24" s="19">
        <v>-12.6731301436868</v>
      </c>
      <c r="AB24" s="19">
        <v>0</v>
      </c>
      <c r="AC24" s="19">
        <v>-12.6731301436868</v>
      </c>
      <c r="AD24" s="37">
        <v>40182</v>
      </c>
      <c r="AE24" s="37">
        <f t="shared" si="2"/>
        <v>40787</v>
      </c>
      <c r="AF24" s="37">
        <f t="shared" si="2"/>
        <v>40816</v>
      </c>
      <c r="AG24" s="37">
        <f t="shared" si="3"/>
        <v>40816</v>
      </c>
      <c r="AH24" s="43" t="s">
        <v>68</v>
      </c>
      <c r="AI24" s="7" t="s">
        <v>95</v>
      </c>
      <c r="AJ24" s="33">
        <f t="shared" si="4"/>
        <v>130</v>
      </c>
      <c r="AK24" s="7" t="s">
        <v>95</v>
      </c>
      <c r="AL24" s="33">
        <v>3.66</v>
      </c>
      <c r="AM24" s="7" t="s">
        <v>95</v>
      </c>
      <c r="AN24" s="7" t="s">
        <v>95</v>
      </c>
      <c r="AO24" s="7" t="s">
        <v>95</v>
      </c>
      <c r="AP24" s="7"/>
      <c r="AQ24" s="9">
        <f t="shared" si="6"/>
        <v>5</v>
      </c>
      <c r="AR24" s="7" t="s">
        <v>95</v>
      </c>
      <c r="AS24" s="9" t="s">
        <v>125</v>
      </c>
      <c r="AT24" s="40" t="b">
        <f t="shared" si="7"/>
        <v>0</v>
      </c>
      <c r="AU24" s="2">
        <f t="shared" si="8"/>
        <v>130</v>
      </c>
      <c r="AV24" s="2">
        <f t="shared" si="9"/>
        <v>1</v>
      </c>
      <c r="AW24" s="2" t="b">
        <f t="shared" si="10"/>
        <v>0</v>
      </c>
      <c r="AX24" s="26" t="str">
        <f t="shared" si="0"/>
        <v>N/A</v>
      </c>
      <c r="AY24" s="29">
        <f>IF(AW24,"",ImpliedVolatilityB76Future($E$9,AH24,AI24,AU24,AG24,AX24/AV24,AM24))</f>
        <v>0</v>
      </c>
      <c r="AZ24" s="26" t="str">
        <f t="shared" si="44"/>
        <v>N/A</v>
      </c>
      <c r="BA24" s="26" t="str">
        <f t="shared" si="44"/>
        <v>N/A</v>
      </c>
      <c r="BB24" s="26" t="str">
        <f t="shared" si="44"/>
        <v>N/A</v>
      </c>
      <c r="BC24" s="1">
        <f t="shared" si="12"/>
        <v>2.5346260287373559</v>
      </c>
      <c r="BD24" s="26">
        <v>0</v>
      </c>
      <c r="BE24" s="26">
        <v>0</v>
      </c>
      <c r="BF24" s="26">
        <v>0</v>
      </c>
      <c r="BG24" s="26">
        <v>0</v>
      </c>
      <c r="BH24" s="26">
        <v>0</v>
      </c>
      <c r="BI24" s="46">
        <f t="shared" si="13"/>
        <v>-12.67313014368678</v>
      </c>
      <c r="BJ24" s="46">
        <v>0</v>
      </c>
      <c r="BK24" s="46">
        <f t="shared" si="15"/>
        <v>0</v>
      </c>
      <c r="BL24" s="46"/>
      <c r="BM24" s="46">
        <v>0</v>
      </c>
      <c r="BN24" s="46">
        <f>BI24+BL24+BM24</f>
        <v>-12.67313014368678</v>
      </c>
      <c r="BO24" s="46">
        <f t="shared" si="17"/>
        <v>0</v>
      </c>
      <c r="BP24" s="46">
        <f t="shared" si="18"/>
        <v>-12.67313014368678</v>
      </c>
      <c r="BQ24" s="46">
        <f>BL24+BI24+BM24</f>
        <v>-12.67313014368678</v>
      </c>
      <c r="BR24" s="46">
        <f t="shared" si="20"/>
        <v>0</v>
      </c>
      <c r="BS24" s="46">
        <f t="shared" si="21"/>
        <v>-12.67313014368678</v>
      </c>
      <c r="BT24" s="24">
        <v>0</v>
      </c>
      <c r="BU24" s="45">
        <f t="shared" si="23"/>
        <v>0</v>
      </c>
      <c r="BV24" s="45">
        <f t="shared" si="24"/>
        <v>0</v>
      </c>
      <c r="BW24" s="45" t="e">
        <f t="shared" si="25"/>
        <v>#VALUE!</v>
      </c>
      <c r="BX24" s="45">
        <f t="shared" si="26"/>
        <v>0</v>
      </c>
      <c r="BY24" s="41">
        <f t="shared" si="27"/>
        <v>0</v>
      </c>
      <c r="BZ24" s="11">
        <f t="shared" si="28"/>
        <v>0</v>
      </c>
      <c r="CA24" s="3">
        <f t="shared" si="29"/>
        <v>0</v>
      </c>
      <c r="CB24" s="3">
        <f t="shared" si="30"/>
        <v>0</v>
      </c>
      <c r="CC24" s="3">
        <f t="shared" si="31"/>
        <v>0</v>
      </c>
      <c r="CD24" s="3">
        <f t="shared" si="32"/>
        <v>0</v>
      </c>
      <c r="CE24" s="3">
        <f t="shared" si="33"/>
        <v>0</v>
      </c>
      <c r="CF24" s="3">
        <f t="shared" si="34"/>
        <v>0</v>
      </c>
      <c r="CG24" s="3">
        <f t="shared" si="35"/>
        <v>0</v>
      </c>
      <c r="CH24" s="3">
        <f t="shared" si="36"/>
        <v>0</v>
      </c>
      <c r="CI24" s="3">
        <f t="shared" si="37"/>
        <v>0</v>
      </c>
      <c r="CJ24" s="3">
        <f t="shared" si="38"/>
        <v>0</v>
      </c>
      <c r="CK24" s="3">
        <f t="shared" si="39"/>
        <v>0</v>
      </c>
      <c r="CL24" s="3">
        <f t="shared" si="40"/>
        <v>0</v>
      </c>
      <c r="CM24" s="3">
        <f t="shared" si="41"/>
        <v>0</v>
      </c>
      <c r="CN24" s="3">
        <f t="shared" si="42"/>
        <v>0</v>
      </c>
      <c r="CO24" s="3">
        <f t="shared" si="43"/>
        <v>0</v>
      </c>
      <c r="CP24" s="22"/>
    </row>
    <row r="25" spans="2:94" x14ac:dyDescent="0.25">
      <c r="B25" s="5" t="s">
        <v>97</v>
      </c>
      <c r="C25" s="5" t="s">
        <v>115</v>
      </c>
      <c r="D25" s="5" t="s">
        <v>117</v>
      </c>
      <c r="E25" s="51">
        <v>40787</v>
      </c>
      <c r="F25" s="51">
        <v>40816</v>
      </c>
      <c r="G25" s="5" t="s">
        <v>100</v>
      </c>
      <c r="H25" s="5">
        <v>130</v>
      </c>
      <c r="I25" s="5" t="s">
        <v>114</v>
      </c>
      <c r="J25" s="5">
        <v>5</v>
      </c>
      <c r="K25" s="5">
        <v>720</v>
      </c>
      <c r="L25" s="5">
        <v>2.5346260287373599</v>
      </c>
      <c r="M25" s="5">
        <v>-12.6731301436868</v>
      </c>
      <c r="N25" s="5">
        <v>0</v>
      </c>
      <c r="O25" s="5">
        <v>0</v>
      </c>
      <c r="P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58.552939298987198</v>
      </c>
      <c r="Y25" s="5">
        <v>0</v>
      </c>
      <c r="Z25" s="5">
        <v>58.552939298987198</v>
      </c>
      <c r="AA25" s="5">
        <v>58.552939298987198</v>
      </c>
      <c r="AB25" s="5">
        <v>0</v>
      </c>
      <c r="AC25" s="5">
        <v>58.552939298987198</v>
      </c>
      <c r="AD25" s="37">
        <v>40182</v>
      </c>
      <c r="AE25" s="37">
        <f t="shared" si="2"/>
        <v>40787</v>
      </c>
      <c r="AF25" s="37">
        <f t="shared" si="2"/>
        <v>40816</v>
      </c>
      <c r="AG25" s="37">
        <f t="shared" si="3"/>
        <v>40816</v>
      </c>
      <c r="AH25" s="43" t="s">
        <v>120</v>
      </c>
      <c r="AI25" s="7" t="s">
        <v>95</v>
      </c>
      <c r="AJ25" s="33">
        <f t="shared" si="4"/>
        <v>130</v>
      </c>
      <c r="AK25" s="7" t="s">
        <v>95</v>
      </c>
      <c r="AL25" s="33">
        <v>3.66</v>
      </c>
      <c r="AM25" s="7" t="s">
        <v>95</v>
      </c>
      <c r="AN25" s="7" t="s">
        <v>95</v>
      </c>
      <c r="AO25" s="7" t="s">
        <v>95</v>
      </c>
      <c r="AP25" s="7"/>
      <c r="AQ25" s="9">
        <f t="shared" si="6"/>
        <v>5</v>
      </c>
      <c r="AR25" s="7" t="s">
        <v>95</v>
      </c>
      <c r="AS25" s="9" t="s">
        <v>126</v>
      </c>
      <c r="AT25" s="40" t="b">
        <f t="shared" si="7"/>
        <v>0</v>
      </c>
      <c r="AU25" s="2">
        <f t="shared" si="8"/>
        <v>130</v>
      </c>
      <c r="AV25" s="2">
        <f t="shared" si="9"/>
        <v>1</v>
      </c>
      <c r="AW25" s="2" t="b">
        <f t="shared" si="10"/>
        <v>0</v>
      </c>
      <c r="AX25" s="26" t="str">
        <f t="shared" si="0"/>
        <v>N/A</v>
      </c>
      <c r="AY25" s="29">
        <f>IF(AW25,"",ImpliedVolatilityB76Future($E$9,AH25,AI25,AU25,AG25,AX25/AV25,AM25))</f>
        <v>0</v>
      </c>
      <c r="AZ25" s="26" t="str">
        <f t="shared" si="44"/>
        <v>N/A</v>
      </c>
      <c r="BA25" s="26" t="str">
        <f t="shared" si="44"/>
        <v>N/A</v>
      </c>
      <c r="BB25" s="26" t="str">
        <f t="shared" si="44"/>
        <v>N/A</v>
      </c>
      <c r="BC25" s="1">
        <f t="shared" si="12"/>
        <v>2.5346260287373559</v>
      </c>
      <c r="BD25" s="26">
        <v>0</v>
      </c>
      <c r="BE25" s="26">
        <v>0</v>
      </c>
      <c r="BF25" s="26">
        <v>0</v>
      </c>
      <c r="BG25" s="26">
        <v>0</v>
      </c>
      <c r="BH25" s="26">
        <v>0</v>
      </c>
      <c r="BI25" s="46">
        <f t="shared" si="13"/>
        <v>-12.67313014368678</v>
      </c>
      <c r="BJ25" s="46">
        <v>0</v>
      </c>
      <c r="BK25" s="46">
        <f t="shared" si="15"/>
        <v>0</v>
      </c>
      <c r="BL25" s="46"/>
      <c r="BM25" s="46">
        <f>(AJ25-'Historic settlement prices'!F3)*AQ25*$H$10</f>
        <v>71.226069442674259</v>
      </c>
      <c r="BN25" s="46">
        <f>BI25+BL25+BM25</f>
        <v>58.552939298987482</v>
      </c>
      <c r="BO25" s="46">
        <f t="shared" si="17"/>
        <v>0</v>
      </c>
      <c r="BP25" s="46">
        <f t="shared" si="18"/>
        <v>58.552939298987482</v>
      </c>
      <c r="BQ25" s="46">
        <f>BL25+BI25+BM25</f>
        <v>58.552939298987482</v>
      </c>
      <c r="BR25" s="46">
        <f t="shared" si="20"/>
        <v>0</v>
      </c>
      <c r="BS25" s="46">
        <f t="shared" si="21"/>
        <v>58.552939298987482</v>
      </c>
      <c r="BT25" s="24">
        <v>0</v>
      </c>
      <c r="BU25" s="45">
        <f t="shared" si="23"/>
        <v>0</v>
      </c>
      <c r="BV25" s="45">
        <f t="shared" si="24"/>
        <v>0</v>
      </c>
      <c r="BW25" s="45" t="e">
        <f t="shared" si="25"/>
        <v>#VALUE!</v>
      </c>
      <c r="BX25" s="45">
        <f t="shared" si="26"/>
        <v>0</v>
      </c>
      <c r="BY25" s="41">
        <f t="shared" si="27"/>
        <v>0</v>
      </c>
      <c r="BZ25" s="11">
        <f t="shared" si="28"/>
        <v>0</v>
      </c>
      <c r="CA25" s="3">
        <f t="shared" si="29"/>
        <v>0</v>
      </c>
      <c r="CB25" s="3">
        <f t="shared" si="30"/>
        <v>0</v>
      </c>
      <c r="CC25" s="3">
        <f t="shared" si="31"/>
        <v>0</v>
      </c>
      <c r="CD25" s="3">
        <f t="shared" si="32"/>
        <v>0</v>
      </c>
      <c r="CE25" s="3">
        <f t="shared" si="33"/>
        <v>0</v>
      </c>
      <c r="CF25" s="3">
        <f t="shared" si="34"/>
        <v>0</v>
      </c>
      <c r="CG25" s="3">
        <f t="shared" si="35"/>
        <v>0</v>
      </c>
      <c r="CH25" s="3">
        <f t="shared" si="36"/>
        <v>0</v>
      </c>
      <c r="CI25" s="3">
        <f t="shared" si="37"/>
        <v>0</v>
      </c>
      <c r="CJ25" s="3">
        <f t="shared" si="38"/>
        <v>0</v>
      </c>
      <c r="CK25" s="3">
        <f t="shared" si="39"/>
        <v>0</v>
      </c>
      <c r="CL25" s="3">
        <f t="shared" si="40"/>
        <v>0</v>
      </c>
      <c r="CM25" s="3">
        <f t="shared" si="41"/>
        <v>0</v>
      </c>
      <c r="CN25" s="3">
        <f t="shared" si="42"/>
        <v>0</v>
      </c>
      <c r="CO25" s="3">
        <f t="shared" si="43"/>
        <v>0</v>
      </c>
    </row>
    <row r="26" spans="2:94" ht="15.75" customHeight="1" x14ac:dyDescent="0.25">
      <c r="B26" s="14" t="s">
        <v>97</v>
      </c>
      <c r="C26" s="14" t="s">
        <v>115</v>
      </c>
      <c r="D26" s="14" t="s">
        <v>118</v>
      </c>
      <c r="E26" s="15">
        <v>40787</v>
      </c>
      <c r="F26" s="15">
        <v>40816</v>
      </c>
      <c r="G26" s="28" t="s">
        <v>100</v>
      </c>
      <c r="H26" s="14">
        <v>80</v>
      </c>
      <c r="I26" s="14" t="s">
        <v>114</v>
      </c>
      <c r="J26" s="14">
        <v>5</v>
      </c>
      <c r="K26" s="14">
        <v>720</v>
      </c>
      <c r="L26" s="14">
        <v>2.5346260287373599</v>
      </c>
      <c r="M26" s="14">
        <v>-12.6731301436868</v>
      </c>
      <c r="N26" s="14">
        <v>0</v>
      </c>
      <c r="O26" s="14">
        <v>0</v>
      </c>
      <c r="P26" s="14">
        <v>0</v>
      </c>
      <c r="Q26" s="14">
        <v>0</v>
      </c>
      <c r="R26" s="16">
        <v>0</v>
      </c>
      <c r="S26" s="14">
        <v>0</v>
      </c>
      <c r="T26" s="31">
        <v>0</v>
      </c>
      <c r="U26" s="14">
        <v>0</v>
      </c>
      <c r="V26" s="14">
        <v>0</v>
      </c>
      <c r="W26" s="14">
        <v>0</v>
      </c>
      <c r="X26" s="14">
        <v>102.175650522748</v>
      </c>
      <c r="Y26" s="14">
        <v>0</v>
      </c>
      <c r="Z26" s="14">
        <v>102.175650522748</v>
      </c>
      <c r="AA26" s="14">
        <v>102.175650522748</v>
      </c>
      <c r="AB26" s="14">
        <v>0</v>
      </c>
      <c r="AC26" s="14">
        <v>102.175650522748</v>
      </c>
      <c r="AD26" s="37">
        <v>40182</v>
      </c>
      <c r="AE26" s="37">
        <f t="shared" si="2"/>
        <v>40787</v>
      </c>
      <c r="AF26" s="37">
        <f t="shared" si="2"/>
        <v>40816</v>
      </c>
      <c r="AG26" s="37">
        <f t="shared" si="3"/>
        <v>40816</v>
      </c>
      <c r="AH26" s="43" t="s">
        <v>68</v>
      </c>
      <c r="AI26" s="7" t="s">
        <v>95</v>
      </c>
      <c r="AJ26" s="33">
        <f t="shared" si="4"/>
        <v>80</v>
      </c>
      <c r="AK26" s="7" t="s">
        <v>95</v>
      </c>
      <c r="AL26" s="33">
        <v>3.66</v>
      </c>
      <c r="AM26" s="7" t="s">
        <v>95</v>
      </c>
      <c r="AN26" s="7" t="s">
        <v>95</v>
      </c>
      <c r="AO26" s="7" t="s">
        <v>95</v>
      </c>
      <c r="AP26" s="7"/>
      <c r="AQ26" s="9">
        <f t="shared" si="6"/>
        <v>5</v>
      </c>
      <c r="AR26" s="7" t="s">
        <v>95</v>
      </c>
      <c r="AS26" s="9" t="s">
        <v>127</v>
      </c>
      <c r="AT26" s="40" t="b">
        <f t="shared" si="7"/>
        <v>0</v>
      </c>
      <c r="AU26" s="2">
        <f t="shared" si="8"/>
        <v>80</v>
      </c>
      <c r="AV26" s="2">
        <f t="shared" si="9"/>
        <v>1</v>
      </c>
      <c r="AW26" s="2" t="b">
        <f t="shared" si="10"/>
        <v>0</v>
      </c>
      <c r="AX26" s="26" t="str">
        <f t="shared" si="0"/>
        <v>N/A</v>
      </c>
      <c r="AY26" s="29">
        <f>IF(AW26,"",ImpliedVolatilityB76Future($E$9,AH26,AI26,AU26,AG26,AX26/AV26,AM26))</f>
        <v>0</v>
      </c>
      <c r="AZ26" s="26" t="str">
        <f t="shared" si="44"/>
        <v>N/A</v>
      </c>
      <c r="BA26" s="26" t="str">
        <f t="shared" si="44"/>
        <v>N/A</v>
      </c>
      <c r="BB26" s="26" t="str">
        <f t="shared" si="44"/>
        <v>N/A</v>
      </c>
      <c r="BC26" s="1">
        <f t="shared" si="12"/>
        <v>2.5346260287373559</v>
      </c>
      <c r="BD26" s="26">
        <v>0</v>
      </c>
      <c r="BE26" s="26">
        <v>0</v>
      </c>
      <c r="BF26" s="26">
        <v>0</v>
      </c>
      <c r="BG26" s="26">
        <v>0</v>
      </c>
      <c r="BH26" s="26">
        <v>0</v>
      </c>
      <c r="BI26" s="46">
        <f t="shared" si="13"/>
        <v>-12.67313014368678</v>
      </c>
      <c r="BJ26" s="46">
        <v>0</v>
      </c>
      <c r="BK26" s="46">
        <f t="shared" si="15"/>
        <v>0</v>
      </c>
      <c r="BL26" s="46"/>
      <c r="BM26" s="46">
        <f>('Historic settlement prices'!F3-'Asian-PosMon-USD-MtM'!AU26)*AQ26*$H$10</f>
        <v>114.84878066643449</v>
      </c>
      <c r="BN26" s="46">
        <f>BI26+BL26+BM26</f>
        <v>102.17565052274772</v>
      </c>
      <c r="BO26" s="46">
        <f t="shared" si="17"/>
        <v>0</v>
      </c>
      <c r="BP26" s="46">
        <f t="shared" si="18"/>
        <v>102.17565052274772</v>
      </c>
      <c r="BQ26" s="46">
        <f>BL26+BI26+BM26</f>
        <v>102.17565052274772</v>
      </c>
      <c r="BR26" s="46">
        <f t="shared" si="20"/>
        <v>0</v>
      </c>
      <c r="BS26" s="46">
        <f t="shared" si="21"/>
        <v>102.17565052274772</v>
      </c>
      <c r="BT26" s="24">
        <v>0</v>
      </c>
      <c r="BU26" s="45">
        <f t="shared" si="23"/>
        <v>0</v>
      </c>
      <c r="BV26" s="45">
        <f t="shared" si="24"/>
        <v>0</v>
      </c>
      <c r="BW26" s="45" t="e">
        <f t="shared" si="25"/>
        <v>#VALUE!</v>
      </c>
      <c r="BX26" s="45">
        <f t="shared" si="26"/>
        <v>0</v>
      </c>
      <c r="BY26" s="41">
        <f t="shared" si="27"/>
        <v>0</v>
      </c>
      <c r="BZ26" s="11">
        <f t="shared" si="28"/>
        <v>0</v>
      </c>
      <c r="CA26" s="3">
        <f t="shared" si="29"/>
        <v>0</v>
      </c>
      <c r="CB26" s="3">
        <f t="shared" si="30"/>
        <v>0</v>
      </c>
      <c r="CC26" s="3">
        <f t="shared" si="31"/>
        <v>0</v>
      </c>
      <c r="CD26" s="3">
        <f t="shared" si="32"/>
        <v>0</v>
      </c>
      <c r="CE26" s="3">
        <f t="shared" si="33"/>
        <v>0</v>
      </c>
      <c r="CF26" s="3">
        <f t="shared" si="34"/>
        <v>0</v>
      </c>
      <c r="CG26" s="3">
        <f t="shared" si="35"/>
        <v>0</v>
      </c>
      <c r="CH26" s="3">
        <f t="shared" si="36"/>
        <v>0</v>
      </c>
      <c r="CI26" s="3">
        <f t="shared" si="37"/>
        <v>0</v>
      </c>
      <c r="CJ26" s="3">
        <f t="shared" si="38"/>
        <v>0</v>
      </c>
      <c r="CK26" s="3">
        <f t="shared" si="39"/>
        <v>0</v>
      </c>
      <c r="CL26" s="3">
        <f t="shared" si="40"/>
        <v>0</v>
      </c>
      <c r="CM26" s="3">
        <f t="shared" si="41"/>
        <v>0</v>
      </c>
      <c r="CN26" s="3">
        <f t="shared" si="42"/>
        <v>0</v>
      </c>
      <c r="CO26" s="3">
        <f t="shared" si="43"/>
        <v>0</v>
      </c>
    </row>
    <row r="27" spans="2:94" x14ac:dyDescent="0.25">
      <c r="B27" s="14" t="s">
        <v>97</v>
      </c>
      <c r="C27" s="14" t="s">
        <v>115</v>
      </c>
      <c r="D27" s="14" t="s">
        <v>119</v>
      </c>
      <c r="E27" s="15">
        <v>40787</v>
      </c>
      <c r="F27" s="15">
        <v>40816</v>
      </c>
      <c r="G27" s="28" t="s">
        <v>100</v>
      </c>
      <c r="H27" s="14">
        <v>80</v>
      </c>
      <c r="I27" s="14" t="s">
        <v>114</v>
      </c>
      <c r="J27" s="14">
        <v>5</v>
      </c>
      <c r="K27" s="14">
        <v>720</v>
      </c>
      <c r="L27" s="14">
        <v>2.5346260287373599</v>
      </c>
      <c r="M27" s="14">
        <v>-12.6731301436868</v>
      </c>
      <c r="N27" s="14">
        <v>0</v>
      </c>
      <c r="O27" s="14">
        <v>0</v>
      </c>
      <c r="P27" s="14">
        <v>0</v>
      </c>
      <c r="Q27" s="14">
        <v>0</v>
      </c>
      <c r="R27" s="16">
        <v>0</v>
      </c>
      <c r="S27" s="14">
        <v>0</v>
      </c>
      <c r="T27" s="31">
        <v>0</v>
      </c>
      <c r="U27" s="14">
        <v>0</v>
      </c>
      <c r="V27" s="14">
        <v>0</v>
      </c>
      <c r="W27" s="14">
        <v>0</v>
      </c>
      <c r="X27" s="14">
        <v>-12.6731301436868</v>
      </c>
      <c r="Y27" s="14">
        <v>0</v>
      </c>
      <c r="Z27" s="14">
        <v>-12.6731301436868</v>
      </c>
      <c r="AA27" s="14">
        <v>-12.6731301436868</v>
      </c>
      <c r="AB27" s="14">
        <v>0</v>
      </c>
      <c r="AC27" s="14">
        <v>-12.6731301436868</v>
      </c>
      <c r="AD27" s="37">
        <v>40182</v>
      </c>
      <c r="AE27" s="37">
        <f t="shared" si="2"/>
        <v>40787</v>
      </c>
      <c r="AF27" s="37">
        <f t="shared" si="2"/>
        <v>40816</v>
      </c>
      <c r="AG27" s="37">
        <f t="shared" si="3"/>
        <v>40816</v>
      </c>
      <c r="AH27" s="43" t="s">
        <v>120</v>
      </c>
      <c r="AI27" s="7" t="s">
        <v>95</v>
      </c>
      <c r="AJ27" s="33">
        <f t="shared" si="4"/>
        <v>80</v>
      </c>
      <c r="AK27" s="7" t="s">
        <v>95</v>
      </c>
      <c r="AL27" s="33">
        <v>3.66</v>
      </c>
      <c r="AM27" s="7" t="s">
        <v>95</v>
      </c>
      <c r="AN27" s="7" t="s">
        <v>95</v>
      </c>
      <c r="AO27" s="7" t="s">
        <v>95</v>
      </c>
      <c r="AP27" s="7"/>
      <c r="AQ27" s="9">
        <f t="shared" si="6"/>
        <v>5</v>
      </c>
      <c r="AR27" s="7" t="s">
        <v>95</v>
      </c>
      <c r="AS27" s="9" t="s">
        <v>128</v>
      </c>
      <c r="AT27" s="40" t="b">
        <f t="shared" si="7"/>
        <v>0</v>
      </c>
      <c r="AU27" s="2">
        <f t="shared" si="8"/>
        <v>80</v>
      </c>
      <c r="AV27" s="2">
        <f t="shared" si="9"/>
        <v>1</v>
      </c>
      <c r="AW27" s="2" t="b">
        <f t="shared" si="10"/>
        <v>0</v>
      </c>
      <c r="AX27" s="26" t="str">
        <f t="shared" si="0"/>
        <v>N/A</v>
      </c>
      <c r="AY27" s="29">
        <f>IF(AW27,"",ImpliedVolatilityB76Future($E$9,AH27,AI27,AU27,AG27,AX27/AV27,AM27))</f>
        <v>0</v>
      </c>
      <c r="AZ27" s="26" t="str">
        <f t="shared" si="44"/>
        <v>N/A</v>
      </c>
      <c r="BA27" s="26" t="str">
        <f t="shared" si="44"/>
        <v>N/A</v>
      </c>
      <c r="BB27" s="26" t="str">
        <f t="shared" si="44"/>
        <v>N/A</v>
      </c>
      <c r="BC27" s="1">
        <f t="shared" si="12"/>
        <v>2.5346260287373559</v>
      </c>
      <c r="BD27" s="26">
        <v>0</v>
      </c>
      <c r="BE27" s="26">
        <v>0</v>
      </c>
      <c r="BF27" s="26">
        <v>0</v>
      </c>
      <c r="BG27" s="26">
        <v>0</v>
      </c>
      <c r="BH27" s="26">
        <v>0</v>
      </c>
      <c r="BI27" s="46">
        <f t="shared" si="13"/>
        <v>-12.67313014368678</v>
      </c>
      <c r="BJ27" s="46">
        <v>0</v>
      </c>
      <c r="BK27" s="46">
        <f t="shared" si="15"/>
        <v>0</v>
      </c>
      <c r="BL27" s="46"/>
      <c r="BM27" s="46">
        <v>0</v>
      </c>
      <c r="BN27" s="46">
        <f>BI27+BL27+BM27</f>
        <v>-12.67313014368678</v>
      </c>
      <c r="BO27" s="46">
        <f t="shared" si="17"/>
        <v>0</v>
      </c>
      <c r="BP27" s="46">
        <f t="shared" si="18"/>
        <v>-12.67313014368678</v>
      </c>
      <c r="BQ27" s="46">
        <f>BL27+BI27+BM27</f>
        <v>-12.67313014368678</v>
      </c>
      <c r="BR27" s="46">
        <f t="shared" si="20"/>
        <v>0</v>
      </c>
      <c r="BS27" s="46">
        <f t="shared" si="21"/>
        <v>-12.67313014368678</v>
      </c>
      <c r="BT27" s="24">
        <v>0</v>
      </c>
      <c r="BU27" s="45">
        <f t="shared" si="23"/>
        <v>0</v>
      </c>
      <c r="BV27" s="45">
        <f t="shared" si="24"/>
        <v>0</v>
      </c>
      <c r="BW27" s="45" t="e">
        <f t="shared" si="25"/>
        <v>#VALUE!</v>
      </c>
      <c r="BX27" s="45">
        <f t="shared" si="26"/>
        <v>0</v>
      </c>
      <c r="BY27" s="41">
        <f t="shared" si="27"/>
        <v>0</v>
      </c>
      <c r="BZ27" s="11">
        <f t="shared" si="28"/>
        <v>0</v>
      </c>
      <c r="CA27" s="3">
        <f t="shared" si="29"/>
        <v>0</v>
      </c>
      <c r="CB27" s="3">
        <f t="shared" si="30"/>
        <v>0</v>
      </c>
      <c r="CC27" s="3">
        <f t="shared" si="31"/>
        <v>0</v>
      </c>
      <c r="CD27" s="3">
        <f t="shared" si="32"/>
        <v>0</v>
      </c>
      <c r="CE27" s="3">
        <f t="shared" si="33"/>
        <v>0</v>
      </c>
      <c r="CF27" s="3">
        <f t="shared" si="34"/>
        <v>0</v>
      </c>
      <c r="CG27" s="3">
        <f t="shared" si="35"/>
        <v>0</v>
      </c>
      <c r="CH27" s="3">
        <f t="shared" si="36"/>
        <v>0</v>
      </c>
      <c r="CI27" s="3">
        <f t="shared" si="37"/>
        <v>0</v>
      </c>
      <c r="CJ27" s="3">
        <f t="shared" si="38"/>
        <v>0</v>
      </c>
      <c r="CK27" s="3">
        <f t="shared" si="39"/>
        <v>0</v>
      </c>
      <c r="CL27" s="3">
        <f t="shared" si="40"/>
        <v>0</v>
      </c>
      <c r="CM27" s="3">
        <f t="shared" si="41"/>
        <v>0</v>
      </c>
      <c r="CN27" s="3">
        <f t="shared" si="42"/>
        <v>0</v>
      </c>
      <c r="CO27" s="3">
        <f t="shared" si="43"/>
        <v>0</v>
      </c>
    </row>
    <row r="28" spans="2:94" x14ac:dyDescent="0.25">
      <c r="B28" s="34"/>
      <c r="C28" s="34"/>
      <c r="D28" s="34"/>
      <c r="E28" s="47"/>
      <c r="F28" s="47"/>
      <c r="G28" s="47"/>
      <c r="H28" s="34"/>
      <c r="I28" s="34"/>
      <c r="J28" s="34"/>
      <c r="K28" s="34"/>
      <c r="L28" s="34"/>
      <c r="M28" s="34"/>
      <c r="N28" s="34"/>
      <c r="O28" s="34"/>
      <c r="P28" s="34"/>
      <c r="Q28" s="34"/>
      <c r="R28" s="48"/>
      <c r="S28" s="34"/>
      <c r="T28" s="49"/>
      <c r="U28" s="34"/>
      <c r="V28" s="34"/>
      <c r="W28" s="34"/>
      <c r="X28" s="34"/>
      <c r="Y28" s="34"/>
      <c r="Z28" s="34"/>
      <c r="AA28" s="34"/>
      <c r="AB28" s="34"/>
      <c r="AC28" s="34"/>
      <c r="BD28" s="23"/>
    </row>
    <row r="29" spans="2:94" ht="15" customHeight="1" x14ac:dyDescent="0.25">
      <c r="BD29" s="23"/>
    </row>
    <row r="30" spans="2:94" x14ac:dyDescent="0.25">
      <c r="AI30" s="22"/>
      <c r="AJ30" s="22"/>
    </row>
  </sheetData>
  <pageMargins left="0.7" right="0.7" top="0.75" bottom="0.75" header="0.3" footer="0.3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8"/>
  <dimension ref="B1:CP30"/>
  <sheetViews>
    <sheetView workbookViewId="0">
      <selection activeCell="F8" sqref="F8"/>
    </sheetView>
  </sheetViews>
  <sheetFormatPr baseColWidth="10" defaultColWidth="11.42578125" defaultRowHeight="15" x14ac:dyDescent="0.25"/>
  <cols>
    <col min="1" max="1" width="11.42578125" style="32"/>
    <col min="2" max="3" width="15.140625" style="32" bestFit="1" customWidth="1"/>
    <col min="4" max="4" width="27.42578125" style="32" bestFit="1" customWidth="1"/>
    <col min="5" max="5" width="11.42578125" style="32"/>
    <col min="6" max="6" width="22.85546875" style="32" customWidth="1"/>
    <col min="7" max="7" width="23.5703125" style="32" bestFit="1" customWidth="1"/>
    <col min="8" max="19" width="11.42578125" style="32"/>
    <col min="20" max="20" width="14" style="32" customWidth="1"/>
    <col min="21" max="28" width="11.42578125" style="32"/>
    <col min="29" max="29" width="12" style="32" bestFit="1" customWidth="1"/>
    <col min="30" max="34" width="12" style="32" customWidth="1"/>
    <col min="35" max="35" width="19.42578125" style="32" bestFit="1" customWidth="1"/>
    <col min="36" max="36" width="19.42578125" style="32" customWidth="1"/>
    <col min="37" max="37" width="15.42578125" style="32" bestFit="1" customWidth="1"/>
    <col min="38" max="38" width="15.42578125" style="32" customWidth="1"/>
    <col min="39" max="39" width="19.42578125" style="32" bestFit="1" customWidth="1"/>
    <col min="40" max="40" width="19" style="32" bestFit="1" customWidth="1"/>
    <col min="41" max="41" width="19.28515625" style="32" bestFit="1" customWidth="1"/>
    <col min="42" max="42" width="9.28515625" style="32" bestFit="1" customWidth="1"/>
    <col min="43" max="43" width="9.28515625" style="32" customWidth="1"/>
    <col min="44" max="44" width="11.42578125" style="32"/>
    <col min="45" max="45" width="18.28515625" style="32" bestFit="1" customWidth="1"/>
    <col min="46" max="46" width="12.28515625" style="32" bestFit="1" customWidth="1"/>
    <col min="47" max="47" width="8.7109375" style="32" bestFit="1" customWidth="1"/>
    <col min="48" max="48" width="12" style="32" bestFit="1" customWidth="1"/>
    <col min="49" max="49" width="11.42578125" style="32"/>
    <col min="50" max="50" width="16.5703125" style="32" bestFit="1" customWidth="1"/>
    <col min="51" max="51" width="16.5703125" style="32" customWidth="1"/>
    <col min="52" max="52" width="11.42578125" style="32"/>
    <col min="53" max="53" width="14.7109375" style="32" bestFit="1" customWidth="1"/>
    <col min="54" max="54" width="16.42578125" style="32" bestFit="1" customWidth="1"/>
    <col min="55" max="55" width="13.5703125" style="32" bestFit="1" customWidth="1"/>
    <col min="56" max="56" width="13.28515625" style="32" bestFit="1" customWidth="1"/>
    <col min="57" max="57" width="12.5703125" style="32" bestFit="1" customWidth="1"/>
    <col min="58" max="58" width="13.7109375" style="32" bestFit="1" customWidth="1"/>
    <col min="59" max="59" width="13.42578125" style="32" bestFit="1" customWidth="1"/>
    <col min="60" max="60" width="15.5703125" style="32" customWidth="1"/>
    <col min="61" max="61" width="16.42578125" style="32" bestFit="1" customWidth="1"/>
    <col min="62" max="71" width="11.42578125" style="32"/>
    <col min="72" max="72" width="13.28515625" style="32" bestFit="1" customWidth="1"/>
    <col min="73" max="75" width="13.28515625" style="32" customWidth="1"/>
    <col min="76" max="76" width="10.42578125" style="32" bestFit="1" customWidth="1"/>
    <col min="77" max="77" width="13.5703125" style="32" bestFit="1" customWidth="1"/>
    <col min="78" max="78" width="14.28515625" style="32" bestFit="1" customWidth="1"/>
    <col min="79" max="79" width="15" style="32" bestFit="1" customWidth="1"/>
    <col min="80" max="80" width="12.7109375" style="32" bestFit="1" customWidth="1"/>
    <col min="81" max="83" width="11.42578125" style="32"/>
    <col min="84" max="84" width="14.85546875" style="32" bestFit="1" customWidth="1"/>
    <col min="85" max="85" width="17.140625" style="32" bestFit="1" customWidth="1"/>
    <col min="86" max="16384" width="11.42578125" style="32"/>
  </cols>
  <sheetData>
    <row r="1" spans="2:94" x14ac:dyDescent="0.25">
      <c r="AS1" s="34"/>
      <c r="AT1" s="34"/>
      <c r="AU1" s="34"/>
      <c r="AV1" s="34"/>
      <c r="AW1" s="34"/>
    </row>
    <row r="2" spans="2:94" ht="13.5" customHeight="1" x14ac:dyDescent="0.25">
      <c r="F2" s="23"/>
      <c r="AS2" s="34"/>
      <c r="AT2" s="34"/>
      <c r="AU2" s="34"/>
      <c r="AV2" s="34"/>
      <c r="AW2" s="34"/>
    </row>
    <row r="3" spans="2:94" x14ac:dyDescent="0.25">
      <c r="D3" s="5" t="s">
        <v>67</v>
      </c>
      <c r="F3" s="23"/>
      <c r="AI3" s="13"/>
      <c r="AJ3" s="13"/>
      <c r="AS3" s="34"/>
      <c r="AT3" s="34"/>
      <c r="AU3" s="34"/>
      <c r="AV3" s="34"/>
      <c r="AW3" s="34"/>
    </row>
    <row r="4" spans="2:94" x14ac:dyDescent="0.25">
      <c r="D4" s="7" t="s">
        <v>63</v>
      </c>
      <c r="F4" s="23"/>
      <c r="AS4" s="21"/>
      <c r="AT4" s="21"/>
      <c r="AU4" s="21"/>
      <c r="AV4" s="21"/>
      <c r="AW4" s="21"/>
    </row>
    <row r="5" spans="2:94" x14ac:dyDescent="0.25">
      <c r="D5" s="2" t="s">
        <v>65</v>
      </c>
      <c r="F5" s="23"/>
      <c r="AS5" s="21"/>
      <c r="AT5" s="21"/>
      <c r="AU5" s="21"/>
      <c r="AV5" s="21"/>
      <c r="AW5" s="21"/>
    </row>
    <row r="6" spans="2:94" x14ac:dyDescent="0.25">
      <c r="D6" s="4" t="s">
        <v>66</v>
      </c>
      <c r="F6" s="23"/>
    </row>
    <row r="7" spans="2:94" x14ac:dyDescent="0.25">
      <c r="D7" s="21"/>
      <c r="F7" s="23"/>
    </row>
    <row r="8" spans="2:94" ht="93" customHeight="1" x14ac:dyDescent="0.25">
      <c r="D8" s="32" t="s">
        <v>62</v>
      </c>
      <c r="E8" s="12" t="s">
        <v>144</v>
      </c>
      <c r="F8" s="23"/>
      <c r="AI8" s="22"/>
      <c r="AJ8" s="22"/>
    </row>
    <row r="9" spans="2:94" x14ac:dyDescent="0.25">
      <c r="D9" s="32" t="s">
        <v>64</v>
      </c>
      <c r="E9" s="23">
        <v>40862</v>
      </c>
      <c r="F9" s="23"/>
      <c r="AT9" s="32">
        <f>EXP(-AM15*TimeToExpiry($E$9,AG15))</f>
        <v>0.99990626871461874</v>
      </c>
    </row>
    <row r="10" spans="2:94" x14ac:dyDescent="0.25">
      <c r="D10" s="21" t="s">
        <v>141</v>
      </c>
      <c r="E10" s="32">
        <v>0.73307563081571603</v>
      </c>
      <c r="F10" s="22"/>
      <c r="G10" s="32" t="s">
        <v>143</v>
      </c>
      <c r="H10" s="32">
        <f>E11</f>
        <v>0.73308947727552498</v>
      </c>
      <c r="AT10" s="32">
        <f>(AI15-AU15)*AT9*AV15</f>
        <v>33.211886715356059</v>
      </c>
    </row>
    <row r="11" spans="2:94" x14ac:dyDescent="0.25">
      <c r="D11" s="21" t="s">
        <v>142</v>
      </c>
      <c r="E11" s="32">
        <v>0.73308947727552498</v>
      </c>
    </row>
    <row r="12" spans="2:94" x14ac:dyDescent="0.25">
      <c r="B12" s="14" t="s">
        <v>8</v>
      </c>
      <c r="C12" s="14" t="s">
        <v>17</v>
      </c>
      <c r="D12" s="14" t="s">
        <v>9</v>
      </c>
      <c r="E12" s="14" t="s">
        <v>10</v>
      </c>
      <c r="F12" s="14" t="s">
        <v>11</v>
      </c>
      <c r="G12" s="14" t="s">
        <v>1</v>
      </c>
      <c r="H12" s="14" t="s">
        <v>2</v>
      </c>
      <c r="I12" s="14" t="s">
        <v>12</v>
      </c>
      <c r="J12" s="14" t="s">
        <v>13</v>
      </c>
      <c r="K12" s="14" t="s">
        <v>0</v>
      </c>
      <c r="L12" s="14" t="s">
        <v>14</v>
      </c>
      <c r="M12" s="14" t="s">
        <v>15</v>
      </c>
      <c r="N12" s="14" t="s">
        <v>16</v>
      </c>
      <c r="O12" s="14" t="s">
        <v>18</v>
      </c>
      <c r="P12" s="14" t="s">
        <v>19</v>
      </c>
      <c r="Q12" s="14" t="s">
        <v>20</v>
      </c>
      <c r="R12" s="14" t="s">
        <v>6</v>
      </c>
      <c r="S12" s="14" t="s">
        <v>7</v>
      </c>
      <c r="T12" s="14" t="s">
        <v>4</v>
      </c>
      <c r="U12" s="14" t="s">
        <v>21</v>
      </c>
      <c r="V12" s="14" t="s">
        <v>22</v>
      </c>
      <c r="W12" s="14" t="s">
        <v>23</v>
      </c>
      <c r="X12" s="14" t="s">
        <v>24</v>
      </c>
      <c r="Y12" s="14" t="s">
        <v>25</v>
      </c>
      <c r="Z12" s="14" t="s">
        <v>26</v>
      </c>
      <c r="AA12" s="14" t="s">
        <v>27</v>
      </c>
      <c r="AB12" s="14" t="s">
        <v>28</v>
      </c>
      <c r="AC12" s="14" t="s">
        <v>29</v>
      </c>
      <c r="AD12" s="36" t="s">
        <v>88</v>
      </c>
      <c r="AE12" s="36" t="s">
        <v>10</v>
      </c>
      <c r="AF12" s="36" t="s">
        <v>11</v>
      </c>
      <c r="AG12" s="36" t="s">
        <v>84</v>
      </c>
      <c r="AH12" s="36" t="s">
        <v>31</v>
      </c>
      <c r="AI12" s="36" t="s">
        <v>32</v>
      </c>
      <c r="AJ12" s="36" t="s">
        <v>2</v>
      </c>
      <c r="AK12" s="36" t="s">
        <v>83</v>
      </c>
      <c r="AL12" s="36" t="s">
        <v>87</v>
      </c>
      <c r="AM12" s="6" t="s">
        <v>5</v>
      </c>
      <c r="AN12" s="36" t="s">
        <v>75</v>
      </c>
      <c r="AO12" s="36" t="s">
        <v>76</v>
      </c>
      <c r="AP12" s="36" t="s">
        <v>77</v>
      </c>
      <c r="AQ12" s="36" t="s">
        <v>86</v>
      </c>
      <c r="AR12" s="36" t="s">
        <v>78</v>
      </c>
      <c r="AS12" s="36" t="s">
        <v>89</v>
      </c>
      <c r="AT12" s="38" t="s">
        <v>80</v>
      </c>
      <c r="AU12" s="39" t="s">
        <v>81</v>
      </c>
      <c r="AV12" s="39" t="s">
        <v>79</v>
      </c>
      <c r="AW12" s="39" t="s">
        <v>82</v>
      </c>
      <c r="AX12" s="39" t="s">
        <v>83</v>
      </c>
      <c r="AY12" s="8" t="s">
        <v>94</v>
      </c>
      <c r="AZ12" s="1" t="s">
        <v>30</v>
      </c>
      <c r="BA12" s="1" t="s">
        <v>74</v>
      </c>
      <c r="BB12" s="1" t="s">
        <v>85</v>
      </c>
      <c r="BC12" s="1" t="s">
        <v>71</v>
      </c>
      <c r="BD12" s="30" t="s">
        <v>33</v>
      </c>
      <c r="BE12" s="30" t="s">
        <v>34</v>
      </c>
      <c r="BF12" s="30" t="s">
        <v>35</v>
      </c>
      <c r="BG12" s="30" t="s">
        <v>36</v>
      </c>
      <c r="BH12" s="30" t="s">
        <v>37</v>
      </c>
      <c r="BI12" s="10" t="s">
        <v>38</v>
      </c>
      <c r="BJ12" s="10" t="s">
        <v>39</v>
      </c>
      <c r="BK12" s="10" t="s">
        <v>40</v>
      </c>
      <c r="BL12" s="10" t="s">
        <v>41</v>
      </c>
      <c r="BM12" s="10" t="s">
        <v>139</v>
      </c>
      <c r="BN12" s="10" t="s">
        <v>42</v>
      </c>
      <c r="BO12" s="10" t="s">
        <v>43</v>
      </c>
      <c r="BP12" s="10" t="s">
        <v>44</v>
      </c>
      <c r="BQ12" s="10" t="s">
        <v>45</v>
      </c>
      <c r="BR12" s="10" t="s">
        <v>46</v>
      </c>
      <c r="BS12" s="10" t="s">
        <v>47</v>
      </c>
      <c r="BT12" s="10" t="s">
        <v>72</v>
      </c>
      <c r="BU12" s="44" t="s">
        <v>90</v>
      </c>
      <c r="BV12" s="44" t="s">
        <v>91</v>
      </c>
      <c r="BW12" s="44" t="s">
        <v>92</v>
      </c>
      <c r="BX12" s="44" t="s">
        <v>93</v>
      </c>
      <c r="BY12" s="11" t="s">
        <v>73</v>
      </c>
      <c r="BZ12" s="11" t="s">
        <v>57</v>
      </c>
      <c r="CA12" s="11" t="s">
        <v>48</v>
      </c>
      <c r="CB12" s="11" t="s">
        <v>49</v>
      </c>
      <c r="CC12" s="11" t="s">
        <v>50</v>
      </c>
      <c r="CD12" s="11" t="s">
        <v>58</v>
      </c>
      <c r="CE12" s="11" t="s">
        <v>51</v>
      </c>
      <c r="CF12" s="11" t="s">
        <v>52</v>
      </c>
      <c r="CG12" s="11" t="s">
        <v>53</v>
      </c>
      <c r="CH12" s="11" t="s">
        <v>54</v>
      </c>
      <c r="CI12" s="11" t="s">
        <v>55</v>
      </c>
      <c r="CJ12" s="11" t="s">
        <v>56</v>
      </c>
      <c r="CK12" s="11" t="s">
        <v>69</v>
      </c>
      <c r="CL12" s="11" t="s">
        <v>59</v>
      </c>
      <c r="CM12" s="11" t="s">
        <v>70</v>
      </c>
      <c r="CN12" s="11" t="s">
        <v>60</v>
      </c>
      <c r="CO12" s="11" t="s">
        <v>61</v>
      </c>
    </row>
    <row r="13" spans="2:94" x14ac:dyDescent="0.25">
      <c r="B13" s="14" t="s">
        <v>97</v>
      </c>
      <c r="C13" s="14" t="s">
        <v>98</v>
      </c>
      <c r="D13" s="14" t="s">
        <v>99</v>
      </c>
      <c r="E13" s="15">
        <v>40848</v>
      </c>
      <c r="F13" s="15">
        <v>40877</v>
      </c>
      <c r="G13" s="28" t="s">
        <v>100</v>
      </c>
      <c r="H13" s="14">
        <v>130</v>
      </c>
      <c r="I13" s="14" t="s">
        <v>3</v>
      </c>
      <c r="J13" s="14">
        <v>5000</v>
      </c>
      <c r="K13" s="14">
        <v>720</v>
      </c>
      <c r="L13" s="14">
        <v>2.6831074868284199</v>
      </c>
      <c r="M13" s="14">
        <v>-13415.537434142099</v>
      </c>
      <c r="N13" s="14">
        <v>0.73307563081571703</v>
      </c>
      <c r="O13" s="14">
        <v>8.5658409636628297E-2</v>
      </c>
      <c r="P13" s="14">
        <v>5.3589739602808604E-3</v>
      </c>
      <c r="Q13" s="14">
        <v>3.13340952506113</v>
      </c>
      <c r="R13" s="16">
        <v>-0.100212585545483</v>
      </c>
      <c r="S13" s="14">
        <v>-4.3835616406646301E-2</v>
      </c>
      <c r="T13" s="31">
        <v>1.0234826251860201</v>
      </c>
      <c r="U13" s="14">
        <v>3665.3781540785799</v>
      </c>
      <c r="V13" s="14">
        <v>3665.3781540785799</v>
      </c>
      <c r="W13" s="14">
        <v>0</v>
      </c>
      <c r="X13" s="14">
        <v>-13415.537434142099</v>
      </c>
      <c r="Y13" s="14">
        <v>3665.3781540785799</v>
      </c>
      <c r="Z13" s="14">
        <v>-9750.1592800635208</v>
      </c>
      <c r="AA13" s="14">
        <v>-13415.537434142099</v>
      </c>
      <c r="AB13" s="14">
        <v>3665.3781540785799</v>
      </c>
      <c r="AC13" s="14">
        <v>-9750.1592800635208</v>
      </c>
      <c r="AD13" s="37">
        <v>40182</v>
      </c>
      <c r="AE13" s="37">
        <f>E13</f>
        <v>40848</v>
      </c>
      <c r="AF13" s="37">
        <f>F13</f>
        <v>40877</v>
      </c>
      <c r="AG13" s="37">
        <f>AF13</f>
        <v>40877</v>
      </c>
      <c r="AH13" s="9" t="s">
        <v>68</v>
      </c>
      <c r="AI13" s="9">
        <v>114.16</v>
      </c>
      <c r="AJ13" s="33">
        <f>H13</f>
        <v>130</v>
      </c>
      <c r="AK13" s="9">
        <v>1</v>
      </c>
      <c r="AL13" s="57">
        <f>3.66</f>
        <v>3.66</v>
      </c>
      <c r="AM13" s="9">
        <v>2.1383451642447899E-3</v>
      </c>
      <c r="AN13" s="9">
        <f>COUNT('Historic settlement prices'!B3:B16)</f>
        <v>10</v>
      </c>
      <c r="AO13" s="9">
        <v>12</v>
      </c>
      <c r="AP13" s="9">
        <f>AN13+AO13</f>
        <v>22</v>
      </c>
      <c r="AQ13" s="9">
        <f>J13</f>
        <v>5000</v>
      </c>
      <c r="AR13" s="9">
        <f>AVERAGE('Historic settlement prices'!$B$3:$B$16)</f>
        <v>112.08099999999999</v>
      </c>
      <c r="AS13" s="9" t="s">
        <v>121</v>
      </c>
      <c r="AT13" s="40" t="b">
        <f>AND(AE13&lt;=E$9,AF13&gt;=E$9)</f>
        <v>1</v>
      </c>
      <c r="AU13" s="2">
        <f>IF(AT13,(AP13/AO13)*AJ13-(AN13/AO13*AR13),AJ13)</f>
        <v>144.9325</v>
      </c>
      <c r="AV13" s="2">
        <f>IF(AP13="",1,AO13/AP13)</f>
        <v>0.54545454545454541</v>
      </c>
      <c r="AW13" s="2" t="b">
        <f>AU13&lt;0</f>
        <v>0</v>
      </c>
      <c r="AX13" s="26">
        <f t="shared" ref="AX13:AX27" si="0">AK13</f>
        <v>1</v>
      </c>
      <c r="AY13" s="29">
        <f>IF(AW13,"",ImpliedVolatilityB76Future($E$9,AH13,AI13,AU13,AG13,AX13/AV13,AM13))</f>
        <v>1.0234826236505254</v>
      </c>
      <c r="AZ13" s="26">
        <f>AX13</f>
        <v>1</v>
      </c>
      <c r="BA13" s="30">
        <f>IF(AW13,EXP(-TimeToExpiry($E$9,AG13)*AM13)*(AI13-AU13)*AV13,B76Future($E$9,AH13,AI13,AU13,AG13,AY13,AM13)*AV13)</f>
        <v>0.99999999999999978</v>
      </c>
      <c r="BB13" s="27">
        <f>IF(AW13,EXP(-AM13*TimeToExpiry($E$9,AG13))*(AI13-AU13)*AV13,B76Future($E$9,AH13,AI13,AU13,AG13,T13,AM13)*AV13)</f>
        <v>1.0000000048113351</v>
      </c>
      <c r="BC13" s="1">
        <f>AL13*$E$11</f>
        <v>2.6831074868284217</v>
      </c>
      <c r="BD13" s="30">
        <f>IF(AW13,EXP(-TimeToExpiry($E$9,AG13)*AM13)*AV13, B76Delta($E$9,AH13,AI13,AU13,AG13,AY13,AM13)*AV13)</f>
        <v>8.565840944293629E-2</v>
      </c>
      <c r="BE13" s="30">
        <f>IF(AW13,0,B76Gamma($E$9,AH13,AI13,AU13,AG13,T13,AM13)*AV13)</f>
        <v>5.3589739607244205E-3</v>
      </c>
      <c r="BF13" s="30">
        <f>IF(AW13,0,B76Vega($E$9,AH13,AI13,AU13,AG13,T13,AM13)*AV13)</f>
        <v>3.1334095275871277</v>
      </c>
      <c r="BG13" s="30">
        <f>IF(AW13,(EXP(-TimeToExpiry($E$9,AG13)*AM13)*(AI13-AU13)*AV13*AM13/365),B76Theta($E$9,AH13,AI13,AU13,AG13,AY13,AM13)*AV13)</f>
        <v>-0.10021258521863528</v>
      </c>
      <c r="BH13" s="30">
        <f>IF(AW13,(EXP(-TimeToExpiry($E$9,AG13)*AM13)*(AI13-AU13)*AV13*-TimeToExpiry($E$9,AG13)),B76Rho($E$9,AH13,AI13,AU13,AG13,T13,AM13)*AV13)</f>
        <v>-4.3835616649264005E-2</v>
      </c>
      <c r="BI13" s="46">
        <f>-AL13*AQ13*$E$11</f>
        <v>-13415.537434142107</v>
      </c>
      <c r="BJ13" s="46">
        <f>AX13*AQ13*$E$10</f>
        <v>3665.3781540785803</v>
      </c>
      <c r="BK13" s="46">
        <f>BJ13</f>
        <v>3665.3781540785803</v>
      </c>
      <c r="BL13" s="46"/>
      <c r="BM13" s="46"/>
      <c r="BN13" s="46">
        <f>BI13+BL13</f>
        <v>-13415.537434142107</v>
      </c>
      <c r="BO13" s="46">
        <f>BK13</f>
        <v>3665.3781540785803</v>
      </c>
      <c r="BP13" s="46">
        <f>BN13+BO13</f>
        <v>-9750.1592800635262</v>
      </c>
      <c r="BQ13" s="46">
        <f>BL13+BI13</f>
        <v>-13415.537434142107</v>
      </c>
      <c r="BR13" s="46">
        <f>BK13</f>
        <v>3665.3781540785803</v>
      </c>
      <c r="BS13" s="46">
        <f>BQ13+BR13</f>
        <v>-9750.1592800635262</v>
      </c>
      <c r="BT13" s="24">
        <f>BD13*AQ13</f>
        <v>428.29204721468147</v>
      </c>
      <c r="BU13" s="45">
        <f>QaAssert(E13,AE13)</f>
        <v>0</v>
      </c>
      <c r="BV13" s="45">
        <f>QaAssert(F13,AF13)</f>
        <v>0</v>
      </c>
      <c r="BW13" s="45" t="e">
        <f>QaAssert(G13,AG13)</f>
        <v>#VALUE!</v>
      </c>
      <c r="BX13" s="45">
        <f>QaAssert(H13,AJ13)</f>
        <v>0</v>
      </c>
      <c r="BY13" s="41">
        <f>QaAssert(T13,AY13)</f>
        <v>0</v>
      </c>
      <c r="BZ13" s="11">
        <f>QaAssert(L13,BC13)</f>
        <v>0</v>
      </c>
      <c r="CA13" s="3">
        <f>QaAssert(M13,BI13)</f>
        <v>0</v>
      </c>
      <c r="CB13" s="3">
        <f>QaAssert(U13,BJ13)</f>
        <v>0</v>
      </c>
      <c r="CC13" s="3">
        <f>QaAssert(V13,BK13)</f>
        <v>0</v>
      </c>
      <c r="CD13" s="3">
        <f>QaAssert(W13,BL13)</f>
        <v>0</v>
      </c>
      <c r="CE13" s="3">
        <f t="shared" ref="CE13:CJ27" si="1">QaAssert(X13,BN13)</f>
        <v>0</v>
      </c>
      <c r="CF13" s="3">
        <f t="shared" si="1"/>
        <v>0</v>
      </c>
      <c r="CG13" s="3">
        <f t="shared" si="1"/>
        <v>0</v>
      </c>
      <c r="CH13" s="3">
        <f t="shared" si="1"/>
        <v>0</v>
      </c>
      <c r="CI13" s="3">
        <f t="shared" si="1"/>
        <v>0</v>
      </c>
      <c r="CJ13" s="3">
        <f t="shared" si="1"/>
        <v>0</v>
      </c>
      <c r="CK13" s="3">
        <f t="shared" ref="CK13:CM27" si="2">QaAssert(O13,BD13)</f>
        <v>0</v>
      </c>
      <c r="CL13" s="3">
        <f t="shared" si="2"/>
        <v>0</v>
      </c>
      <c r="CM13" s="3">
        <f t="shared" si="2"/>
        <v>0</v>
      </c>
      <c r="CN13" s="3">
        <f>QaAssert(S13,BH13)</f>
        <v>0</v>
      </c>
      <c r="CO13" s="3">
        <f>QaAssert(R13,BG13)</f>
        <v>0</v>
      </c>
      <c r="CP13" s="22"/>
    </row>
    <row r="14" spans="2:94" x14ac:dyDescent="0.25">
      <c r="B14" s="14" t="s">
        <v>97</v>
      </c>
      <c r="C14" s="14" t="s">
        <v>98</v>
      </c>
      <c r="D14" s="14" t="s">
        <v>101</v>
      </c>
      <c r="E14" s="15">
        <v>40848</v>
      </c>
      <c r="F14" s="15">
        <v>40877</v>
      </c>
      <c r="G14" s="28" t="s">
        <v>100</v>
      </c>
      <c r="H14" s="14">
        <v>130</v>
      </c>
      <c r="I14" s="14" t="s">
        <v>3</v>
      </c>
      <c r="J14" s="14">
        <v>5</v>
      </c>
      <c r="K14" s="14">
        <v>720</v>
      </c>
      <c r="L14" s="14">
        <v>2.6831074868284199</v>
      </c>
      <c r="M14" s="14">
        <v>-13.415537434142101</v>
      </c>
      <c r="N14" s="14">
        <v>14.661512616314299</v>
      </c>
      <c r="O14" s="14">
        <v>-0.38669908604312297</v>
      </c>
      <c r="P14" s="14">
        <v>4.9204407284714697E-3</v>
      </c>
      <c r="Q14" s="14">
        <v>4.4693751482086101</v>
      </c>
      <c r="R14" s="16">
        <v>-0.221950123528105</v>
      </c>
      <c r="S14" s="14">
        <v>-0.87671232813292799</v>
      </c>
      <c r="T14" s="31">
        <v>1.58996574224575</v>
      </c>
      <c r="U14" s="14">
        <v>73.307563081571701</v>
      </c>
      <c r="V14" s="14">
        <v>73.307563081571701</v>
      </c>
      <c r="W14" s="14">
        <v>0</v>
      </c>
      <c r="X14" s="14">
        <v>-13.415537434142101</v>
      </c>
      <c r="Y14" s="14">
        <v>73.307563081571701</v>
      </c>
      <c r="Z14" s="14">
        <v>59.892025647429598</v>
      </c>
      <c r="AA14" s="14">
        <v>-13.415537434142101</v>
      </c>
      <c r="AB14" s="14">
        <v>73.307563081571701</v>
      </c>
      <c r="AC14" s="14">
        <v>59.892025647429598</v>
      </c>
      <c r="AD14" s="37">
        <v>40182</v>
      </c>
      <c r="AE14" s="37">
        <f t="shared" ref="AE14:AF27" si="3">E14</f>
        <v>40848</v>
      </c>
      <c r="AF14" s="37">
        <f t="shared" si="3"/>
        <v>40877</v>
      </c>
      <c r="AG14" s="37">
        <f t="shared" ref="AG14:AG27" si="4">AF14</f>
        <v>40877</v>
      </c>
      <c r="AH14" s="9" t="s">
        <v>120</v>
      </c>
      <c r="AI14" s="9">
        <v>114.16</v>
      </c>
      <c r="AJ14" s="33">
        <f t="shared" ref="AJ14:AJ27" si="5">H14</f>
        <v>130</v>
      </c>
      <c r="AK14" s="7">
        <v>20</v>
      </c>
      <c r="AL14" s="57">
        <f t="shared" ref="AL14:AL21" si="6">3.66</f>
        <v>3.66</v>
      </c>
      <c r="AM14" s="7">
        <v>2.1383451642447899E-3</v>
      </c>
      <c r="AN14" s="7">
        <v>10</v>
      </c>
      <c r="AO14" s="7">
        <v>12</v>
      </c>
      <c r="AP14" s="9">
        <f>AN14+AO14</f>
        <v>22</v>
      </c>
      <c r="AQ14" s="9">
        <f t="shared" ref="AQ14:AQ27" si="7">J14</f>
        <v>5</v>
      </c>
      <c r="AR14" s="9">
        <f>AVERAGE('Historic settlement prices'!$B$3:$B$16)</f>
        <v>112.08099999999999</v>
      </c>
      <c r="AS14" s="9" t="s">
        <v>122</v>
      </c>
      <c r="AT14" s="40" t="b">
        <f t="shared" ref="AT14:AT27" si="8">AND(AE14&lt;=E$9,AF14&gt;=E$9)</f>
        <v>1</v>
      </c>
      <c r="AU14" s="2">
        <f t="shared" ref="AU14:AU27" si="9">IF(AT14,(AP14/AO14)*AJ14-(AN14/AO14*AR14),AJ14)</f>
        <v>144.9325</v>
      </c>
      <c r="AV14" s="2">
        <f t="shared" ref="AV14:AV27" si="10">IF(AP14="",1,AO14/AP14)</f>
        <v>0.54545454545454541</v>
      </c>
      <c r="AW14" s="2" t="b">
        <f t="shared" ref="AW14:AW27" si="11">AU14&lt;0</f>
        <v>0</v>
      </c>
      <c r="AX14" s="26">
        <f t="shared" si="0"/>
        <v>20</v>
      </c>
      <c r="AY14" s="29">
        <f>IF(AW14,"",ImpliedVolatilityB76Future($E$9,AH14,AI14,AU14,AG14,AX14/AV14,AM14))</f>
        <v>1.5899657409581822</v>
      </c>
      <c r="AZ14" s="26">
        <f t="shared" ref="AZ14:AZ22" si="12">AX14</f>
        <v>20</v>
      </c>
      <c r="BA14" s="30">
        <f>IF(AW14,EXP(-TimeToExpiry($E$9,AG14)*AM14)*(AI14-AU14)*AV14,B76Future($E$9,AH14,AI14,AU14,AG14,AY14,AM14)*AV14)</f>
        <v>20.000000000000004</v>
      </c>
      <c r="BB14" s="27">
        <f>IF(AW14,EXP(-AM14*TimeToExpiry($E$9,AG14))*(AI14-AU14)*AV14,B76Future($E$9,AH14,AI14,AU14,AG14,T14,AM14)*AV14)</f>
        <v>20.000000005754625</v>
      </c>
      <c r="BC14" s="1">
        <f t="shared" ref="BC14:BC27" si="13">AL14*$E$11</f>
        <v>2.6831074868284217</v>
      </c>
      <c r="BD14" s="30">
        <f>IF(AW14,EXP(-TimeToExpiry($E$9,AG14)*AM14)*AV14, B76Delta($E$9,AH14,AI14,AU14,AG14,AY14,AM14)*AV14)</f>
        <v>-0.38669908611732989</v>
      </c>
      <c r="BE14" s="30">
        <f>IF(AW14,0,B76Gamma($E$9,AH14,AI14,AU14,AG14,T14,AM14)*AV14)</f>
        <v>4.9204407275569547E-3</v>
      </c>
      <c r="BF14" s="30">
        <f>IF(AW14,0,B76Vega($E$9,AH14,AI14,AU14,AG14,T14,AM14)*AV14)</f>
        <v>4.4693751506109898</v>
      </c>
      <c r="BG14" s="30">
        <f>IF(AW14,(EXP(-TimeToExpiry($E$9,AG14)*AM14)*(AI14-AU14)*AV14*AM14/365),B76Theta($E$9,AH14,AI14,AU14,AG14,AY14,AM14)*AV14)</f>
        <v>-0.22195012321954374</v>
      </c>
      <c r="BH14" s="30">
        <f>IF(AW14,(EXP(-TimeToExpiry($E$9,AG14)*AM14)*(AI14-AU14)*AV14*-TimeToExpiry($E$9,AG14)),B76Rho($E$9,AH14,AI14,AU14,AG14,T14,AM14)*AV14)</f>
        <v>-0.8767123290193809</v>
      </c>
      <c r="BI14" s="46">
        <f t="shared" ref="BI14:BI27" si="14">-AL14*AQ14*$E$11</f>
        <v>-13.415537434142108</v>
      </c>
      <c r="BJ14" s="46">
        <f t="shared" ref="BJ14:BJ22" si="15">AX14*AQ14*$E$10</f>
        <v>73.307563081571601</v>
      </c>
      <c r="BK14" s="46">
        <f t="shared" ref="BK14:BK27" si="16">BJ14</f>
        <v>73.307563081571601</v>
      </c>
      <c r="BL14" s="46"/>
      <c r="BM14" s="46"/>
      <c r="BN14" s="46">
        <f t="shared" ref="BN14:BN23" si="17">BI14+BL14</f>
        <v>-13.415537434142108</v>
      </c>
      <c r="BO14" s="46">
        <f t="shared" ref="BO14:BO27" si="18">BK14</f>
        <v>73.307563081571601</v>
      </c>
      <c r="BP14" s="46">
        <f t="shared" ref="BP14:BP27" si="19">BN14+BO14</f>
        <v>59.892025647429492</v>
      </c>
      <c r="BQ14" s="46">
        <f t="shared" ref="BQ14:BQ23" si="20">BL14+BI14</f>
        <v>-13.415537434142108</v>
      </c>
      <c r="BR14" s="46">
        <f t="shared" ref="BR14:BR27" si="21">BK14</f>
        <v>73.307563081571601</v>
      </c>
      <c r="BS14" s="46">
        <f t="shared" ref="BS14:BS27" si="22">BQ14+BR14</f>
        <v>59.892025647429492</v>
      </c>
      <c r="BT14" s="24">
        <f t="shared" ref="BT14:BT22" si="23">BD14*AQ14</f>
        <v>-1.9334954305866494</v>
      </c>
      <c r="BU14" s="45">
        <f t="shared" ref="BU14:BW27" si="24">QaAssert(E14,AE14)</f>
        <v>0</v>
      </c>
      <c r="BV14" s="45">
        <f t="shared" si="24"/>
        <v>0</v>
      </c>
      <c r="BW14" s="45" t="e">
        <f t="shared" si="24"/>
        <v>#VALUE!</v>
      </c>
      <c r="BX14" s="45">
        <f t="shared" ref="BX14:BX27" si="25">QaAssert(H14,AJ14)</f>
        <v>0</v>
      </c>
      <c r="BY14" s="41">
        <f t="shared" ref="BY14:BY27" si="26">QaAssert(T14,AY14)</f>
        <v>0</v>
      </c>
      <c r="BZ14" s="11">
        <f t="shared" ref="BZ14:BZ27" si="27">QaAssert(L14,BC14)</f>
        <v>0</v>
      </c>
      <c r="CA14" s="3">
        <f t="shared" ref="CA14:CA27" si="28">QaAssert(M14,BI14)</f>
        <v>0</v>
      </c>
      <c r="CB14" s="3">
        <f t="shared" ref="CB14:CD27" si="29">QaAssert(U14,BJ14)</f>
        <v>0</v>
      </c>
      <c r="CC14" s="3">
        <f t="shared" si="29"/>
        <v>0</v>
      </c>
      <c r="CD14" s="3">
        <f t="shared" si="29"/>
        <v>0</v>
      </c>
      <c r="CE14" s="3">
        <f t="shared" si="1"/>
        <v>0</v>
      </c>
      <c r="CF14" s="3">
        <f t="shared" si="1"/>
        <v>0</v>
      </c>
      <c r="CG14" s="3">
        <f t="shared" si="1"/>
        <v>0</v>
      </c>
      <c r="CH14" s="3">
        <f t="shared" si="1"/>
        <v>0</v>
      </c>
      <c r="CI14" s="3">
        <f t="shared" si="1"/>
        <v>0</v>
      </c>
      <c r="CJ14" s="3">
        <f t="shared" si="1"/>
        <v>0</v>
      </c>
      <c r="CK14" s="3">
        <f t="shared" si="2"/>
        <v>0</v>
      </c>
      <c r="CL14" s="3">
        <f t="shared" si="2"/>
        <v>0</v>
      </c>
      <c r="CM14" s="3">
        <f t="shared" si="2"/>
        <v>0</v>
      </c>
      <c r="CN14" s="3">
        <f t="shared" ref="CN14:CN27" si="30">QaAssert(S14,BH14)</f>
        <v>0</v>
      </c>
      <c r="CO14" s="3">
        <f t="shared" ref="CO14:CO27" si="31">QaAssert(R14,BG14)</f>
        <v>0</v>
      </c>
      <c r="CP14" s="22"/>
    </row>
    <row r="15" spans="2:94" x14ac:dyDescent="0.25">
      <c r="B15" s="14" t="s">
        <v>97</v>
      </c>
      <c r="C15" s="14" t="s">
        <v>98</v>
      </c>
      <c r="D15" s="14" t="s">
        <v>102</v>
      </c>
      <c r="E15" s="15">
        <v>40848</v>
      </c>
      <c r="F15" s="15">
        <v>40877</v>
      </c>
      <c r="G15" s="28" t="s">
        <v>100</v>
      </c>
      <c r="H15" s="14">
        <v>80</v>
      </c>
      <c r="I15" s="14" t="s">
        <v>3</v>
      </c>
      <c r="J15" s="14">
        <v>5</v>
      </c>
      <c r="K15" s="14">
        <v>720</v>
      </c>
      <c r="L15" s="14">
        <v>2.6831074868284199</v>
      </c>
      <c r="M15" s="14">
        <v>-13.415537434142101</v>
      </c>
      <c r="N15" s="14">
        <v>28.589949601813</v>
      </c>
      <c r="O15" s="14">
        <v>0.487652047959512</v>
      </c>
      <c r="P15" s="14">
        <v>8.2255332527717895E-4</v>
      </c>
      <c r="Q15" s="14">
        <v>2.3848898398544298</v>
      </c>
      <c r="R15" s="16">
        <v>-0.37801161807490402</v>
      </c>
      <c r="S15" s="14">
        <v>-1.70958903985921</v>
      </c>
      <c r="T15" s="31">
        <v>5.0751539757903004</v>
      </c>
      <c r="U15" s="14">
        <v>142.94974800906499</v>
      </c>
      <c r="V15" s="14">
        <v>142.94974800906499</v>
      </c>
      <c r="W15" s="14">
        <v>0</v>
      </c>
      <c r="X15" s="14">
        <v>-13.415537434142101</v>
      </c>
      <c r="Y15" s="14">
        <v>142.94974800906499</v>
      </c>
      <c r="Z15" s="14">
        <v>129.53421057492301</v>
      </c>
      <c r="AA15" s="14">
        <v>-13.415537434142101</v>
      </c>
      <c r="AB15" s="14">
        <v>142.94974800906499</v>
      </c>
      <c r="AC15" s="14">
        <v>129.53421057492301</v>
      </c>
      <c r="AD15" s="37">
        <v>40182</v>
      </c>
      <c r="AE15" s="37">
        <f t="shared" si="3"/>
        <v>40848</v>
      </c>
      <c r="AF15" s="37">
        <f t="shared" si="3"/>
        <v>40877</v>
      </c>
      <c r="AG15" s="37">
        <f t="shared" si="4"/>
        <v>40877</v>
      </c>
      <c r="AH15" s="9" t="s">
        <v>68</v>
      </c>
      <c r="AI15" s="9">
        <v>114.16</v>
      </c>
      <c r="AJ15" s="33">
        <f t="shared" si="5"/>
        <v>80</v>
      </c>
      <c r="AK15" s="7">
        <v>39</v>
      </c>
      <c r="AL15" s="57">
        <f t="shared" si="6"/>
        <v>3.66</v>
      </c>
      <c r="AM15" s="7">
        <v>2.1383451642447899E-3</v>
      </c>
      <c r="AN15" s="7">
        <v>10</v>
      </c>
      <c r="AO15" s="7">
        <v>12</v>
      </c>
      <c r="AP15" s="9">
        <f>AN15+AO15</f>
        <v>22</v>
      </c>
      <c r="AQ15" s="9">
        <f t="shared" si="7"/>
        <v>5</v>
      </c>
      <c r="AR15" s="9">
        <f>AVERAGE('Historic settlement prices'!$B$3:$B$16)</f>
        <v>112.08099999999999</v>
      </c>
      <c r="AS15" s="9" t="s">
        <v>123</v>
      </c>
      <c r="AT15" s="40" t="b">
        <f t="shared" si="8"/>
        <v>1</v>
      </c>
      <c r="AU15" s="2">
        <f t="shared" si="9"/>
        <v>53.265833333333333</v>
      </c>
      <c r="AV15" s="2">
        <f t="shared" si="10"/>
        <v>0.54545454545454541</v>
      </c>
      <c r="AW15" s="2" t="b">
        <f t="shared" si="11"/>
        <v>0</v>
      </c>
      <c r="AX15" s="26">
        <f t="shared" si="0"/>
        <v>39</v>
      </c>
      <c r="AY15" s="56">
        <v>5.0751539757903004</v>
      </c>
      <c r="AZ15" s="26">
        <f t="shared" si="12"/>
        <v>39</v>
      </c>
      <c r="BA15" s="30">
        <f>IF(AW15,EXP(-TimeToExpiry($E$9,AG15)*AM15)*(AI15-AU15)*AV15,B76Future($E$9,AH15,AI15,AU15,AG15,AY15,AM15)*AV15)</f>
        <v>39.000000010715816</v>
      </c>
      <c r="BB15" s="27">
        <f>IF(AW15,EXP(-AM15*TimeToExpiry($E$9,AG15))*(AI15-AU15)*AV15,B76Future($E$9,AH15,AI15,AU15,AG15,T15,AM15)*AV15)</f>
        <v>39.000000010715816</v>
      </c>
      <c r="BC15" s="1">
        <f t="shared" si="13"/>
        <v>2.6831074868284217</v>
      </c>
      <c r="BD15" s="30">
        <f>IF(AW15,EXP(-TimeToExpiry($E$9,AG15)*AM15)*AV15, B76Delta($E$9,AH15,AI15,AU15,AG15,AY15,AM15)*AV15)</f>
        <v>0.48765204800839251</v>
      </c>
      <c r="BE15" s="30">
        <f>IF(AW15,0,B76Gamma($E$9,AH15,AI15,AU15,AG15,T15,AM15)*AV15)</f>
        <v>8.2255332504875577E-4</v>
      </c>
      <c r="BF15" s="30">
        <f>IF(AW15,0,B76Vega($E$9,AH15,AI15,AU15,AG15,T15,AM15)*AV15)</f>
        <v>2.3848898409173298</v>
      </c>
      <c r="BG15" s="30">
        <f>IF(AW15,(EXP(-TimeToExpiry($E$9,AG15)*AM15)*(AI15-AU15)*AV15*AM15/365),B76Theta($E$9,AH15,AI15,AU15,AG15,AY15,AM15)*AV15)</f>
        <v>-0.37801161796980398</v>
      </c>
      <c r="BH15" s="30">
        <f>IF(AW15,(EXP(-TimeToExpiry($E$9,AG15)*AM15)*(AI15-AU15)*AV15*-TimeToExpiry($E$9,AG15)),B76Rho($E$9,AH15,AI15,AU15,AG15,T15,AM15)*AV15)</f>
        <v>-1.7095890415656247</v>
      </c>
      <c r="BI15" s="46">
        <f t="shared" si="14"/>
        <v>-13.415537434142108</v>
      </c>
      <c r="BJ15" s="46">
        <f t="shared" si="15"/>
        <v>142.94974800906462</v>
      </c>
      <c r="BK15" s="46">
        <f t="shared" si="16"/>
        <v>142.94974800906462</v>
      </c>
      <c r="BL15" s="46"/>
      <c r="BM15" s="46"/>
      <c r="BN15" s="46">
        <f t="shared" si="17"/>
        <v>-13.415537434142108</v>
      </c>
      <c r="BO15" s="46">
        <f t="shared" si="18"/>
        <v>142.94974800906462</v>
      </c>
      <c r="BP15" s="46">
        <f t="shared" si="19"/>
        <v>129.53421057492253</v>
      </c>
      <c r="BQ15" s="46">
        <f t="shared" si="20"/>
        <v>-13.415537434142108</v>
      </c>
      <c r="BR15" s="46">
        <f t="shared" si="21"/>
        <v>142.94974800906462</v>
      </c>
      <c r="BS15" s="46">
        <f t="shared" si="22"/>
        <v>129.53421057492253</v>
      </c>
      <c r="BT15" s="24">
        <f t="shared" si="23"/>
        <v>2.4382602400419624</v>
      </c>
      <c r="BU15" s="45">
        <f t="shared" si="24"/>
        <v>0</v>
      </c>
      <c r="BV15" s="45">
        <f t="shared" si="24"/>
        <v>0</v>
      </c>
      <c r="BW15" s="45" t="e">
        <f t="shared" si="24"/>
        <v>#VALUE!</v>
      </c>
      <c r="BX15" s="45">
        <f t="shared" si="25"/>
        <v>0</v>
      </c>
      <c r="BY15" s="41">
        <f t="shared" si="26"/>
        <v>0</v>
      </c>
      <c r="BZ15" s="11">
        <f t="shared" si="27"/>
        <v>0</v>
      </c>
      <c r="CA15" s="3">
        <f t="shared" si="28"/>
        <v>0</v>
      </c>
      <c r="CB15" s="3">
        <f t="shared" si="29"/>
        <v>0</v>
      </c>
      <c r="CC15" s="3">
        <f t="shared" si="29"/>
        <v>0</v>
      </c>
      <c r="CD15" s="3">
        <f t="shared" si="29"/>
        <v>0</v>
      </c>
      <c r="CE15" s="3">
        <f t="shared" si="1"/>
        <v>0</v>
      </c>
      <c r="CF15" s="3">
        <f t="shared" si="1"/>
        <v>0</v>
      </c>
      <c r="CG15" s="3">
        <f t="shared" si="1"/>
        <v>0</v>
      </c>
      <c r="CH15" s="3">
        <f t="shared" si="1"/>
        <v>0</v>
      </c>
      <c r="CI15" s="3">
        <f t="shared" si="1"/>
        <v>0</v>
      </c>
      <c r="CJ15" s="3">
        <f t="shared" si="1"/>
        <v>0</v>
      </c>
      <c r="CK15" s="3">
        <f t="shared" si="2"/>
        <v>0</v>
      </c>
      <c r="CL15" s="3">
        <f t="shared" si="2"/>
        <v>0</v>
      </c>
      <c r="CM15" s="3">
        <f t="shared" si="2"/>
        <v>0</v>
      </c>
      <c r="CN15" s="3">
        <f t="shared" si="30"/>
        <v>0</v>
      </c>
      <c r="CO15" s="3">
        <f t="shared" si="31"/>
        <v>0</v>
      </c>
      <c r="CP15" s="22"/>
    </row>
    <row r="16" spans="2:94" x14ac:dyDescent="0.25">
      <c r="B16" s="14" t="s">
        <v>97</v>
      </c>
      <c r="C16" s="14" t="s">
        <v>98</v>
      </c>
      <c r="D16" s="14" t="s">
        <v>103</v>
      </c>
      <c r="E16" s="15">
        <v>40848</v>
      </c>
      <c r="F16" s="15">
        <v>40877</v>
      </c>
      <c r="G16" s="15" t="s">
        <v>100</v>
      </c>
      <c r="H16" s="14">
        <v>80</v>
      </c>
      <c r="I16" s="14" t="s">
        <v>3</v>
      </c>
      <c r="J16" s="14">
        <v>5</v>
      </c>
      <c r="K16" s="14">
        <v>720</v>
      </c>
      <c r="L16" s="14">
        <v>2.6831074868284199</v>
      </c>
      <c r="M16" s="14">
        <v>-13.415537434142101</v>
      </c>
      <c r="N16" s="14">
        <v>0.29323025232628702</v>
      </c>
      <c r="O16" s="14">
        <v>-1.6420695400155502E-2</v>
      </c>
      <c r="P16" s="14">
        <v>7.0481617980806604E-4</v>
      </c>
      <c r="Q16" s="14">
        <v>0.88962985143026996</v>
      </c>
      <c r="R16" s="14">
        <v>-6.1421616763413497E-2</v>
      </c>
      <c r="S16" s="14">
        <v>-1.75342465626585E-2</v>
      </c>
      <c r="T16" s="14">
        <v>2.20942082866268</v>
      </c>
      <c r="U16" s="14">
        <v>1.4661512616314301</v>
      </c>
      <c r="V16" s="14">
        <v>1.4661512616314301</v>
      </c>
      <c r="W16" s="14">
        <v>0</v>
      </c>
      <c r="X16" s="14">
        <v>-13.415537434142101</v>
      </c>
      <c r="Y16" s="14">
        <v>1.4661512616314301</v>
      </c>
      <c r="Z16" s="14">
        <v>-11.9493861725107</v>
      </c>
      <c r="AA16" s="14">
        <v>-13.415537434142101</v>
      </c>
      <c r="AB16" s="14">
        <v>1.4661512616314301</v>
      </c>
      <c r="AC16" s="14">
        <v>-11.9493861725107</v>
      </c>
      <c r="AD16" s="37">
        <v>40182</v>
      </c>
      <c r="AE16" s="37">
        <f t="shared" si="3"/>
        <v>40848</v>
      </c>
      <c r="AF16" s="37">
        <f t="shared" si="3"/>
        <v>40877</v>
      </c>
      <c r="AG16" s="37">
        <f t="shared" si="4"/>
        <v>40877</v>
      </c>
      <c r="AH16" s="33" t="s">
        <v>120</v>
      </c>
      <c r="AI16" s="9">
        <v>114.16</v>
      </c>
      <c r="AJ16" s="33">
        <f t="shared" si="5"/>
        <v>80</v>
      </c>
      <c r="AK16" s="9">
        <v>0.4</v>
      </c>
      <c r="AL16" s="57">
        <f t="shared" si="6"/>
        <v>3.66</v>
      </c>
      <c r="AM16" s="9">
        <v>2.1383451642447899E-3</v>
      </c>
      <c r="AN16" s="9">
        <v>10</v>
      </c>
      <c r="AO16" s="7">
        <v>12</v>
      </c>
      <c r="AP16" s="9">
        <f>AN16+AO16</f>
        <v>22</v>
      </c>
      <c r="AQ16" s="9">
        <f t="shared" si="7"/>
        <v>5</v>
      </c>
      <c r="AR16" s="9">
        <f>AVERAGE('Historic settlement prices'!$B$3:$B$16)</f>
        <v>112.08099999999999</v>
      </c>
      <c r="AS16" s="9" t="s">
        <v>124</v>
      </c>
      <c r="AT16" s="40" t="b">
        <f t="shared" si="8"/>
        <v>1</v>
      </c>
      <c r="AU16" s="2">
        <f t="shared" si="9"/>
        <v>53.265833333333333</v>
      </c>
      <c r="AV16" s="2">
        <f t="shared" si="10"/>
        <v>0.54545454545454541</v>
      </c>
      <c r="AW16" s="2" t="b">
        <f t="shared" si="11"/>
        <v>0</v>
      </c>
      <c r="AX16" s="26">
        <f t="shared" si="0"/>
        <v>0.4</v>
      </c>
      <c r="AY16" s="56">
        <v>2.20942082866268</v>
      </c>
      <c r="AZ16" s="26">
        <f t="shared" si="12"/>
        <v>0.4</v>
      </c>
      <c r="BA16" s="30">
        <f>IF(AW16,EXP(-TimeToExpiry($E$9,AG16)*AM16)*(AI16-AU16)*AV16,B76Future($E$9,AH16,AI16,AU16,AG16,AY16,AM16)*AV16)</f>
        <v>0.39999998939054682</v>
      </c>
      <c r="BB16" s="27">
        <f>IF(AW16,EXP(-AM16*TimeToExpiry($E$9,AG16))*(AI16-AU16)*AV16,B76Future($E$9,AH16,AI16,AU16,AG16,T16,AM16)*AV16)</f>
        <v>0.39999998939054682</v>
      </c>
      <c r="BC16" s="1">
        <f t="shared" si="13"/>
        <v>2.6831074868284217</v>
      </c>
      <c r="BD16" s="30">
        <f>IF(AW16,EXP(-TimeToExpiry($E$9,AG16)*AM16)*AV16, B76Delta($E$9,AH16,AI16,AU16,AG16,AY16,AM16)*AV16)</f>
        <v>-1.6420695487659571E-2</v>
      </c>
      <c r="BE16" s="30">
        <f>IF(AW16,0,B76Gamma($E$9,AH16,AI16,AU16,AG16,T16,AM16)*AV16)</f>
        <v>7.0481618023174027E-4</v>
      </c>
      <c r="BF16" s="30">
        <f>IF(AW16,0,B76Vega($E$9,AH16,AI16,AU16,AG16,T16,AM16)*AV16)</f>
        <v>0.88962985260857841</v>
      </c>
      <c r="BG16" s="30">
        <f>IF(AW16,(EXP(-TimeToExpiry($E$9,AG16)*AM16)*(AI16-AU16)*AV16*AM16/365),B76Theta($E$9,AH16,AI16,AU16,AG16,AY16,AM16)*AV16)</f>
        <v>-6.1421616800398315E-2</v>
      </c>
      <c r="BH16" s="30">
        <f>IF(AW16,(EXP(-TimeToExpiry($E$9,AG16)*AM16)*(AI16-AU16)*AV16*-TimeToExpiry($E$9,AG16)),B76Rho($E$9,AH16,AI16,AU16,AG16,AY16,AM16)*AV16)</f>
        <v>-1.7534246110270546E-2</v>
      </c>
      <c r="BI16" s="46">
        <f t="shared" si="14"/>
        <v>-13.415537434142108</v>
      </c>
      <c r="BJ16" s="46">
        <f t="shared" si="15"/>
        <v>1.4661512616314321</v>
      </c>
      <c r="BK16" s="46">
        <f t="shared" si="16"/>
        <v>1.4661512616314321</v>
      </c>
      <c r="BL16" s="46"/>
      <c r="BM16" s="46"/>
      <c r="BN16" s="46">
        <f t="shared" si="17"/>
        <v>-13.415537434142108</v>
      </c>
      <c r="BO16" s="46">
        <f t="shared" si="18"/>
        <v>1.4661512616314321</v>
      </c>
      <c r="BP16" s="46">
        <f t="shared" si="19"/>
        <v>-11.949386172510675</v>
      </c>
      <c r="BQ16" s="46">
        <f t="shared" si="20"/>
        <v>-13.415537434142108</v>
      </c>
      <c r="BR16" s="46">
        <f t="shared" si="21"/>
        <v>1.4661512616314321</v>
      </c>
      <c r="BS16" s="46">
        <f t="shared" si="22"/>
        <v>-11.949386172510675</v>
      </c>
      <c r="BT16" s="24">
        <f t="shared" si="23"/>
        <v>-8.210347743829785E-2</v>
      </c>
      <c r="BU16" s="45">
        <f t="shared" si="24"/>
        <v>0</v>
      </c>
      <c r="BV16" s="45">
        <f t="shared" si="24"/>
        <v>0</v>
      </c>
      <c r="BW16" s="45" t="e">
        <f t="shared" si="24"/>
        <v>#VALUE!</v>
      </c>
      <c r="BX16" s="45">
        <f t="shared" si="25"/>
        <v>0</v>
      </c>
      <c r="BY16" s="41">
        <f t="shared" si="26"/>
        <v>0</v>
      </c>
      <c r="BZ16" s="11">
        <f t="shared" si="27"/>
        <v>0</v>
      </c>
      <c r="CA16" s="3">
        <f t="shared" si="28"/>
        <v>0</v>
      </c>
      <c r="CB16" s="3">
        <f t="shared" si="29"/>
        <v>0</v>
      </c>
      <c r="CC16" s="3">
        <f t="shared" si="29"/>
        <v>0</v>
      </c>
      <c r="CD16" s="3">
        <f t="shared" si="29"/>
        <v>0</v>
      </c>
      <c r="CE16" s="3">
        <f t="shared" si="1"/>
        <v>0</v>
      </c>
      <c r="CF16" s="3">
        <f t="shared" si="1"/>
        <v>0</v>
      </c>
      <c r="CG16" s="3">
        <f t="shared" si="1"/>
        <v>0</v>
      </c>
      <c r="CH16" s="3">
        <f t="shared" si="1"/>
        <v>0</v>
      </c>
      <c r="CI16" s="3">
        <f t="shared" si="1"/>
        <v>0</v>
      </c>
      <c r="CJ16" s="3">
        <f t="shared" si="1"/>
        <v>0</v>
      </c>
      <c r="CK16" s="3">
        <f t="shared" si="2"/>
        <v>0</v>
      </c>
      <c r="CL16" s="3">
        <f t="shared" si="2"/>
        <v>0</v>
      </c>
      <c r="CM16" s="3">
        <f t="shared" si="2"/>
        <v>0</v>
      </c>
      <c r="CN16" s="3">
        <f t="shared" si="30"/>
        <v>2.5800251046703693E-8</v>
      </c>
      <c r="CO16" s="3">
        <f t="shared" si="31"/>
        <v>0</v>
      </c>
      <c r="CP16" s="22"/>
    </row>
    <row r="17" spans="2:94" x14ac:dyDescent="0.25">
      <c r="B17" s="14" t="s">
        <v>97</v>
      </c>
      <c r="C17" s="14" t="s">
        <v>98</v>
      </c>
      <c r="D17" s="14" t="s">
        <v>104</v>
      </c>
      <c r="E17" s="15">
        <v>40848</v>
      </c>
      <c r="F17" s="15">
        <v>40877</v>
      </c>
      <c r="G17" s="15" t="s">
        <v>100</v>
      </c>
      <c r="H17" s="14">
        <v>5</v>
      </c>
      <c r="I17" s="14" t="s">
        <v>3</v>
      </c>
      <c r="J17" s="14">
        <v>5000</v>
      </c>
      <c r="K17" s="14">
        <v>720</v>
      </c>
      <c r="L17" s="14">
        <v>2.6831074868284199</v>
      </c>
      <c r="M17" s="14">
        <v>-13415.537434142099</v>
      </c>
      <c r="N17" s="14">
        <v>79.322343706536998</v>
      </c>
      <c r="O17" s="14">
        <v>0.54540341929892</v>
      </c>
      <c r="P17" s="14">
        <v>0</v>
      </c>
      <c r="Q17" s="14">
        <v>0</v>
      </c>
      <c r="R17" s="14">
        <v>6.3391597926997401E-4</v>
      </c>
      <c r="S17" s="14">
        <v>-4.7432265990438003</v>
      </c>
      <c r="T17" s="14">
        <v>0</v>
      </c>
      <c r="U17" s="14">
        <v>396611.71853268502</v>
      </c>
      <c r="V17" s="14">
        <v>396611.71853268502</v>
      </c>
      <c r="W17" s="14">
        <v>0</v>
      </c>
      <c r="X17" s="14">
        <v>-13415.537434142099</v>
      </c>
      <c r="Y17" s="14">
        <v>396611.71853268502</v>
      </c>
      <c r="Z17" s="14">
        <v>383196.18109854299</v>
      </c>
      <c r="AA17" s="14">
        <v>-13415.537434142099</v>
      </c>
      <c r="AB17" s="14">
        <v>396611.71853268502</v>
      </c>
      <c r="AC17" s="17">
        <v>383196.18109854299</v>
      </c>
      <c r="AD17" s="37">
        <v>40182</v>
      </c>
      <c r="AE17" s="37">
        <f t="shared" si="3"/>
        <v>40848</v>
      </c>
      <c r="AF17" s="37">
        <f t="shared" si="3"/>
        <v>40877</v>
      </c>
      <c r="AG17" s="37">
        <f t="shared" si="4"/>
        <v>40877</v>
      </c>
      <c r="AH17" s="42" t="s">
        <v>68</v>
      </c>
      <c r="AI17" s="9">
        <v>114.16</v>
      </c>
      <c r="AJ17" s="33">
        <f t="shared" si="5"/>
        <v>5</v>
      </c>
      <c r="AK17" s="9">
        <v>110</v>
      </c>
      <c r="AL17" s="57">
        <f t="shared" si="6"/>
        <v>3.66</v>
      </c>
      <c r="AM17" s="9">
        <v>2.1383451642447899E-3</v>
      </c>
      <c r="AN17" s="7">
        <v>10</v>
      </c>
      <c r="AO17" s="7">
        <v>12</v>
      </c>
      <c r="AP17" s="9">
        <f>AN17+AO17</f>
        <v>22</v>
      </c>
      <c r="AQ17" s="9">
        <f t="shared" si="7"/>
        <v>5000</v>
      </c>
      <c r="AR17" s="9">
        <f>AVERAGE('Historic settlement prices'!$B$3:$B$16)</f>
        <v>112.08099999999999</v>
      </c>
      <c r="AS17" s="9" t="s">
        <v>133</v>
      </c>
      <c r="AT17" s="40" t="b">
        <f t="shared" si="8"/>
        <v>1</v>
      </c>
      <c r="AU17" s="58">
        <f t="shared" si="9"/>
        <v>-84.234166666666653</v>
      </c>
      <c r="AV17" s="2">
        <f t="shared" si="10"/>
        <v>0.54545454545454541</v>
      </c>
      <c r="AW17" s="2" t="b">
        <f t="shared" si="11"/>
        <v>1</v>
      </c>
      <c r="AX17" s="26">
        <f t="shared" si="0"/>
        <v>110</v>
      </c>
      <c r="AY17" s="29">
        <f>IF(AW17,0,ImpliedVolatilityB76Future($E$9,AH17,AI17,AU17,AG17,AX17/AV17,AM17))</f>
        <v>0</v>
      </c>
      <c r="AZ17" s="26">
        <f t="shared" si="12"/>
        <v>110</v>
      </c>
      <c r="BA17" s="30">
        <f>IF(AW17,EXP(-TimeToExpiry($E$9,AG17)*AM17)*(AI17-AU17)*AV17,B76Future($E$9,AH17,AI17,AU17,AG17,AY17,AM17)*AV17)</f>
        <v>108.20485686895246</v>
      </c>
      <c r="BB17" s="27">
        <f>IF(AW17,EXP(-AM17*TimeToExpiry($E$9,AG17))*(AI17-AU17)*AV17,B76Future($E$9,AH17,AI17,AU17,AG17,T17,AM17)*AV17)</f>
        <v>108.20485686895246</v>
      </c>
      <c r="BC17" s="1">
        <f t="shared" si="13"/>
        <v>2.6831074868284217</v>
      </c>
      <c r="BD17" s="30">
        <f>IF(AW17,EXP(-TimeToExpiry($E$9,AG17)*AM17)*AV17, B76Delta($E$9,AH17,AI17,AU17,AG17,AY17,AM17)*AV17)</f>
        <v>0.54540341929888292</v>
      </c>
      <c r="BE17" s="30">
        <f>IF(AW17,0,B76Gamma($E$9,AH17,AI17,AU17,AG17,T17,AM17)*AV17)</f>
        <v>0</v>
      </c>
      <c r="BF17" s="30">
        <f>IF(AW17,0,B76Vega($E$9,AH17,AI17,AU17,AG17,T17,AM17)*AV17)</f>
        <v>0</v>
      </c>
      <c r="BG17" s="30">
        <f>IF(AW17,(EXP(-TimeToExpiry($E$9,AG17)*AM17)*(AI17-AU17)*AV17*AM17/365),B76Theta($E$9,AH17,AI17,AU17,AG17,AY17,AM17)*AV17)</f>
        <v>6.3391597926992912E-4</v>
      </c>
      <c r="BH17" s="30">
        <f>IF(AW17,(EXP(-TimeToExpiry($E$9,AG17)*AM17)*(AI17-AU17)*AV17*-TimeToExpiry($E$9,AG17)),B76Rho($E$9,AH17,AI17,AU17,AG17,T17,AM17)*AV17)</f>
        <v>-4.7432266024746284</v>
      </c>
      <c r="BI17" s="46">
        <f t="shared" si="14"/>
        <v>-13415.537434142107</v>
      </c>
      <c r="BJ17" s="46">
        <f>EXP(-TimeToExpiry($E$9,AG17)*AM17)*(AI17-AU17)*AV17*AQ17*$E$10</f>
        <v>396611.71853265795</v>
      </c>
      <c r="BK17" s="46">
        <f t="shared" si="16"/>
        <v>396611.71853265795</v>
      </c>
      <c r="BL17" s="46"/>
      <c r="BM17" s="46"/>
      <c r="BN17" s="46">
        <f t="shared" si="17"/>
        <v>-13415.537434142107</v>
      </c>
      <c r="BO17" s="46">
        <f t="shared" si="18"/>
        <v>396611.71853265795</v>
      </c>
      <c r="BP17" s="46">
        <f t="shared" si="19"/>
        <v>383196.18109851587</v>
      </c>
      <c r="BQ17" s="46">
        <f t="shared" si="20"/>
        <v>-13415.537434142107</v>
      </c>
      <c r="BR17" s="46">
        <f t="shared" si="21"/>
        <v>396611.71853265795</v>
      </c>
      <c r="BS17" s="46">
        <f t="shared" si="22"/>
        <v>383196.18109851587</v>
      </c>
      <c r="BT17" s="24">
        <f t="shared" si="23"/>
        <v>2727.0170964944145</v>
      </c>
      <c r="BU17" s="45">
        <f t="shared" si="24"/>
        <v>0</v>
      </c>
      <c r="BV17" s="45">
        <f t="shared" si="24"/>
        <v>0</v>
      </c>
      <c r="BW17" s="45" t="e">
        <f t="shared" si="24"/>
        <v>#VALUE!</v>
      </c>
      <c r="BX17" s="45">
        <f t="shared" si="25"/>
        <v>0</v>
      </c>
      <c r="BY17" s="41">
        <f t="shared" si="26"/>
        <v>0</v>
      </c>
      <c r="BZ17" s="11">
        <f t="shared" si="27"/>
        <v>0</v>
      </c>
      <c r="CA17" s="3">
        <f t="shared" si="28"/>
        <v>0</v>
      </c>
      <c r="CB17" s="3">
        <f t="shared" si="29"/>
        <v>0</v>
      </c>
      <c r="CC17" s="3">
        <f t="shared" si="29"/>
        <v>0</v>
      </c>
      <c r="CD17" s="3">
        <f t="shared" si="29"/>
        <v>0</v>
      </c>
      <c r="CE17" s="3">
        <f t="shared" si="1"/>
        <v>0</v>
      </c>
      <c r="CF17" s="3">
        <f t="shared" si="1"/>
        <v>0</v>
      </c>
      <c r="CG17" s="3">
        <f t="shared" si="1"/>
        <v>0</v>
      </c>
      <c r="CH17" s="3">
        <f t="shared" si="1"/>
        <v>0</v>
      </c>
      <c r="CI17" s="3">
        <f t="shared" si="1"/>
        <v>0</v>
      </c>
      <c r="CJ17" s="3">
        <f t="shared" si="1"/>
        <v>0</v>
      </c>
      <c r="CK17" s="3">
        <f t="shared" si="2"/>
        <v>0</v>
      </c>
      <c r="CL17" s="3">
        <f t="shared" si="2"/>
        <v>0</v>
      </c>
      <c r="CM17" s="3">
        <f t="shared" si="2"/>
        <v>0</v>
      </c>
      <c r="CN17" s="3">
        <f t="shared" si="30"/>
        <v>0</v>
      </c>
      <c r="CO17" s="3">
        <f t="shared" si="31"/>
        <v>0</v>
      </c>
      <c r="CP17" s="22"/>
    </row>
    <row r="18" spans="2:94" x14ac:dyDescent="0.25">
      <c r="B18" s="17" t="s">
        <v>97</v>
      </c>
      <c r="C18" s="17" t="s">
        <v>105</v>
      </c>
      <c r="D18" s="17" t="s">
        <v>106</v>
      </c>
      <c r="E18" s="15">
        <v>40969</v>
      </c>
      <c r="F18" s="15">
        <v>40999</v>
      </c>
      <c r="G18" s="15" t="s">
        <v>100</v>
      </c>
      <c r="H18" s="14">
        <v>130</v>
      </c>
      <c r="I18" s="18" t="s">
        <v>3</v>
      </c>
      <c r="J18" s="14">
        <v>5</v>
      </c>
      <c r="K18" s="14">
        <v>743</v>
      </c>
      <c r="L18" s="14">
        <v>2.6831074868284199</v>
      </c>
      <c r="M18" s="14">
        <v>-13.415537434142101</v>
      </c>
      <c r="N18" s="14">
        <v>1.09961344622358</v>
      </c>
      <c r="O18" s="14">
        <v>0.170925645078324</v>
      </c>
      <c r="P18" s="14">
        <v>1.4416805429373399E-2</v>
      </c>
      <c r="Q18" s="14">
        <v>17.1500236524979</v>
      </c>
      <c r="R18" s="14">
        <v>-1.6276669490339901E-2</v>
      </c>
      <c r="S18" s="14">
        <v>-0.563013698582569</v>
      </c>
      <c r="T18" s="14">
        <v>0.26041109104753302</v>
      </c>
      <c r="U18" s="14">
        <v>5.4980672311178802</v>
      </c>
      <c r="V18" s="14">
        <v>5.4980672311178802</v>
      </c>
      <c r="W18" s="14">
        <v>0</v>
      </c>
      <c r="X18" s="14">
        <v>-13.415537434142101</v>
      </c>
      <c r="Y18" s="14">
        <v>5.4980672311178802</v>
      </c>
      <c r="Z18" s="14">
        <v>-7.9174702030242301</v>
      </c>
      <c r="AA18" s="14">
        <v>-13.415537434142101</v>
      </c>
      <c r="AB18" s="14">
        <v>5.4980672311178802</v>
      </c>
      <c r="AC18" s="14">
        <v>-7.9174702030242301</v>
      </c>
      <c r="AD18" s="37">
        <v>40182</v>
      </c>
      <c r="AE18" s="37">
        <f t="shared" si="3"/>
        <v>40969</v>
      </c>
      <c r="AF18" s="37">
        <f t="shared" si="3"/>
        <v>40999</v>
      </c>
      <c r="AG18" s="37">
        <v>40998</v>
      </c>
      <c r="AH18" s="33" t="s">
        <v>68</v>
      </c>
      <c r="AI18" s="7">
        <v>110.32</v>
      </c>
      <c r="AJ18" s="33">
        <f t="shared" si="5"/>
        <v>130</v>
      </c>
      <c r="AK18" s="7">
        <v>1.5</v>
      </c>
      <c r="AL18" s="57">
        <f t="shared" si="6"/>
        <v>3.66</v>
      </c>
      <c r="AM18" s="7">
        <v>5.54953714034539E-3</v>
      </c>
      <c r="AN18" s="9"/>
      <c r="AO18" s="7"/>
      <c r="AP18" s="9"/>
      <c r="AQ18" s="9">
        <f t="shared" si="7"/>
        <v>5</v>
      </c>
      <c r="AR18" s="7"/>
      <c r="AS18" s="9" t="s">
        <v>129</v>
      </c>
      <c r="AT18" s="40" t="b">
        <f t="shared" si="8"/>
        <v>0</v>
      </c>
      <c r="AU18" s="2">
        <f t="shared" si="9"/>
        <v>130</v>
      </c>
      <c r="AV18" s="2">
        <f t="shared" si="10"/>
        <v>1</v>
      </c>
      <c r="AW18" s="2" t="b">
        <f t="shared" si="11"/>
        <v>0</v>
      </c>
      <c r="AX18" s="26">
        <f t="shared" si="0"/>
        <v>1.5</v>
      </c>
      <c r="AY18" s="29">
        <f>IF(AW18,"",ImpliedVolatilityB76Future($E$9,AH18,AI18,AU18,AG18,AX18/AV18,AM18))</f>
        <v>0.26041109101980131</v>
      </c>
      <c r="AZ18" s="26">
        <f t="shared" si="12"/>
        <v>1.5</v>
      </c>
      <c r="BA18" s="30">
        <f>IF(AW18,EXP(-TimeToExpiry($E$9,AG18)*AM18)*(AI18-AU18)*AV18,B76Future($E$9,AH18,AI18,AU18,AG18,AY18,AM18)*AV18)</f>
        <v>1.499999999999988</v>
      </c>
      <c r="BB18" s="27">
        <f>IF(AW18,EXP(-AM18*TimeToExpiry($E$9,AG18))*(AI18-AU18)*AV18,B76Future($E$9,AH18,AI18,AU18,AG18,T18,AM18)*AV18)</f>
        <v>1.5000000004755962</v>
      </c>
      <c r="BC18" s="1">
        <f t="shared" si="13"/>
        <v>2.6831074868284217</v>
      </c>
      <c r="BD18" s="30">
        <f>IF(AW18,EXP(-TimeToExpiry($E$9,AG18)*AM18)*AV18, B76Delta($E$9,AH18,AI18,AU18,AG18,AY18,AM18)*AV18)</f>
        <v>0.17092564505358812</v>
      </c>
      <c r="BE18" s="30">
        <f>IF(AW18,0,B76Gamma($E$9,AH18,AI18,AU18,AG18,T18,AM18)*AV18)</f>
        <v>1.4416805429392183E-2</v>
      </c>
      <c r="BF18" s="30">
        <f>IF(AW18,0,B76Vega($E$9,AH18,AI18,AU18,AG18,T18,AM18)*AV18)</f>
        <v>17.150023653964038</v>
      </c>
      <c r="BG18" s="30">
        <f>IF(AW18,(EXP(-TimeToExpiry($E$9,AG18)*AM18)*(AI18-AU18)*AV18*AM18/365),B76Theta($E$9,AH18,AI18,AU18,AG18,AY18,AM18)*AV18)</f>
        <v>-1.6276669486794123E-2</v>
      </c>
      <c r="BH18" s="30">
        <f>IF(AW18,(EXP(-TimeToExpiry($E$9,AG18)*AM18)*(AI18-AU18)*AV18*-TimeToExpiry($E$9,AG18)),B76Rho($E$9,AH18,AI18,AU18,AG18,T18,AM18)*AV18)</f>
        <v>-0.56301369880864849</v>
      </c>
      <c r="BI18" s="46">
        <f t="shared" si="14"/>
        <v>-13.415537434142108</v>
      </c>
      <c r="BJ18" s="46">
        <f t="shared" si="15"/>
        <v>5.4980672311178704</v>
      </c>
      <c r="BK18" s="46">
        <f t="shared" si="16"/>
        <v>5.4980672311178704</v>
      </c>
      <c r="BL18" s="46"/>
      <c r="BM18" s="46"/>
      <c r="BN18" s="46">
        <f t="shared" si="17"/>
        <v>-13.415537434142108</v>
      </c>
      <c r="BO18" s="46">
        <f t="shared" si="18"/>
        <v>5.4980672311178704</v>
      </c>
      <c r="BP18" s="46">
        <f t="shared" si="19"/>
        <v>-7.9174702030242372</v>
      </c>
      <c r="BQ18" s="46">
        <f t="shared" si="20"/>
        <v>-13.415537434142108</v>
      </c>
      <c r="BR18" s="46">
        <f t="shared" si="21"/>
        <v>5.4980672311178704</v>
      </c>
      <c r="BS18" s="46">
        <f t="shared" si="22"/>
        <v>-7.9174702030242372</v>
      </c>
      <c r="BT18" s="24">
        <f t="shared" si="23"/>
        <v>0.85462822526794058</v>
      </c>
      <c r="BU18" s="45">
        <f t="shared" si="24"/>
        <v>0</v>
      </c>
      <c r="BV18" s="45">
        <f t="shared" si="24"/>
        <v>0</v>
      </c>
      <c r="BW18" s="45" t="e">
        <f t="shared" si="24"/>
        <v>#VALUE!</v>
      </c>
      <c r="BX18" s="45">
        <f t="shared" si="25"/>
        <v>0</v>
      </c>
      <c r="BY18" s="41">
        <f t="shared" si="26"/>
        <v>0</v>
      </c>
      <c r="BZ18" s="11">
        <f t="shared" si="27"/>
        <v>0</v>
      </c>
      <c r="CA18" s="3">
        <f t="shared" si="28"/>
        <v>0</v>
      </c>
      <c r="CB18" s="3">
        <f t="shared" si="29"/>
        <v>0</v>
      </c>
      <c r="CC18" s="3">
        <f t="shared" si="29"/>
        <v>0</v>
      </c>
      <c r="CD18" s="3">
        <f t="shared" si="29"/>
        <v>0</v>
      </c>
      <c r="CE18" s="3">
        <f t="shared" si="1"/>
        <v>0</v>
      </c>
      <c r="CF18" s="3">
        <f t="shared" si="1"/>
        <v>0</v>
      </c>
      <c r="CG18" s="3">
        <f t="shared" si="1"/>
        <v>0</v>
      </c>
      <c r="CH18" s="3">
        <f t="shared" si="1"/>
        <v>0</v>
      </c>
      <c r="CI18" s="3">
        <f t="shared" si="1"/>
        <v>0</v>
      </c>
      <c r="CJ18" s="3">
        <f t="shared" si="1"/>
        <v>0</v>
      </c>
      <c r="CK18" s="3">
        <f t="shared" si="2"/>
        <v>0</v>
      </c>
      <c r="CL18" s="3">
        <f t="shared" si="2"/>
        <v>0</v>
      </c>
      <c r="CM18" s="3">
        <f t="shared" si="2"/>
        <v>0</v>
      </c>
      <c r="CN18" s="3">
        <f t="shared" si="30"/>
        <v>0</v>
      </c>
      <c r="CO18" s="3">
        <f t="shared" si="31"/>
        <v>0</v>
      </c>
      <c r="CP18" s="22"/>
    </row>
    <row r="19" spans="2:94" x14ac:dyDescent="0.25">
      <c r="B19" s="19" t="s">
        <v>97</v>
      </c>
      <c r="C19" s="19" t="s">
        <v>105</v>
      </c>
      <c r="D19" s="19" t="s">
        <v>107</v>
      </c>
      <c r="E19" s="20">
        <v>40969</v>
      </c>
      <c r="F19" s="20">
        <v>40999</v>
      </c>
      <c r="G19" s="20" t="s">
        <v>100</v>
      </c>
      <c r="H19" s="19">
        <v>130</v>
      </c>
      <c r="I19" s="19" t="s">
        <v>3</v>
      </c>
      <c r="J19" s="19">
        <v>5</v>
      </c>
      <c r="K19" s="19">
        <v>743</v>
      </c>
      <c r="L19" s="19">
        <v>2.6831074868284199</v>
      </c>
      <c r="M19" s="19">
        <v>-13.415537434142101</v>
      </c>
      <c r="N19" s="19">
        <v>17.593815139577199</v>
      </c>
      <c r="O19" s="19">
        <v>-0.70711916203828395</v>
      </c>
      <c r="P19" s="19">
        <v>1.26954066216026E-2</v>
      </c>
      <c r="Q19" s="19">
        <v>23.139724721604299</v>
      </c>
      <c r="R19" s="19">
        <v>-3.3331458898516797E-2</v>
      </c>
      <c r="S19" s="19">
        <v>-9.0082191773211608</v>
      </c>
      <c r="T19" s="19">
        <v>0.39900226741192502</v>
      </c>
      <c r="U19" s="19">
        <v>87.969075697885998</v>
      </c>
      <c r="V19" s="19">
        <v>87.969075697885998</v>
      </c>
      <c r="W19" s="19">
        <v>0</v>
      </c>
      <c r="X19" s="19">
        <v>-13.415537434142101</v>
      </c>
      <c r="Y19" s="19">
        <v>87.969075697885998</v>
      </c>
      <c r="Z19" s="19">
        <v>74.553538263743903</v>
      </c>
      <c r="AA19" s="19">
        <v>-13.415537434142101</v>
      </c>
      <c r="AB19" s="19">
        <v>87.969075697885998</v>
      </c>
      <c r="AC19" s="19">
        <v>74.553538263743903</v>
      </c>
      <c r="AD19" s="37">
        <v>40182</v>
      </c>
      <c r="AE19" s="37">
        <f t="shared" si="3"/>
        <v>40969</v>
      </c>
      <c r="AF19" s="37">
        <f t="shared" si="3"/>
        <v>40999</v>
      </c>
      <c r="AG19" s="37">
        <v>40998</v>
      </c>
      <c r="AH19" s="43" t="s">
        <v>120</v>
      </c>
      <c r="AI19" s="7">
        <v>110.32</v>
      </c>
      <c r="AJ19" s="33">
        <f t="shared" si="5"/>
        <v>130</v>
      </c>
      <c r="AK19" s="7">
        <v>24</v>
      </c>
      <c r="AL19" s="57">
        <f t="shared" si="6"/>
        <v>3.66</v>
      </c>
      <c r="AM19" s="7">
        <v>5.54953714034539E-3</v>
      </c>
      <c r="AN19" s="9"/>
      <c r="AO19" s="7"/>
      <c r="AP19" s="9"/>
      <c r="AQ19" s="9">
        <f t="shared" si="7"/>
        <v>5</v>
      </c>
      <c r="AR19" s="7"/>
      <c r="AS19" s="9" t="s">
        <v>130</v>
      </c>
      <c r="AT19" s="40" t="b">
        <f t="shared" si="8"/>
        <v>0</v>
      </c>
      <c r="AU19" s="2">
        <f t="shared" si="9"/>
        <v>130</v>
      </c>
      <c r="AV19" s="2">
        <f t="shared" si="10"/>
        <v>1</v>
      </c>
      <c r="AW19" s="2" t="b">
        <f t="shared" si="11"/>
        <v>0</v>
      </c>
      <c r="AX19" s="26">
        <f t="shared" si="0"/>
        <v>24</v>
      </c>
      <c r="AY19" s="29">
        <f>IF(AW19,"",ImpliedVolatilityB76Future($E$9,AH19,AI19,AU19,AG19,AX19/AV19,AM19))</f>
        <v>0.39900226736470862</v>
      </c>
      <c r="AZ19" s="26">
        <f t="shared" si="12"/>
        <v>24</v>
      </c>
      <c r="BA19" s="30">
        <f>IF(AW19,EXP(-TimeToExpiry($E$9,AG19)*AM19)*(AI19-AU19)*AV19,B76Future($E$9,AH19,AI19,AU19,AG19,AY19,AM19)*AV19)</f>
        <v>23.999999999999993</v>
      </c>
      <c r="BB19" s="27">
        <f>IF(AW19,EXP(-AM19*TimeToExpiry($E$9,AG19))*(AI19-AU19)*AV19,B76Future($E$9,AH19,AI19,AU19,AG19,T19,AM19)*AV19)</f>
        <v>24.000000001092573</v>
      </c>
      <c r="BC19" s="1">
        <f t="shared" si="13"/>
        <v>2.6831074868284217</v>
      </c>
      <c r="BD19" s="30">
        <f>IF(AW19,EXP(-TimeToExpiry($E$9,AG19)*AM19)*AV19, B76Delta($E$9,AH19,AI19,AU19,AG19,AY19,AM19)*AV19)</f>
        <v>-0.70711916205941538</v>
      </c>
      <c r="BE19" s="30">
        <f>IF(AW19,0,B76Gamma($E$9,AH19,AI19,AU19,AG19,T19,AM19)*AV19)</f>
        <v>1.2695406621295535E-2</v>
      </c>
      <c r="BF19" s="30">
        <f>IF(AW19,0,B76Vega($E$9,AH19,AI19,AU19,AG19,T19,AM19)*AV19)</f>
        <v>23.139724722992707</v>
      </c>
      <c r="BG19" s="30">
        <f>IF(AW19,(EXP(-TimeToExpiry($E$9,AG19)*AM19)*(AI19-AU19)*AV19*AM19/365),B76Theta($E$9,AH19,AI19,AU19,AG19,AY19,AM19)*AV19)</f>
        <v>-3.3331458891965975E-2</v>
      </c>
      <c r="BH19" s="30">
        <f>IF(AW19,(EXP(-TimeToExpiry($E$9,AG19)*AM19)*(AI19-AU19)*AV19*-TimeToExpiry($E$9,AG19)),B76Rho($E$9,AH19,AI19,AU19,AG19,T19,AM19)*AV19)</f>
        <v>-9.0082191784922809</v>
      </c>
      <c r="BI19" s="46">
        <f t="shared" si="14"/>
        <v>-13.415537434142108</v>
      </c>
      <c r="BJ19" s="46">
        <f t="shared" si="15"/>
        <v>87.969075697885927</v>
      </c>
      <c r="BK19" s="46">
        <f t="shared" si="16"/>
        <v>87.969075697885927</v>
      </c>
      <c r="BL19" s="46"/>
      <c r="BM19" s="46"/>
      <c r="BN19" s="46">
        <f t="shared" si="17"/>
        <v>-13.415537434142108</v>
      </c>
      <c r="BO19" s="46">
        <f t="shared" si="18"/>
        <v>87.969075697885927</v>
      </c>
      <c r="BP19" s="46">
        <f t="shared" si="19"/>
        <v>74.553538263743818</v>
      </c>
      <c r="BQ19" s="46">
        <f t="shared" si="20"/>
        <v>-13.415537434142108</v>
      </c>
      <c r="BR19" s="46">
        <f t="shared" si="21"/>
        <v>87.969075697885927</v>
      </c>
      <c r="BS19" s="46">
        <f t="shared" si="22"/>
        <v>74.553538263743818</v>
      </c>
      <c r="BT19" s="24">
        <f t="shared" si="23"/>
        <v>-3.5355958102970768</v>
      </c>
      <c r="BU19" s="45">
        <f t="shared" si="24"/>
        <v>0</v>
      </c>
      <c r="BV19" s="45">
        <f t="shared" si="24"/>
        <v>0</v>
      </c>
      <c r="BW19" s="45" t="e">
        <f t="shared" si="24"/>
        <v>#VALUE!</v>
      </c>
      <c r="BX19" s="45">
        <f t="shared" si="25"/>
        <v>0</v>
      </c>
      <c r="BY19" s="41">
        <f t="shared" si="26"/>
        <v>0</v>
      </c>
      <c r="BZ19" s="11">
        <f t="shared" si="27"/>
        <v>0</v>
      </c>
      <c r="CA19" s="3">
        <f t="shared" si="28"/>
        <v>0</v>
      </c>
      <c r="CB19" s="3">
        <f t="shared" si="29"/>
        <v>0</v>
      </c>
      <c r="CC19" s="3">
        <f t="shared" si="29"/>
        <v>0</v>
      </c>
      <c r="CD19" s="3">
        <f t="shared" si="29"/>
        <v>0</v>
      </c>
      <c r="CE19" s="3">
        <f t="shared" si="1"/>
        <v>0</v>
      </c>
      <c r="CF19" s="3">
        <f t="shared" si="1"/>
        <v>0</v>
      </c>
      <c r="CG19" s="3">
        <f t="shared" si="1"/>
        <v>0</v>
      </c>
      <c r="CH19" s="3">
        <f t="shared" si="1"/>
        <v>0</v>
      </c>
      <c r="CI19" s="3">
        <f t="shared" si="1"/>
        <v>0</v>
      </c>
      <c r="CJ19" s="3">
        <f t="shared" si="1"/>
        <v>0</v>
      </c>
      <c r="CK19" s="3">
        <f t="shared" si="2"/>
        <v>0</v>
      </c>
      <c r="CL19" s="3">
        <f t="shared" si="2"/>
        <v>0</v>
      </c>
      <c r="CM19" s="3">
        <f t="shared" si="2"/>
        <v>0</v>
      </c>
      <c r="CN19" s="3">
        <f t="shared" si="30"/>
        <v>0</v>
      </c>
      <c r="CO19" s="3">
        <f t="shared" si="31"/>
        <v>0</v>
      </c>
      <c r="CP19" s="22"/>
    </row>
    <row r="20" spans="2:94" x14ac:dyDescent="0.25">
      <c r="B20" s="19" t="s">
        <v>97</v>
      </c>
      <c r="C20" s="19" t="s">
        <v>105</v>
      </c>
      <c r="D20" s="19" t="s">
        <v>108</v>
      </c>
      <c r="E20" s="20">
        <v>40969</v>
      </c>
      <c r="F20" s="20">
        <v>40999</v>
      </c>
      <c r="G20" s="20" t="s">
        <v>100</v>
      </c>
      <c r="H20" s="19">
        <v>80</v>
      </c>
      <c r="I20" s="19" t="s">
        <v>3</v>
      </c>
      <c r="J20" s="19">
        <v>5</v>
      </c>
      <c r="K20" s="19">
        <v>743</v>
      </c>
      <c r="L20" s="19">
        <v>2.6831074868284199</v>
      </c>
      <c r="M20" s="19">
        <v>-13.415537434142101</v>
      </c>
      <c r="N20" s="19">
        <v>30.056100863444399</v>
      </c>
      <c r="O20" s="19">
        <v>0.79508409428550297</v>
      </c>
      <c r="P20" s="19">
        <v>4.1579636473297503E-3</v>
      </c>
      <c r="Q20" s="19">
        <v>19.066296063016502</v>
      </c>
      <c r="R20" s="19">
        <v>-6.9226433487694305E-2</v>
      </c>
      <c r="S20" s="19">
        <v>-15.389041094590301</v>
      </c>
      <c r="T20" s="19">
        <v>1.0038051869637901</v>
      </c>
      <c r="U20" s="19">
        <v>150.28050431722201</v>
      </c>
      <c r="V20" s="19">
        <v>150.28050431722201</v>
      </c>
      <c r="W20" s="19">
        <v>0</v>
      </c>
      <c r="X20" s="19">
        <v>-13.415537434142101</v>
      </c>
      <c r="Y20" s="19">
        <v>150.28050431722201</v>
      </c>
      <c r="Z20" s="19">
        <v>136.86496688308</v>
      </c>
      <c r="AA20" s="19">
        <v>-13.415537434142101</v>
      </c>
      <c r="AB20" s="19">
        <v>150.28050431722201</v>
      </c>
      <c r="AC20" s="19">
        <v>136.86496688308</v>
      </c>
      <c r="AD20" s="37">
        <v>40182</v>
      </c>
      <c r="AE20" s="37">
        <f t="shared" si="3"/>
        <v>40969</v>
      </c>
      <c r="AF20" s="37">
        <f t="shared" si="3"/>
        <v>40999</v>
      </c>
      <c r="AG20" s="37">
        <v>40998</v>
      </c>
      <c r="AH20" s="43" t="s">
        <v>68</v>
      </c>
      <c r="AI20" s="7">
        <v>110.32</v>
      </c>
      <c r="AJ20" s="33">
        <f t="shared" si="5"/>
        <v>80</v>
      </c>
      <c r="AK20" s="7">
        <v>41</v>
      </c>
      <c r="AL20" s="57">
        <f t="shared" si="6"/>
        <v>3.66</v>
      </c>
      <c r="AM20" s="7">
        <v>5.54953714034539E-3</v>
      </c>
      <c r="AN20" s="7"/>
      <c r="AO20" s="7"/>
      <c r="AP20" s="9"/>
      <c r="AQ20" s="9">
        <f t="shared" si="7"/>
        <v>5</v>
      </c>
      <c r="AR20" s="7"/>
      <c r="AS20" s="9" t="s">
        <v>131</v>
      </c>
      <c r="AT20" s="40" t="b">
        <f t="shared" si="8"/>
        <v>0</v>
      </c>
      <c r="AU20" s="2">
        <f t="shared" si="9"/>
        <v>80</v>
      </c>
      <c r="AV20" s="2">
        <f t="shared" si="10"/>
        <v>1</v>
      </c>
      <c r="AW20" s="2" t="b">
        <f t="shared" si="11"/>
        <v>0</v>
      </c>
      <c r="AX20" s="26">
        <f t="shared" si="0"/>
        <v>41</v>
      </c>
      <c r="AY20" s="29">
        <f>IF(AW20,"",ImpliedVolatilityB76Future($E$9,AH20,AI20,AU20,AG20,AX20/AV20,AM20))</f>
        <v>1.0038051868548592</v>
      </c>
      <c r="AZ20" s="26">
        <f t="shared" si="12"/>
        <v>41</v>
      </c>
      <c r="BA20" s="30">
        <f>IF(AW20,EXP(-TimeToExpiry($E$9,AG20)*AM20)*(AI20-AU20)*AV20,B76Future($E$9,AH20,AI20,AU20,AG20,AY20,AM20)*AV20)</f>
        <v>41.000000000000007</v>
      </c>
      <c r="BB20" s="27">
        <f>IF(AW20,EXP(-AM20*TimeToExpiry($E$9,AG20))*(AI20-AU20)*AV20,B76Future($E$9,AH20,AI20,AU20,AG20,T20,AM20)*AV20)</f>
        <v>41.000000002076916</v>
      </c>
      <c r="BC20" s="1">
        <f t="shared" si="13"/>
        <v>2.6831074868284217</v>
      </c>
      <c r="BD20" s="30">
        <f>IF(AW20,EXP(-TimeToExpiry($E$9,AG20)*AM20)*AV20, B76Delta($E$9,AH20,AI20,AU20,AG20,AY20,AM20)*AV20)</f>
        <v>0.79508409430223348</v>
      </c>
      <c r="BE20" s="30">
        <f>IF(AW20,0,B76Gamma($E$9,AH20,AI20,AU20,AG20,T20,AM20)*AV20)</f>
        <v>4.1579636471861699E-3</v>
      </c>
      <c r="BF20" s="30">
        <f>IF(AW20,0,B76Vega($E$9,AH20,AI20,AU20,AG20,T20,AM20)*AV20)</f>
        <v>19.066296063963225</v>
      </c>
      <c r="BG20" s="30">
        <f>IF(AW20,(EXP(-TimeToExpiry($E$9,AG20)*AM20)*(AI20-AU20)*AV20*AM20/365),B76Theta($E$9,AH20,AI20,AU20,AG20,AY20,AM20)*AV20)</f>
        <v>-6.9226433476328633E-2</v>
      </c>
      <c r="BH20" s="30">
        <f>IF(AW20,(EXP(-TimeToExpiry($E$9,AG20)*AM20)*(AI20-AU20)*AV20*-TimeToExpiry($E$9,AG20)),B76Rho($E$9,AH20,AI20,AU20,AG20,T20,AM20)*AV20)</f>
        <v>-15.389041096669967</v>
      </c>
      <c r="BI20" s="46">
        <f t="shared" si="14"/>
        <v>-13.415537434142108</v>
      </c>
      <c r="BJ20" s="46">
        <f t="shared" si="15"/>
        <v>150.28050431722178</v>
      </c>
      <c r="BK20" s="46">
        <f t="shared" si="16"/>
        <v>150.28050431722178</v>
      </c>
      <c r="BL20" s="46"/>
      <c r="BM20" s="46"/>
      <c r="BN20" s="46">
        <f t="shared" si="17"/>
        <v>-13.415537434142108</v>
      </c>
      <c r="BO20" s="46">
        <f t="shared" si="18"/>
        <v>150.28050431722178</v>
      </c>
      <c r="BP20" s="46">
        <f t="shared" si="19"/>
        <v>136.86496688307969</v>
      </c>
      <c r="BQ20" s="46">
        <f t="shared" si="20"/>
        <v>-13.415537434142108</v>
      </c>
      <c r="BR20" s="46">
        <f t="shared" si="21"/>
        <v>150.28050431722178</v>
      </c>
      <c r="BS20" s="46">
        <f t="shared" si="22"/>
        <v>136.86496688307969</v>
      </c>
      <c r="BT20" s="24">
        <f t="shared" si="23"/>
        <v>3.9754204715111676</v>
      </c>
      <c r="BU20" s="45">
        <f t="shared" si="24"/>
        <v>0</v>
      </c>
      <c r="BV20" s="45">
        <f t="shared" si="24"/>
        <v>0</v>
      </c>
      <c r="BW20" s="45" t="e">
        <f t="shared" si="24"/>
        <v>#VALUE!</v>
      </c>
      <c r="BX20" s="45">
        <f t="shared" si="25"/>
        <v>0</v>
      </c>
      <c r="BY20" s="41">
        <f t="shared" si="26"/>
        <v>0</v>
      </c>
      <c r="BZ20" s="11">
        <f t="shared" si="27"/>
        <v>0</v>
      </c>
      <c r="CA20" s="3">
        <f t="shared" si="28"/>
        <v>0</v>
      </c>
      <c r="CB20" s="3">
        <f t="shared" si="29"/>
        <v>0</v>
      </c>
      <c r="CC20" s="3">
        <f t="shared" si="29"/>
        <v>0</v>
      </c>
      <c r="CD20" s="3">
        <f t="shared" si="29"/>
        <v>0</v>
      </c>
      <c r="CE20" s="3">
        <f t="shared" si="1"/>
        <v>0</v>
      </c>
      <c r="CF20" s="3">
        <f t="shared" si="1"/>
        <v>0</v>
      </c>
      <c r="CG20" s="3">
        <f t="shared" si="1"/>
        <v>0</v>
      </c>
      <c r="CH20" s="3">
        <f t="shared" si="1"/>
        <v>0</v>
      </c>
      <c r="CI20" s="3">
        <f t="shared" si="1"/>
        <v>0</v>
      </c>
      <c r="CJ20" s="3">
        <f t="shared" si="1"/>
        <v>0</v>
      </c>
      <c r="CK20" s="3">
        <f t="shared" si="2"/>
        <v>0</v>
      </c>
      <c r="CL20" s="3">
        <f t="shared" si="2"/>
        <v>0</v>
      </c>
      <c r="CM20" s="3">
        <f t="shared" si="2"/>
        <v>0</v>
      </c>
      <c r="CN20" s="3">
        <f t="shared" si="30"/>
        <v>0</v>
      </c>
      <c r="CO20" s="3">
        <f t="shared" si="31"/>
        <v>0</v>
      </c>
      <c r="CP20" s="22"/>
    </row>
    <row r="21" spans="2:94" x14ac:dyDescent="0.25">
      <c r="B21" s="19" t="s">
        <v>97</v>
      </c>
      <c r="C21" s="19" t="s">
        <v>105</v>
      </c>
      <c r="D21" s="19" t="s">
        <v>109</v>
      </c>
      <c r="E21" s="20">
        <v>40969</v>
      </c>
      <c r="F21" s="20">
        <v>40999</v>
      </c>
      <c r="G21" s="20" t="s">
        <v>100</v>
      </c>
      <c r="H21" s="19">
        <v>80</v>
      </c>
      <c r="I21" s="19" t="s">
        <v>3</v>
      </c>
      <c r="J21" s="19">
        <v>5</v>
      </c>
      <c r="K21" s="19">
        <v>743</v>
      </c>
      <c r="L21" s="19">
        <v>2.6831074868284199</v>
      </c>
      <c r="M21" s="19">
        <v>-13.415537434142101</v>
      </c>
      <c r="N21" s="19">
        <v>0.219922689244715</v>
      </c>
      <c r="O21" s="19">
        <v>-3.4491629356078399E-2</v>
      </c>
      <c r="P21" s="19">
        <v>3.71217169876929E-3</v>
      </c>
      <c r="Q21" s="19">
        <v>5.1582228448546701</v>
      </c>
      <c r="R21" s="19">
        <v>-5.7218874289939698E-3</v>
      </c>
      <c r="S21" s="19">
        <v>-0.11260273971652</v>
      </c>
      <c r="T21" s="19">
        <v>0.30418362850479502</v>
      </c>
      <c r="U21" s="19">
        <v>1.09961344622358</v>
      </c>
      <c r="V21" s="19">
        <v>1.09961344622358</v>
      </c>
      <c r="W21" s="19">
        <v>0</v>
      </c>
      <c r="X21" s="19">
        <v>-13.415537434142101</v>
      </c>
      <c r="Y21" s="19">
        <v>1.09961344622358</v>
      </c>
      <c r="Z21" s="19">
        <v>-12.315923987918501</v>
      </c>
      <c r="AA21" s="19">
        <v>-13.415537434142101</v>
      </c>
      <c r="AB21" s="19">
        <v>1.09961344622358</v>
      </c>
      <c r="AC21" s="19">
        <v>-12.315923987918501</v>
      </c>
      <c r="AD21" s="37">
        <v>40182</v>
      </c>
      <c r="AE21" s="37">
        <f t="shared" si="3"/>
        <v>40969</v>
      </c>
      <c r="AF21" s="37">
        <f t="shared" si="3"/>
        <v>40999</v>
      </c>
      <c r="AG21" s="37">
        <v>40998</v>
      </c>
      <c r="AH21" s="43" t="s">
        <v>120</v>
      </c>
      <c r="AI21" s="7">
        <v>110.32</v>
      </c>
      <c r="AJ21" s="33">
        <f t="shared" si="5"/>
        <v>80</v>
      </c>
      <c r="AK21" s="7">
        <v>0.3</v>
      </c>
      <c r="AL21" s="57">
        <f t="shared" si="6"/>
        <v>3.66</v>
      </c>
      <c r="AM21" s="7">
        <v>5.54953714034539E-3</v>
      </c>
      <c r="AN21" s="9"/>
      <c r="AO21" s="7"/>
      <c r="AP21" s="9"/>
      <c r="AQ21" s="9">
        <f t="shared" si="7"/>
        <v>5</v>
      </c>
      <c r="AR21" s="7"/>
      <c r="AS21" s="9" t="s">
        <v>132</v>
      </c>
      <c r="AT21" s="40" t="b">
        <f t="shared" si="8"/>
        <v>0</v>
      </c>
      <c r="AU21" s="2">
        <f t="shared" si="9"/>
        <v>80</v>
      </c>
      <c r="AV21" s="2">
        <f t="shared" si="10"/>
        <v>1</v>
      </c>
      <c r="AW21" s="2" t="b">
        <f t="shared" si="11"/>
        <v>0</v>
      </c>
      <c r="AX21" s="26">
        <f t="shared" si="0"/>
        <v>0.3</v>
      </c>
      <c r="AY21" s="29">
        <f>IF(AW21,"",ImpliedVolatilityB76Future($E$9,AH21,AI21,AU21,AG21,AX21/AV21,AM21))</f>
        <v>0.3041836320596823</v>
      </c>
      <c r="AZ21" s="26">
        <f t="shared" si="12"/>
        <v>0.3</v>
      </c>
      <c r="BA21" s="30">
        <f>IF(AW21,EXP(-TimeToExpiry($E$9,AG21)*AM21)*(AI21-AU21)*AV21,B76Future($E$9,AH21,AI21,AU21,AG21,AY21,AM21)*AV21)</f>
        <v>0.29999999999999988</v>
      </c>
      <c r="BB21" s="27">
        <f>IF(AW21,EXP(-AM21*TimeToExpiry($E$9,AG21))*(AI21-AU21)*AV21,B76Future($E$9,AH21,AI21,AU21,AG21,T21,AM21)*AV21)</f>
        <v>0.29999998166309721</v>
      </c>
      <c r="BC21" s="1">
        <f t="shared" si="13"/>
        <v>2.6831074868284217</v>
      </c>
      <c r="BD21" s="30">
        <f>IF(AW21,EXP(-TimeToExpiry($E$9,AG21)*AM21)*AV21, B76Delta($E$9,AH21,AI21,AU21,AG21,T21,AM21)*AV21)</f>
        <v>-3.4491629508613043E-2</v>
      </c>
      <c r="BE21" s="30">
        <f>IF(AW21,0,B76Gamma($E$9,AH21,AI21,AU21,AG21,T21,AM21)*AV21)</f>
        <v>3.7121716990826344E-3</v>
      </c>
      <c r="BF21" s="30">
        <f>IF(AW21,0,B76Vega($E$9,AH21,AI21,AU21,AG21,T21,AM21)*AV21)</f>
        <v>5.1582228457243291</v>
      </c>
      <c r="BG21" s="30">
        <f>IF(AW21,(EXP(-TimeToExpiry($E$9,AG21)*AM21)*(AI21-AU21)*AV21*AM21/365),B76Theta($E$9,AH21,AI21,AU21,AG21,T21,AM21)*AV21)</f>
        <v>-5.7218874297544449E-3</v>
      </c>
      <c r="BH21" s="30">
        <f>IF(AW21,(EXP(-TimeToExpiry($E$9,AG21)*AM21)*(AI21-AU21)*AV21*-TimeToExpiry($E$9,AG21)),B76Rho($E$9,AH21,AI21,AU21,AG21,T21,AM21)*AV21)</f>
        <v>-0.11260273284340909</v>
      </c>
      <c r="BI21" s="46">
        <f t="shared" si="14"/>
        <v>-13.415537434142108</v>
      </c>
      <c r="BJ21" s="46">
        <f t="shared" si="15"/>
        <v>1.099613446223574</v>
      </c>
      <c r="BK21" s="46">
        <f t="shared" si="16"/>
        <v>1.099613446223574</v>
      </c>
      <c r="BL21" s="46"/>
      <c r="BM21" s="46"/>
      <c r="BN21" s="46">
        <f t="shared" si="17"/>
        <v>-13.415537434142108</v>
      </c>
      <c r="BO21" s="46">
        <f t="shared" si="18"/>
        <v>1.099613446223574</v>
      </c>
      <c r="BP21" s="46">
        <f t="shared" si="19"/>
        <v>-12.315923987918534</v>
      </c>
      <c r="BQ21" s="46">
        <f t="shared" si="20"/>
        <v>-13.415537434142108</v>
      </c>
      <c r="BR21" s="46">
        <f t="shared" si="21"/>
        <v>1.099613446223574</v>
      </c>
      <c r="BS21" s="46">
        <f t="shared" si="22"/>
        <v>-12.315923987918534</v>
      </c>
      <c r="BT21" s="24">
        <f t="shared" si="23"/>
        <v>-0.17245814754306521</v>
      </c>
      <c r="BU21" s="45">
        <f t="shared" si="24"/>
        <v>0</v>
      </c>
      <c r="BV21" s="45">
        <f t="shared" si="24"/>
        <v>0</v>
      </c>
      <c r="BW21" s="45" t="e">
        <f t="shared" si="24"/>
        <v>#VALUE!</v>
      </c>
      <c r="BX21" s="45">
        <f t="shared" si="25"/>
        <v>0</v>
      </c>
      <c r="BY21" s="41">
        <f t="shared" si="26"/>
        <v>-1.1686648759834384E-8</v>
      </c>
      <c r="BZ21" s="11">
        <f t="shared" si="27"/>
        <v>0</v>
      </c>
      <c r="CA21" s="3">
        <f t="shared" si="28"/>
        <v>0</v>
      </c>
      <c r="CB21" s="3">
        <f t="shared" si="29"/>
        <v>0</v>
      </c>
      <c r="CC21" s="3">
        <f t="shared" si="29"/>
        <v>0</v>
      </c>
      <c r="CD21" s="3">
        <f t="shared" si="29"/>
        <v>0</v>
      </c>
      <c r="CE21" s="3">
        <f t="shared" si="1"/>
        <v>0</v>
      </c>
      <c r="CF21" s="3">
        <f t="shared" si="1"/>
        <v>0</v>
      </c>
      <c r="CG21" s="3">
        <f t="shared" si="1"/>
        <v>0</v>
      </c>
      <c r="CH21" s="3">
        <f t="shared" si="1"/>
        <v>0</v>
      </c>
      <c r="CI21" s="3">
        <f t="shared" si="1"/>
        <v>0</v>
      </c>
      <c r="CJ21" s="3">
        <f t="shared" si="1"/>
        <v>0</v>
      </c>
      <c r="CK21" s="3">
        <f t="shared" si="2"/>
        <v>0</v>
      </c>
      <c r="CL21" s="3">
        <f t="shared" si="2"/>
        <v>0</v>
      </c>
      <c r="CM21" s="3">
        <f t="shared" si="2"/>
        <v>0</v>
      </c>
      <c r="CN21" s="3">
        <f t="shared" si="30"/>
        <v>6.1038579968197837E-8</v>
      </c>
      <c r="CO21" s="3">
        <f t="shared" si="31"/>
        <v>0</v>
      </c>
      <c r="CP21" s="22"/>
    </row>
    <row r="22" spans="2:94" x14ac:dyDescent="0.25">
      <c r="B22" s="19" t="s">
        <v>97</v>
      </c>
      <c r="C22" s="19" t="s">
        <v>110</v>
      </c>
      <c r="D22" s="19" t="s">
        <v>111</v>
      </c>
      <c r="E22" s="20">
        <v>41061</v>
      </c>
      <c r="F22" s="20">
        <v>41090</v>
      </c>
      <c r="G22" s="20" t="s">
        <v>100</v>
      </c>
      <c r="H22" s="19">
        <v>130</v>
      </c>
      <c r="I22" s="19" t="s">
        <v>3</v>
      </c>
      <c r="J22" s="19">
        <v>0</v>
      </c>
      <c r="K22" s="19">
        <v>720</v>
      </c>
      <c r="L22" s="19">
        <v>0</v>
      </c>
      <c r="M22" s="19">
        <v>0</v>
      </c>
      <c r="N22" s="19">
        <v>4.3984537848942997</v>
      </c>
      <c r="O22" s="19">
        <v>0.32886863218580198</v>
      </c>
      <c r="P22" s="19">
        <v>1.11859690436793E-2</v>
      </c>
      <c r="Q22" s="19">
        <v>31.174155986104299</v>
      </c>
      <c r="R22" s="19">
        <v>-2.5375661645479601E-2</v>
      </c>
      <c r="S22" s="19">
        <v>-3.7479452052891902</v>
      </c>
      <c r="T22" s="19">
        <v>0.37297754350740397</v>
      </c>
      <c r="U22" s="19">
        <v>0</v>
      </c>
      <c r="V22" s="19">
        <v>0</v>
      </c>
      <c r="W22" s="19">
        <v>0</v>
      </c>
      <c r="X22" s="19">
        <v>0</v>
      </c>
      <c r="Y22" s="19">
        <v>0</v>
      </c>
      <c r="Z22" s="19">
        <v>0</v>
      </c>
      <c r="AA22" s="19">
        <v>0</v>
      </c>
      <c r="AB22" s="19">
        <v>0</v>
      </c>
      <c r="AC22" s="19">
        <v>0</v>
      </c>
      <c r="AD22" s="37">
        <v>40182</v>
      </c>
      <c r="AE22" s="37">
        <f t="shared" si="3"/>
        <v>41061</v>
      </c>
      <c r="AF22" s="37">
        <f t="shared" si="3"/>
        <v>41090</v>
      </c>
      <c r="AG22" s="37">
        <v>41089</v>
      </c>
      <c r="AH22" s="43" t="s">
        <v>68</v>
      </c>
      <c r="AI22" s="7">
        <v>109.37</v>
      </c>
      <c r="AJ22" s="33">
        <f t="shared" si="5"/>
        <v>130</v>
      </c>
      <c r="AK22" s="7">
        <v>6</v>
      </c>
      <c r="AL22" s="33">
        <f>L22</f>
        <v>0</v>
      </c>
      <c r="AM22" s="7">
        <v>7.4652119758270401E-3</v>
      </c>
      <c r="AN22" s="7"/>
      <c r="AO22" s="7"/>
      <c r="AP22" s="9"/>
      <c r="AQ22" s="9">
        <f t="shared" si="7"/>
        <v>0</v>
      </c>
      <c r="AR22" s="7"/>
      <c r="AS22" s="9" t="s">
        <v>134</v>
      </c>
      <c r="AT22" s="40" t="b">
        <f t="shared" si="8"/>
        <v>0</v>
      </c>
      <c r="AU22" s="2">
        <f t="shared" si="9"/>
        <v>130</v>
      </c>
      <c r="AV22" s="2">
        <f t="shared" si="10"/>
        <v>1</v>
      </c>
      <c r="AW22" s="2" t="b">
        <f t="shared" si="11"/>
        <v>0</v>
      </c>
      <c r="AX22" s="26">
        <f t="shared" si="0"/>
        <v>6</v>
      </c>
      <c r="AY22" s="29">
        <f>IF(AW22,"",ImpliedVolatilityB76Future($E$9,AH22,AI22,AU22,AG22,AX22/AV22,AM22))</f>
        <v>0.37297754349004458</v>
      </c>
      <c r="AZ22" s="26">
        <f t="shared" si="12"/>
        <v>6</v>
      </c>
      <c r="BA22" s="30">
        <f>IF(AW22,EXP(-TimeToExpiry($E$9,AG22)*AM22)*(AI22-AU22)*AV22,B76Future($E$9,AH22,AI22,AU22,AG22,AY22,AM22)*AV22)</f>
        <v>6</v>
      </c>
      <c r="BB22" s="27">
        <f>IF(AW22,EXP(-AM22*TimeToExpiry($E$9,AG22))*(AI22-AU22)*AV22,B76Future($E$9,AH22,AI22,AU22,AG22,T22,AM22)*AV22)</f>
        <v>6.0000000005411671</v>
      </c>
      <c r="BC22" s="1">
        <f t="shared" si="13"/>
        <v>0</v>
      </c>
      <c r="BD22" s="30">
        <f>IF(AW22,EXP(-TimeToExpiry($E$9,AG22)*AM22)*AV22, B76Delta($E$9,AH22,AI22,AU22,AG22,T22,AM22)*AV22)</f>
        <v>0.328868632197162</v>
      </c>
      <c r="BE22" s="30">
        <f>IF(AW22,0,B76Gamma($E$9,AH22,AI22,AU22,AG22,T22,AM22)*AV22)</f>
        <v>1.1185969043508678E-2</v>
      </c>
      <c r="BF22" s="30">
        <f>IF(AW22,0,B76Vega($E$9,AH22,AI22,AU22,AG22,T22,AM22)*AV22)</f>
        <v>31.174155987490902</v>
      </c>
      <c r="BG22" s="30">
        <f>IF(AW22,(EXP(-TimeToExpiry($E$9,AG22)*AM22)*(AI22-AU22)*AV22*AM22/365),B76Theta($E$9,AH22,AI22,AU22,AG22,AY22,AM22)*AV22)</f>
        <v>-2.537566164375055E-2</v>
      </c>
      <c r="BH22" s="30">
        <f>IF(AW22,(EXP(-TimeToExpiry($E$9,AG22)*AM22)*(AI22-AU22)*AV22*-TimeToExpiry($E$9,AG22)),B76Rho($E$9,AH22,AI22,AU22,AG22,T22,AM22)*AV22)</f>
        <v>-3.747945205817496</v>
      </c>
      <c r="BI22" s="46">
        <f t="shared" si="14"/>
        <v>0</v>
      </c>
      <c r="BJ22" s="46">
        <f t="shared" si="15"/>
        <v>0</v>
      </c>
      <c r="BK22" s="46">
        <f t="shared" si="16"/>
        <v>0</v>
      </c>
      <c r="BL22" s="46"/>
      <c r="BM22" s="46"/>
      <c r="BN22" s="46">
        <f t="shared" si="17"/>
        <v>0</v>
      </c>
      <c r="BO22" s="46">
        <f t="shared" si="18"/>
        <v>0</v>
      </c>
      <c r="BP22" s="46">
        <f t="shared" si="19"/>
        <v>0</v>
      </c>
      <c r="BQ22" s="46">
        <f t="shared" si="20"/>
        <v>0</v>
      </c>
      <c r="BR22" s="46">
        <f t="shared" si="21"/>
        <v>0</v>
      </c>
      <c r="BS22" s="46">
        <f t="shared" si="22"/>
        <v>0</v>
      </c>
      <c r="BT22" s="24">
        <f t="shared" si="23"/>
        <v>0</v>
      </c>
      <c r="BU22" s="45">
        <f t="shared" si="24"/>
        <v>0</v>
      </c>
      <c r="BV22" s="45">
        <f t="shared" si="24"/>
        <v>0</v>
      </c>
      <c r="BW22" s="45" t="e">
        <f t="shared" si="24"/>
        <v>#VALUE!</v>
      </c>
      <c r="BX22" s="45">
        <f t="shared" si="25"/>
        <v>0</v>
      </c>
      <c r="BY22" s="41">
        <f t="shared" si="26"/>
        <v>0</v>
      </c>
      <c r="BZ22" s="11">
        <f t="shared" si="27"/>
        <v>0</v>
      </c>
      <c r="CA22" s="3">
        <f t="shared" si="28"/>
        <v>0</v>
      </c>
      <c r="CB22" s="3">
        <f t="shared" si="29"/>
        <v>0</v>
      </c>
      <c r="CC22" s="3">
        <f t="shared" si="29"/>
        <v>0</v>
      </c>
      <c r="CD22" s="3">
        <f t="shared" si="29"/>
        <v>0</v>
      </c>
      <c r="CE22" s="3">
        <f t="shared" si="1"/>
        <v>0</v>
      </c>
      <c r="CF22" s="3">
        <f t="shared" si="1"/>
        <v>0</v>
      </c>
      <c r="CG22" s="3">
        <f t="shared" si="1"/>
        <v>0</v>
      </c>
      <c r="CH22" s="3">
        <f t="shared" si="1"/>
        <v>0</v>
      </c>
      <c r="CI22" s="3">
        <f t="shared" si="1"/>
        <v>0</v>
      </c>
      <c r="CJ22" s="3">
        <f t="shared" si="1"/>
        <v>0</v>
      </c>
      <c r="CK22" s="3">
        <f t="shared" si="2"/>
        <v>0</v>
      </c>
      <c r="CL22" s="3">
        <f t="shared" si="2"/>
        <v>0</v>
      </c>
      <c r="CM22" s="3">
        <f t="shared" si="2"/>
        <v>0</v>
      </c>
      <c r="CN22" s="3">
        <f t="shared" si="30"/>
        <v>0</v>
      </c>
      <c r="CO22" s="3">
        <f t="shared" si="31"/>
        <v>0</v>
      </c>
      <c r="CP22" s="22"/>
    </row>
    <row r="23" spans="2:94" x14ac:dyDescent="0.25">
      <c r="B23" s="19" t="s">
        <v>97</v>
      </c>
      <c r="C23" s="19" t="s">
        <v>112</v>
      </c>
      <c r="D23" s="19" t="s">
        <v>113</v>
      </c>
      <c r="E23" s="20">
        <v>40664</v>
      </c>
      <c r="F23" s="20">
        <v>40694</v>
      </c>
      <c r="G23" s="20" t="s">
        <v>100</v>
      </c>
      <c r="H23" s="19">
        <v>130</v>
      </c>
      <c r="I23" s="19" t="s">
        <v>114</v>
      </c>
      <c r="J23" s="19">
        <v>0</v>
      </c>
      <c r="K23" s="19">
        <v>744</v>
      </c>
      <c r="L23" s="19">
        <v>0</v>
      </c>
      <c r="M23" s="19">
        <v>0</v>
      </c>
      <c r="N23" s="19">
        <v>0</v>
      </c>
      <c r="O23" s="19">
        <v>0</v>
      </c>
      <c r="P23" s="19">
        <v>0</v>
      </c>
      <c r="Q23" s="19">
        <v>0</v>
      </c>
      <c r="R23" s="19">
        <v>0</v>
      </c>
      <c r="S23" s="19">
        <v>0</v>
      </c>
      <c r="T23" s="19">
        <v>0</v>
      </c>
      <c r="U23" s="19">
        <v>0</v>
      </c>
      <c r="V23" s="19">
        <v>0</v>
      </c>
      <c r="W23" s="19">
        <v>0</v>
      </c>
      <c r="X23" s="19">
        <v>0</v>
      </c>
      <c r="Y23" s="19">
        <v>0</v>
      </c>
      <c r="Z23" s="19">
        <v>0</v>
      </c>
      <c r="AA23" s="19">
        <v>0</v>
      </c>
      <c r="AB23" s="19">
        <v>0</v>
      </c>
      <c r="AC23" s="19">
        <v>0</v>
      </c>
      <c r="AD23" s="37">
        <v>40182</v>
      </c>
      <c r="AE23" s="37">
        <f t="shared" si="3"/>
        <v>40664</v>
      </c>
      <c r="AF23" s="37">
        <f t="shared" si="3"/>
        <v>40694</v>
      </c>
      <c r="AG23" s="37">
        <f t="shared" si="4"/>
        <v>40694</v>
      </c>
      <c r="AH23" s="43" t="s">
        <v>68</v>
      </c>
      <c r="AI23" s="7" t="s">
        <v>95</v>
      </c>
      <c r="AJ23" s="33">
        <f t="shared" si="5"/>
        <v>130</v>
      </c>
      <c r="AK23" s="7" t="s">
        <v>95</v>
      </c>
      <c r="AL23" s="33">
        <f>L23</f>
        <v>0</v>
      </c>
      <c r="AM23" s="7" t="s">
        <v>95</v>
      </c>
      <c r="AN23" s="7" t="s">
        <v>95</v>
      </c>
      <c r="AO23" s="7" t="s">
        <v>95</v>
      </c>
      <c r="AP23" s="7"/>
      <c r="AQ23" s="9">
        <f t="shared" si="7"/>
        <v>0</v>
      </c>
      <c r="AR23" s="7" t="s">
        <v>95</v>
      </c>
      <c r="AS23" s="9" t="s">
        <v>135</v>
      </c>
      <c r="AT23" s="40" t="b">
        <f t="shared" si="8"/>
        <v>0</v>
      </c>
      <c r="AU23" s="2">
        <f t="shared" si="9"/>
        <v>130</v>
      </c>
      <c r="AV23" s="2">
        <f t="shared" si="10"/>
        <v>1</v>
      </c>
      <c r="AW23" s="2" t="b">
        <f t="shared" si="11"/>
        <v>0</v>
      </c>
      <c r="AX23" s="26" t="str">
        <f t="shared" si="0"/>
        <v>N/A</v>
      </c>
      <c r="AY23" s="29">
        <f>IF(AW23,"",ImpliedVolatilityB76Future($E$9,AH23,AI23,AU23,AG23,AX23/AV23,AM23))</f>
        <v>0</v>
      </c>
      <c r="AZ23" s="26" t="str">
        <f t="shared" ref="AZ23:BB27" si="32">AM23</f>
        <v>N/A</v>
      </c>
      <c r="BA23" s="26" t="str">
        <f t="shared" si="32"/>
        <v>N/A</v>
      </c>
      <c r="BB23" s="26" t="str">
        <f t="shared" si="32"/>
        <v>N/A</v>
      </c>
      <c r="BC23" s="1">
        <f t="shared" si="13"/>
        <v>0</v>
      </c>
      <c r="BD23" s="26">
        <v>0</v>
      </c>
      <c r="BE23" s="26">
        <v>0</v>
      </c>
      <c r="BF23" s="26">
        <v>0</v>
      </c>
      <c r="BG23" s="26">
        <v>0</v>
      </c>
      <c r="BH23" s="26">
        <v>0</v>
      </c>
      <c r="BI23" s="46">
        <f t="shared" si="14"/>
        <v>0</v>
      </c>
      <c r="BJ23" s="46">
        <v>0</v>
      </c>
      <c r="BK23" s="46">
        <f t="shared" si="16"/>
        <v>0</v>
      </c>
      <c r="BL23" s="46"/>
      <c r="BM23" s="46"/>
      <c r="BN23" s="46">
        <f t="shared" si="17"/>
        <v>0</v>
      </c>
      <c r="BO23" s="46">
        <f t="shared" si="18"/>
        <v>0</v>
      </c>
      <c r="BP23" s="46">
        <f t="shared" si="19"/>
        <v>0</v>
      </c>
      <c r="BQ23" s="46">
        <f t="shared" si="20"/>
        <v>0</v>
      </c>
      <c r="BR23" s="46">
        <f t="shared" si="21"/>
        <v>0</v>
      </c>
      <c r="BS23" s="46">
        <f t="shared" si="22"/>
        <v>0</v>
      </c>
      <c r="BT23" s="24">
        <v>0</v>
      </c>
      <c r="BU23" s="45">
        <f t="shared" si="24"/>
        <v>0</v>
      </c>
      <c r="BV23" s="45">
        <f t="shared" si="24"/>
        <v>0</v>
      </c>
      <c r="BW23" s="45" t="e">
        <f t="shared" si="24"/>
        <v>#VALUE!</v>
      </c>
      <c r="BX23" s="45">
        <f t="shared" si="25"/>
        <v>0</v>
      </c>
      <c r="BY23" s="41">
        <f t="shared" si="26"/>
        <v>0</v>
      </c>
      <c r="BZ23" s="11">
        <f t="shared" si="27"/>
        <v>0</v>
      </c>
      <c r="CA23" s="3">
        <f t="shared" si="28"/>
        <v>0</v>
      </c>
      <c r="CB23" s="3">
        <f t="shared" si="29"/>
        <v>0</v>
      </c>
      <c r="CC23" s="3">
        <f t="shared" si="29"/>
        <v>0</v>
      </c>
      <c r="CD23" s="3">
        <f t="shared" si="29"/>
        <v>0</v>
      </c>
      <c r="CE23" s="3">
        <f t="shared" si="1"/>
        <v>0</v>
      </c>
      <c r="CF23" s="3">
        <f t="shared" si="1"/>
        <v>0</v>
      </c>
      <c r="CG23" s="3">
        <f t="shared" si="1"/>
        <v>0</v>
      </c>
      <c r="CH23" s="3">
        <f t="shared" si="1"/>
        <v>0</v>
      </c>
      <c r="CI23" s="3">
        <f t="shared" si="1"/>
        <v>0</v>
      </c>
      <c r="CJ23" s="3">
        <f t="shared" si="1"/>
        <v>0</v>
      </c>
      <c r="CK23" s="3">
        <f t="shared" si="2"/>
        <v>0</v>
      </c>
      <c r="CL23" s="3">
        <f t="shared" si="2"/>
        <v>0</v>
      </c>
      <c r="CM23" s="3">
        <f t="shared" si="2"/>
        <v>0</v>
      </c>
      <c r="CN23" s="3">
        <f t="shared" si="30"/>
        <v>0</v>
      </c>
      <c r="CO23" s="3">
        <f t="shared" si="31"/>
        <v>0</v>
      </c>
      <c r="CP23" s="22"/>
    </row>
    <row r="24" spans="2:94" x14ac:dyDescent="0.25">
      <c r="B24" s="19" t="s">
        <v>97</v>
      </c>
      <c r="C24" s="19" t="s">
        <v>115</v>
      </c>
      <c r="D24" s="19" t="s">
        <v>116</v>
      </c>
      <c r="E24" s="20">
        <v>40787</v>
      </c>
      <c r="F24" s="20">
        <v>40816</v>
      </c>
      <c r="G24" s="20" t="s">
        <v>100</v>
      </c>
      <c r="H24" s="19">
        <v>130</v>
      </c>
      <c r="I24" s="19" t="s">
        <v>114</v>
      </c>
      <c r="J24" s="19">
        <v>5</v>
      </c>
      <c r="K24" s="19">
        <v>720</v>
      </c>
      <c r="L24" s="19">
        <v>2.6831074868284199</v>
      </c>
      <c r="M24" s="19">
        <v>-13.415537434142101</v>
      </c>
      <c r="N24" s="19">
        <v>0</v>
      </c>
      <c r="O24" s="19">
        <v>0</v>
      </c>
      <c r="P24" s="19">
        <v>0</v>
      </c>
      <c r="Q24" s="19">
        <v>0</v>
      </c>
      <c r="R24" s="19">
        <v>0</v>
      </c>
      <c r="S24" s="19">
        <v>0</v>
      </c>
      <c r="T24" s="19">
        <v>0</v>
      </c>
      <c r="U24" s="19">
        <v>0</v>
      </c>
      <c r="V24" s="19">
        <v>0</v>
      </c>
      <c r="W24" s="19">
        <v>0</v>
      </c>
      <c r="X24" s="19">
        <v>-13.415537434142101</v>
      </c>
      <c r="Y24" s="19">
        <v>0</v>
      </c>
      <c r="Z24" s="19">
        <v>-13.415537434142101</v>
      </c>
      <c r="AA24" s="19">
        <v>-13.415537434142101</v>
      </c>
      <c r="AB24" s="19">
        <v>0</v>
      </c>
      <c r="AC24" s="19">
        <v>-13.415537434142101</v>
      </c>
      <c r="AD24" s="37">
        <v>40182</v>
      </c>
      <c r="AE24" s="37">
        <f t="shared" si="3"/>
        <v>40787</v>
      </c>
      <c r="AF24" s="37">
        <f t="shared" si="3"/>
        <v>40816</v>
      </c>
      <c r="AG24" s="37">
        <f t="shared" si="4"/>
        <v>40816</v>
      </c>
      <c r="AH24" s="43" t="s">
        <v>68</v>
      </c>
      <c r="AI24" s="7" t="s">
        <v>95</v>
      </c>
      <c r="AJ24" s="33">
        <f t="shared" si="5"/>
        <v>130</v>
      </c>
      <c r="AK24" s="7" t="s">
        <v>95</v>
      </c>
      <c r="AL24" s="33">
        <v>3.66</v>
      </c>
      <c r="AM24" s="7" t="s">
        <v>95</v>
      </c>
      <c r="AN24" s="7" t="s">
        <v>95</v>
      </c>
      <c r="AO24" s="7" t="s">
        <v>95</v>
      </c>
      <c r="AP24" s="7"/>
      <c r="AQ24" s="9">
        <f t="shared" si="7"/>
        <v>5</v>
      </c>
      <c r="AR24" s="7" t="s">
        <v>95</v>
      </c>
      <c r="AS24" s="9" t="s">
        <v>125</v>
      </c>
      <c r="AT24" s="40" t="b">
        <f t="shared" si="8"/>
        <v>0</v>
      </c>
      <c r="AU24" s="2">
        <f t="shared" si="9"/>
        <v>130</v>
      </c>
      <c r="AV24" s="2">
        <f t="shared" si="10"/>
        <v>1</v>
      </c>
      <c r="AW24" s="2" t="b">
        <f t="shared" si="11"/>
        <v>0</v>
      </c>
      <c r="AX24" s="26" t="str">
        <f t="shared" si="0"/>
        <v>N/A</v>
      </c>
      <c r="AY24" s="29">
        <f>IF(AW24,"",ImpliedVolatilityB76Future($E$9,AH24,AI24,AU24,AG24,AX24/AV24,AM24))</f>
        <v>0</v>
      </c>
      <c r="AZ24" s="26" t="str">
        <f t="shared" si="32"/>
        <v>N/A</v>
      </c>
      <c r="BA24" s="26" t="str">
        <f t="shared" si="32"/>
        <v>N/A</v>
      </c>
      <c r="BB24" s="26" t="str">
        <f t="shared" si="32"/>
        <v>N/A</v>
      </c>
      <c r="BC24" s="1">
        <f t="shared" si="13"/>
        <v>2.6831074868284217</v>
      </c>
      <c r="BD24" s="26">
        <v>0</v>
      </c>
      <c r="BE24" s="26">
        <v>0</v>
      </c>
      <c r="BF24" s="26">
        <v>0</v>
      </c>
      <c r="BG24" s="26">
        <v>0</v>
      </c>
      <c r="BH24" s="26">
        <v>0</v>
      </c>
      <c r="BI24" s="46">
        <f t="shared" si="14"/>
        <v>-13.415537434142108</v>
      </c>
      <c r="BJ24" s="46">
        <v>0</v>
      </c>
      <c r="BK24" s="46">
        <f t="shared" si="16"/>
        <v>0</v>
      </c>
      <c r="BL24" s="46"/>
      <c r="BM24" s="46">
        <v>0</v>
      </c>
      <c r="BN24" s="46">
        <f>BI24+BL24+BM24</f>
        <v>-13.415537434142108</v>
      </c>
      <c r="BO24" s="46">
        <f t="shared" si="18"/>
        <v>0</v>
      </c>
      <c r="BP24" s="46">
        <f t="shared" si="19"/>
        <v>-13.415537434142108</v>
      </c>
      <c r="BQ24" s="46">
        <f>BL24+BI24+BM24</f>
        <v>-13.415537434142108</v>
      </c>
      <c r="BR24" s="46">
        <f t="shared" si="21"/>
        <v>0</v>
      </c>
      <c r="BS24" s="46">
        <f t="shared" si="22"/>
        <v>-13.415537434142108</v>
      </c>
      <c r="BT24" s="24">
        <v>0</v>
      </c>
      <c r="BU24" s="45">
        <f t="shared" si="24"/>
        <v>0</v>
      </c>
      <c r="BV24" s="45">
        <f t="shared" si="24"/>
        <v>0</v>
      </c>
      <c r="BW24" s="45" t="e">
        <f t="shared" si="24"/>
        <v>#VALUE!</v>
      </c>
      <c r="BX24" s="45">
        <f t="shared" si="25"/>
        <v>0</v>
      </c>
      <c r="BY24" s="41">
        <f t="shared" si="26"/>
        <v>0</v>
      </c>
      <c r="BZ24" s="11">
        <f t="shared" si="27"/>
        <v>0</v>
      </c>
      <c r="CA24" s="3">
        <f t="shared" si="28"/>
        <v>0</v>
      </c>
      <c r="CB24" s="3">
        <f t="shared" si="29"/>
        <v>0</v>
      </c>
      <c r="CC24" s="3">
        <f t="shared" si="29"/>
        <v>0</v>
      </c>
      <c r="CD24" s="3">
        <f t="shared" si="29"/>
        <v>0</v>
      </c>
      <c r="CE24" s="3">
        <f t="shared" si="1"/>
        <v>0</v>
      </c>
      <c r="CF24" s="3">
        <f t="shared" si="1"/>
        <v>0</v>
      </c>
      <c r="CG24" s="3">
        <f t="shared" si="1"/>
        <v>0</v>
      </c>
      <c r="CH24" s="3">
        <f t="shared" si="1"/>
        <v>0</v>
      </c>
      <c r="CI24" s="3">
        <f t="shared" si="1"/>
        <v>0</v>
      </c>
      <c r="CJ24" s="3">
        <f t="shared" si="1"/>
        <v>0</v>
      </c>
      <c r="CK24" s="3">
        <f t="shared" si="2"/>
        <v>0</v>
      </c>
      <c r="CL24" s="3">
        <f t="shared" si="2"/>
        <v>0</v>
      </c>
      <c r="CM24" s="3">
        <f t="shared" si="2"/>
        <v>0</v>
      </c>
      <c r="CN24" s="3">
        <f t="shared" si="30"/>
        <v>0</v>
      </c>
      <c r="CO24" s="3">
        <f t="shared" si="31"/>
        <v>0</v>
      </c>
      <c r="CP24" s="22"/>
    </row>
    <row r="25" spans="2:94" x14ac:dyDescent="0.25">
      <c r="B25" s="14" t="s">
        <v>97</v>
      </c>
      <c r="C25" s="14" t="s">
        <v>115</v>
      </c>
      <c r="D25" s="14" t="s">
        <v>117</v>
      </c>
      <c r="E25" s="15">
        <v>40787</v>
      </c>
      <c r="F25" s="15">
        <v>40816</v>
      </c>
      <c r="G25" s="28" t="s">
        <v>100</v>
      </c>
      <c r="H25" s="14">
        <v>130</v>
      </c>
      <c r="I25" s="14" t="s">
        <v>114</v>
      </c>
      <c r="J25" s="14">
        <v>5</v>
      </c>
      <c r="K25" s="14">
        <v>720</v>
      </c>
      <c r="L25" s="14">
        <v>2.6831074868284199</v>
      </c>
      <c r="M25" s="14">
        <v>-13.415537434142101</v>
      </c>
      <c r="N25" s="14">
        <v>0</v>
      </c>
      <c r="O25" s="14">
        <v>0</v>
      </c>
      <c r="P25" s="14">
        <v>0</v>
      </c>
      <c r="Q25" s="14">
        <v>0</v>
      </c>
      <c r="R25" s="16">
        <v>0</v>
      </c>
      <c r="S25" s="14">
        <v>0</v>
      </c>
      <c r="T25" s="31">
        <v>0</v>
      </c>
      <c r="U25" s="14">
        <v>0</v>
      </c>
      <c r="V25" s="14">
        <v>0</v>
      </c>
      <c r="W25" s="14">
        <v>0</v>
      </c>
      <c r="X25" s="14">
        <v>56.737793316228903</v>
      </c>
      <c r="Y25" s="14">
        <v>0</v>
      </c>
      <c r="Z25" s="14">
        <v>56.737793316228903</v>
      </c>
      <c r="AA25" s="14">
        <v>56.737793316228903</v>
      </c>
      <c r="AB25" s="14">
        <v>0</v>
      </c>
      <c r="AC25" s="14">
        <v>56.737793316228903</v>
      </c>
      <c r="AD25" s="37">
        <v>40182</v>
      </c>
      <c r="AE25" s="37">
        <f t="shared" si="3"/>
        <v>40787</v>
      </c>
      <c r="AF25" s="37">
        <f t="shared" si="3"/>
        <v>40816</v>
      </c>
      <c r="AG25" s="37">
        <f t="shared" si="4"/>
        <v>40816</v>
      </c>
      <c r="AH25" s="43" t="s">
        <v>120</v>
      </c>
      <c r="AI25" s="7" t="s">
        <v>95</v>
      </c>
      <c r="AJ25" s="33">
        <f t="shared" si="5"/>
        <v>130</v>
      </c>
      <c r="AK25" s="7" t="s">
        <v>95</v>
      </c>
      <c r="AL25" s="33">
        <v>3.66</v>
      </c>
      <c r="AM25" s="7" t="s">
        <v>95</v>
      </c>
      <c r="AN25" s="7" t="s">
        <v>95</v>
      </c>
      <c r="AO25" s="7" t="s">
        <v>95</v>
      </c>
      <c r="AP25" s="7"/>
      <c r="AQ25" s="9">
        <f t="shared" si="7"/>
        <v>5</v>
      </c>
      <c r="AR25" s="7" t="s">
        <v>95</v>
      </c>
      <c r="AS25" s="9" t="s">
        <v>126</v>
      </c>
      <c r="AT25" s="40" t="b">
        <f t="shared" si="8"/>
        <v>0</v>
      </c>
      <c r="AU25" s="2">
        <f t="shared" si="9"/>
        <v>130</v>
      </c>
      <c r="AV25" s="2">
        <f t="shared" si="10"/>
        <v>1</v>
      </c>
      <c r="AW25" s="2" t="b">
        <f t="shared" si="11"/>
        <v>0</v>
      </c>
      <c r="AX25" s="26" t="str">
        <f t="shared" si="0"/>
        <v>N/A</v>
      </c>
      <c r="AY25" s="29">
        <f>IF(AW25,"",ImpliedVolatilityB76Future($E$9,AH25,AI25,AU25,AG25,AX25/AV25,AM25))</f>
        <v>0</v>
      </c>
      <c r="AZ25" s="26" t="str">
        <f t="shared" si="32"/>
        <v>N/A</v>
      </c>
      <c r="BA25" s="26" t="str">
        <f t="shared" si="32"/>
        <v>N/A</v>
      </c>
      <c r="BB25" s="26" t="str">
        <f t="shared" si="32"/>
        <v>N/A</v>
      </c>
      <c r="BC25" s="1">
        <f t="shared" si="13"/>
        <v>2.6831074868284217</v>
      </c>
      <c r="BD25" s="26">
        <v>0</v>
      </c>
      <c r="BE25" s="26">
        <v>0</v>
      </c>
      <c r="BF25" s="26">
        <v>0</v>
      </c>
      <c r="BG25" s="26">
        <v>0</v>
      </c>
      <c r="BH25" s="26">
        <v>0</v>
      </c>
      <c r="BI25" s="46">
        <f t="shared" si="14"/>
        <v>-13.415537434142108</v>
      </c>
      <c r="BJ25" s="46">
        <v>0</v>
      </c>
      <c r="BK25" s="46">
        <f t="shared" si="16"/>
        <v>0</v>
      </c>
      <c r="BL25" s="46"/>
      <c r="BM25" s="46">
        <f>(AJ25-'Historic settlement prices'!F3)*AQ25*$H$10</f>
        <v>70.153330750371353</v>
      </c>
      <c r="BN25" s="46">
        <f>BI25+BL25+BM25</f>
        <v>56.737793316229244</v>
      </c>
      <c r="BO25" s="46">
        <f t="shared" si="18"/>
        <v>0</v>
      </c>
      <c r="BP25" s="46">
        <f t="shared" si="19"/>
        <v>56.737793316229244</v>
      </c>
      <c r="BQ25" s="46">
        <f>BL25+BI25+BM25</f>
        <v>56.737793316229244</v>
      </c>
      <c r="BR25" s="46">
        <f t="shared" si="21"/>
        <v>0</v>
      </c>
      <c r="BS25" s="46">
        <f t="shared" si="22"/>
        <v>56.737793316229244</v>
      </c>
      <c r="BT25" s="24">
        <v>0</v>
      </c>
      <c r="BU25" s="45">
        <f t="shared" si="24"/>
        <v>0</v>
      </c>
      <c r="BV25" s="45">
        <f t="shared" si="24"/>
        <v>0</v>
      </c>
      <c r="BW25" s="45" t="e">
        <f t="shared" si="24"/>
        <v>#VALUE!</v>
      </c>
      <c r="BX25" s="45">
        <f t="shared" si="25"/>
        <v>0</v>
      </c>
      <c r="BY25" s="41">
        <f t="shared" si="26"/>
        <v>0</v>
      </c>
      <c r="BZ25" s="11">
        <f t="shared" si="27"/>
        <v>0</v>
      </c>
      <c r="CA25" s="3">
        <f t="shared" si="28"/>
        <v>0</v>
      </c>
      <c r="CB25" s="3">
        <f t="shared" si="29"/>
        <v>0</v>
      </c>
      <c r="CC25" s="3">
        <f t="shared" si="29"/>
        <v>0</v>
      </c>
      <c r="CD25" s="3">
        <f t="shared" si="29"/>
        <v>0</v>
      </c>
      <c r="CE25" s="3">
        <f t="shared" si="1"/>
        <v>0</v>
      </c>
      <c r="CF25" s="3">
        <f t="shared" si="1"/>
        <v>0</v>
      </c>
      <c r="CG25" s="3">
        <f t="shared" si="1"/>
        <v>0</v>
      </c>
      <c r="CH25" s="3">
        <f t="shared" si="1"/>
        <v>0</v>
      </c>
      <c r="CI25" s="3">
        <f t="shared" si="1"/>
        <v>0</v>
      </c>
      <c r="CJ25" s="3">
        <f t="shared" si="1"/>
        <v>0</v>
      </c>
      <c r="CK25" s="3">
        <f t="shared" si="2"/>
        <v>0</v>
      </c>
      <c r="CL25" s="3">
        <f t="shared" si="2"/>
        <v>0</v>
      </c>
      <c r="CM25" s="3">
        <f t="shared" si="2"/>
        <v>0</v>
      </c>
      <c r="CN25" s="3">
        <f t="shared" si="30"/>
        <v>0</v>
      </c>
      <c r="CO25" s="3">
        <f t="shared" si="31"/>
        <v>0</v>
      </c>
    </row>
    <row r="26" spans="2:94" ht="15.75" customHeight="1" x14ac:dyDescent="0.25">
      <c r="B26" s="14" t="s">
        <v>97</v>
      </c>
      <c r="C26" s="14" t="s">
        <v>115</v>
      </c>
      <c r="D26" s="14" t="s">
        <v>118</v>
      </c>
      <c r="E26" s="15">
        <v>40787</v>
      </c>
      <c r="F26" s="15">
        <v>40816</v>
      </c>
      <c r="G26" s="28" t="s">
        <v>100</v>
      </c>
      <c r="H26" s="14">
        <v>80</v>
      </c>
      <c r="I26" s="14" t="s">
        <v>114</v>
      </c>
      <c r="J26" s="14">
        <v>5</v>
      </c>
      <c r="K26" s="14">
        <v>720</v>
      </c>
      <c r="L26" s="14">
        <v>2.6831074868284199</v>
      </c>
      <c r="M26" s="14">
        <v>-13.415537434142101</v>
      </c>
      <c r="N26" s="14">
        <v>0</v>
      </c>
      <c r="O26" s="14">
        <v>0</v>
      </c>
      <c r="P26" s="14">
        <v>0</v>
      </c>
      <c r="Q26" s="14">
        <v>0</v>
      </c>
      <c r="R26" s="16">
        <v>0</v>
      </c>
      <c r="S26" s="14">
        <v>0</v>
      </c>
      <c r="T26" s="31">
        <v>0</v>
      </c>
      <c r="U26" s="14">
        <v>0</v>
      </c>
      <c r="V26" s="14">
        <v>0</v>
      </c>
      <c r="W26" s="14">
        <v>0</v>
      </c>
      <c r="X26" s="14">
        <v>99.703501134368096</v>
      </c>
      <c r="Y26" s="14">
        <v>0</v>
      </c>
      <c r="Z26" s="14">
        <v>99.703501134368096</v>
      </c>
      <c r="AA26" s="14">
        <v>99.703501134368096</v>
      </c>
      <c r="AB26" s="14">
        <v>0</v>
      </c>
      <c r="AC26" s="14">
        <v>99.703501134368096</v>
      </c>
      <c r="AD26" s="37">
        <v>40182</v>
      </c>
      <c r="AE26" s="37">
        <f t="shared" si="3"/>
        <v>40787</v>
      </c>
      <c r="AF26" s="37">
        <f t="shared" si="3"/>
        <v>40816</v>
      </c>
      <c r="AG26" s="37">
        <f t="shared" si="4"/>
        <v>40816</v>
      </c>
      <c r="AH26" s="43" t="s">
        <v>68</v>
      </c>
      <c r="AI26" s="7" t="s">
        <v>95</v>
      </c>
      <c r="AJ26" s="33">
        <f t="shared" si="5"/>
        <v>80</v>
      </c>
      <c r="AK26" s="7" t="s">
        <v>95</v>
      </c>
      <c r="AL26" s="33">
        <v>3.66</v>
      </c>
      <c r="AM26" s="7" t="s">
        <v>95</v>
      </c>
      <c r="AN26" s="7" t="s">
        <v>95</v>
      </c>
      <c r="AO26" s="7" t="s">
        <v>95</v>
      </c>
      <c r="AP26" s="7"/>
      <c r="AQ26" s="9">
        <f t="shared" si="7"/>
        <v>5</v>
      </c>
      <c r="AR26" s="7" t="s">
        <v>95</v>
      </c>
      <c r="AS26" s="9" t="s">
        <v>127</v>
      </c>
      <c r="AT26" s="40" t="b">
        <f t="shared" si="8"/>
        <v>0</v>
      </c>
      <c r="AU26" s="2">
        <f t="shared" si="9"/>
        <v>80</v>
      </c>
      <c r="AV26" s="2">
        <f t="shared" si="10"/>
        <v>1</v>
      </c>
      <c r="AW26" s="2" t="b">
        <f t="shared" si="11"/>
        <v>0</v>
      </c>
      <c r="AX26" s="26" t="str">
        <f t="shared" si="0"/>
        <v>N/A</v>
      </c>
      <c r="AY26" s="29">
        <f>IF(AW26,"",ImpliedVolatilityB76Future($E$9,AH26,AI26,AU26,AG26,AX26/AV26,AM26))</f>
        <v>0</v>
      </c>
      <c r="AZ26" s="26" t="str">
        <f t="shared" si="32"/>
        <v>N/A</v>
      </c>
      <c r="BA26" s="26" t="str">
        <f t="shared" si="32"/>
        <v>N/A</v>
      </c>
      <c r="BB26" s="26" t="str">
        <f t="shared" si="32"/>
        <v>N/A</v>
      </c>
      <c r="BC26" s="1">
        <f t="shared" si="13"/>
        <v>2.6831074868284217</v>
      </c>
      <c r="BD26" s="26">
        <v>0</v>
      </c>
      <c r="BE26" s="26">
        <v>0</v>
      </c>
      <c r="BF26" s="26">
        <v>0</v>
      </c>
      <c r="BG26" s="26">
        <v>0</v>
      </c>
      <c r="BH26" s="26">
        <v>0</v>
      </c>
      <c r="BI26" s="46">
        <f t="shared" si="14"/>
        <v>-13.415537434142108</v>
      </c>
      <c r="BJ26" s="46">
        <v>0</v>
      </c>
      <c r="BK26" s="46">
        <f t="shared" si="16"/>
        <v>0</v>
      </c>
      <c r="BL26" s="46"/>
      <c r="BM26" s="46">
        <f>('Historic settlement prices'!F3-'Asian-PosMon-USD-MtM'!AU26)*AQ26*$H$10</f>
        <v>113.11903856850988</v>
      </c>
      <c r="BN26" s="46">
        <f>BI26+BL26+BM26</f>
        <v>99.70350113436777</v>
      </c>
      <c r="BO26" s="46">
        <f t="shared" si="18"/>
        <v>0</v>
      </c>
      <c r="BP26" s="46">
        <f t="shared" si="19"/>
        <v>99.70350113436777</v>
      </c>
      <c r="BQ26" s="46">
        <f>BL26+BI26+BM26</f>
        <v>99.70350113436777</v>
      </c>
      <c r="BR26" s="46">
        <f t="shared" si="21"/>
        <v>0</v>
      </c>
      <c r="BS26" s="46">
        <f t="shared" si="22"/>
        <v>99.70350113436777</v>
      </c>
      <c r="BT26" s="24">
        <v>0</v>
      </c>
      <c r="BU26" s="45">
        <f t="shared" si="24"/>
        <v>0</v>
      </c>
      <c r="BV26" s="45">
        <f t="shared" si="24"/>
        <v>0</v>
      </c>
      <c r="BW26" s="45" t="e">
        <f t="shared" si="24"/>
        <v>#VALUE!</v>
      </c>
      <c r="BX26" s="45">
        <f t="shared" si="25"/>
        <v>0</v>
      </c>
      <c r="BY26" s="41">
        <f t="shared" si="26"/>
        <v>0</v>
      </c>
      <c r="BZ26" s="11">
        <f t="shared" si="27"/>
        <v>0</v>
      </c>
      <c r="CA26" s="3">
        <f t="shared" si="28"/>
        <v>0</v>
      </c>
      <c r="CB26" s="3">
        <f t="shared" si="29"/>
        <v>0</v>
      </c>
      <c r="CC26" s="3">
        <f t="shared" si="29"/>
        <v>0</v>
      </c>
      <c r="CD26" s="3">
        <f t="shared" si="29"/>
        <v>0</v>
      </c>
      <c r="CE26" s="3">
        <f t="shared" si="1"/>
        <v>0</v>
      </c>
      <c r="CF26" s="3">
        <f t="shared" si="1"/>
        <v>0</v>
      </c>
      <c r="CG26" s="3">
        <f t="shared" si="1"/>
        <v>0</v>
      </c>
      <c r="CH26" s="3">
        <f t="shared" si="1"/>
        <v>0</v>
      </c>
      <c r="CI26" s="3">
        <f t="shared" si="1"/>
        <v>0</v>
      </c>
      <c r="CJ26" s="3">
        <f t="shared" si="1"/>
        <v>0</v>
      </c>
      <c r="CK26" s="3">
        <f t="shared" si="2"/>
        <v>0</v>
      </c>
      <c r="CL26" s="3">
        <f t="shared" si="2"/>
        <v>0</v>
      </c>
      <c r="CM26" s="3">
        <f t="shared" si="2"/>
        <v>0</v>
      </c>
      <c r="CN26" s="3">
        <f t="shared" si="30"/>
        <v>0</v>
      </c>
      <c r="CO26" s="3">
        <f t="shared" si="31"/>
        <v>0</v>
      </c>
    </row>
    <row r="27" spans="2:94" x14ac:dyDescent="0.25">
      <c r="B27" s="14" t="s">
        <v>97</v>
      </c>
      <c r="C27" s="14" t="s">
        <v>115</v>
      </c>
      <c r="D27" s="14" t="s">
        <v>119</v>
      </c>
      <c r="E27" s="15">
        <v>40787</v>
      </c>
      <c r="F27" s="15">
        <v>40816</v>
      </c>
      <c r="G27" s="28" t="s">
        <v>100</v>
      </c>
      <c r="H27" s="14">
        <v>80</v>
      </c>
      <c r="I27" s="14" t="s">
        <v>114</v>
      </c>
      <c r="J27" s="14">
        <v>5</v>
      </c>
      <c r="K27" s="14">
        <v>720</v>
      </c>
      <c r="L27" s="14">
        <v>2.6831074868284199</v>
      </c>
      <c r="M27" s="14">
        <v>-13.415537434142101</v>
      </c>
      <c r="N27" s="14">
        <v>0</v>
      </c>
      <c r="O27" s="14">
        <v>0</v>
      </c>
      <c r="P27" s="14">
        <v>0</v>
      </c>
      <c r="Q27" s="14">
        <v>0</v>
      </c>
      <c r="R27" s="16">
        <v>0</v>
      </c>
      <c r="S27" s="14">
        <v>0</v>
      </c>
      <c r="T27" s="31">
        <v>0</v>
      </c>
      <c r="U27" s="14">
        <v>0</v>
      </c>
      <c r="V27" s="14">
        <v>0</v>
      </c>
      <c r="W27" s="14">
        <v>0</v>
      </c>
      <c r="X27" s="14">
        <v>-13.415537434142101</v>
      </c>
      <c r="Y27" s="14">
        <v>0</v>
      </c>
      <c r="Z27" s="14">
        <v>-13.415537434142101</v>
      </c>
      <c r="AA27" s="14">
        <v>-13.415537434142101</v>
      </c>
      <c r="AB27" s="14">
        <v>0</v>
      </c>
      <c r="AC27" s="14">
        <v>-13.415537434142101</v>
      </c>
      <c r="AD27" s="37">
        <v>40182</v>
      </c>
      <c r="AE27" s="37">
        <f t="shared" si="3"/>
        <v>40787</v>
      </c>
      <c r="AF27" s="37">
        <f t="shared" si="3"/>
        <v>40816</v>
      </c>
      <c r="AG27" s="37">
        <f t="shared" si="4"/>
        <v>40816</v>
      </c>
      <c r="AH27" s="43" t="s">
        <v>120</v>
      </c>
      <c r="AI27" s="7" t="s">
        <v>95</v>
      </c>
      <c r="AJ27" s="33">
        <f t="shared" si="5"/>
        <v>80</v>
      </c>
      <c r="AK27" s="7" t="s">
        <v>95</v>
      </c>
      <c r="AL27" s="33">
        <v>3.66</v>
      </c>
      <c r="AM27" s="7" t="s">
        <v>95</v>
      </c>
      <c r="AN27" s="7" t="s">
        <v>95</v>
      </c>
      <c r="AO27" s="7" t="s">
        <v>95</v>
      </c>
      <c r="AP27" s="7"/>
      <c r="AQ27" s="9">
        <f t="shared" si="7"/>
        <v>5</v>
      </c>
      <c r="AR27" s="7" t="s">
        <v>95</v>
      </c>
      <c r="AS27" s="9" t="s">
        <v>128</v>
      </c>
      <c r="AT27" s="40" t="b">
        <f t="shared" si="8"/>
        <v>0</v>
      </c>
      <c r="AU27" s="2">
        <f t="shared" si="9"/>
        <v>80</v>
      </c>
      <c r="AV27" s="2">
        <f t="shared" si="10"/>
        <v>1</v>
      </c>
      <c r="AW27" s="2" t="b">
        <f t="shared" si="11"/>
        <v>0</v>
      </c>
      <c r="AX27" s="26" t="str">
        <f t="shared" si="0"/>
        <v>N/A</v>
      </c>
      <c r="AY27" s="29">
        <f>IF(AW27,"",ImpliedVolatilityB76Future($E$9,AH27,AI27,AU27,AG27,AX27/AV27,AM27))</f>
        <v>0</v>
      </c>
      <c r="AZ27" s="26" t="str">
        <f t="shared" si="32"/>
        <v>N/A</v>
      </c>
      <c r="BA27" s="26" t="str">
        <f t="shared" si="32"/>
        <v>N/A</v>
      </c>
      <c r="BB27" s="26" t="str">
        <f t="shared" si="32"/>
        <v>N/A</v>
      </c>
      <c r="BC27" s="1">
        <f t="shared" si="13"/>
        <v>2.6831074868284217</v>
      </c>
      <c r="BD27" s="26">
        <v>0</v>
      </c>
      <c r="BE27" s="26">
        <v>0</v>
      </c>
      <c r="BF27" s="26">
        <v>0</v>
      </c>
      <c r="BG27" s="26">
        <v>0</v>
      </c>
      <c r="BH27" s="26">
        <v>0</v>
      </c>
      <c r="BI27" s="46">
        <f t="shared" si="14"/>
        <v>-13.415537434142108</v>
      </c>
      <c r="BJ27" s="46">
        <v>0</v>
      </c>
      <c r="BK27" s="46">
        <f t="shared" si="16"/>
        <v>0</v>
      </c>
      <c r="BL27" s="46"/>
      <c r="BM27" s="46">
        <v>0</v>
      </c>
      <c r="BN27" s="46">
        <f>BI27+BL27+BM27</f>
        <v>-13.415537434142108</v>
      </c>
      <c r="BO27" s="46">
        <f t="shared" si="18"/>
        <v>0</v>
      </c>
      <c r="BP27" s="46">
        <f t="shared" si="19"/>
        <v>-13.415537434142108</v>
      </c>
      <c r="BQ27" s="46">
        <f>BL27+BI27+BM27</f>
        <v>-13.415537434142108</v>
      </c>
      <c r="BR27" s="46">
        <f t="shared" si="21"/>
        <v>0</v>
      </c>
      <c r="BS27" s="46">
        <f t="shared" si="22"/>
        <v>-13.415537434142108</v>
      </c>
      <c r="BT27" s="24">
        <v>0</v>
      </c>
      <c r="BU27" s="45">
        <f t="shared" si="24"/>
        <v>0</v>
      </c>
      <c r="BV27" s="45">
        <f t="shared" si="24"/>
        <v>0</v>
      </c>
      <c r="BW27" s="45" t="e">
        <f t="shared" si="24"/>
        <v>#VALUE!</v>
      </c>
      <c r="BX27" s="45">
        <f t="shared" si="25"/>
        <v>0</v>
      </c>
      <c r="BY27" s="41">
        <f t="shared" si="26"/>
        <v>0</v>
      </c>
      <c r="BZ27" s="11">
        <f t="shared" si="27"/>
        <v>0</v>
      </c>
      <c r="CA27" s="3">
        <f t="shared" si="28"/>
        <v>0</v>
      </c>
      <c r="CB27" s="3">
        <f t="shared" si="29"/>
        <v>0</v>
      </c>
      <c r="CC27" s="3">
        <f t="shared" si="29"/>
        <v>0</v>
      </c>
      <c r="CD27" s="3">
        <f t="shared" si="29"/>
        <v>0</v>
      </c>
      <c r="CE27" s="3">
        <f t="shared" si="1"/>
        <v>0</v>
      </c>
      <c r="CF27" s="3">
        <f t="shared" si="1"/>
        <v>0</v>
      </c>
      <c r="CG27" s="3">
        <f t="shared" si="1"/>
        <v>0</v>
      </c>
      <c r="CH27" s="3">
        <f t="shared" si="1"/>
        <v>0</v>
      </c>
      <c r="CI27" s="3">
        <f t="shared" si="1"/>
        <v>0</v>
      </c>
      <c r="CJ27" s="3">
        <f t="shared" si="1"/>
        <v>0</v>
      </c>
      <c r="CK27" s="3">
        <f t="shared" si="2"/>
        <v>0</v>
      </c>
      <c r="CL27" s="3">
        <f t="shared" si="2"/>
        <v>0</v>
      </c>
      <c r="CM27" s="3">
        <f t="shared" si="2"/>
        <v>0</v>
      </c>
      <c r="CN27" s="3">
        <f t="shared" si="30"/>
        <v>0</v>
      </c>
      <c r="CO27" s="3">
        <f t="shared" si="31"/>
        <v>0</v>
      </c>
    </row>
    <row r="28" spans="2:94" x14ac:dyDescent="0.25">
      <c r="BD28" s="23"/>
    </row>
    <row r="29" spans="2:94" ht="15" customHeight="1" x14ac:dyDescent="0.25">
      <c r="BD29" s="23"/>
    </row>
    <row r="30" spans="2:94" x14ac:dyDescent="0.25">
      <c r="AI30" s="22"/>
      <c r="AJ30" s="22"/>
    </row>
  </sheetData>
  <pageMargins left="0.7" right="0.7" top="0.75" bottom="0.75" header="0.3" footer="0.3"/>
  <pageSetup paperSize="9"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CI29"/>
  <sheetViews>
    <sheetView topLeftCell="A3" workbookViewId="0">
      <selection activeCell="I33" sqref="I33"/>
    </sheetView>
  </sheetViews>
  <sheetFormatPr baseColWidth="10" defaultColWidth="11.42578125" defaultRowHeight="15" x14ac:dyDescent="0.25"/>
  <cols>
    <col min="1" max="1" width="11.42578125" style="32"/>
    <col min="2" max="2" width="15.140625" style="32" bestFit="1" customWidth="1"/>
    <col min="3" max="3" width="19" style="32" bestFit="1" customWidth="1"/>
    <col min="4" max="4" width="28.85546875" style="32" bestFit="1" customWidth="1"/>
    <col min="5" max="5" width="11.42578125" style="23"/>
    <col min="6" max="7" width="10.7109375" style="23" bestFit="1" customWidth="1"/>
    <col min="8" max="8" width="8.5703125" style="32" customWidth="1"/>
    <col min="9" max="19" width="11.42578125" style="32"/>
    <col min="20" max="20" width="14" style="32" customWidth="1"/>
    <col min="21" max="28" width="11.42578125" style="32"/>
    <col min="29" max="29" width="12" style="32" bestFit="1" customWidth="1"/>
    <col min="30" max="32" width="12" style="32" customWidth="1"/>
    <col min="33" max="33" width="15.7109375" style="32" customWidth="1"/>
    <col min="34" max="34" width="12" style="32" customWidth="1"/>
    <col min="35" max="35" width="19.42578125" style="32" bestFit="1" customWidth="1"/>
    <col min="36" max="36" width="19.42578125" style="32" customWidth="1"/>
    <col min="37" max="37" width="15.42578125" style="32" bestFit="1" customWidth="1"/>
    <col min="38" max="38" width="15.42578125" style="32" customWidth="1"/>
    <col min="39" max="39" width="25.28515625" style="32" customWidth="1"/>
    <col min="40" max="40" width="15.28515625" style="32" customWidth="1"/>
    <col min="41" max="41" width="11.42578125" style="32"/>
    <col min="42" max="42" width="22" style="32" bestFit="1" customWidth="1"/>
    <col min="43" max="43" width="16.5703125" style="32" bestFit="1" customWidth="1"/>
    <col min="44" max="45" width="16.5703125" style="32" customWidth="1"/>
    <col min="46" max="46" width="11.42578125" style="32"/>
    <col min="47" max="47" width="29.85546875" style="32" customWidth="1"/>
    <col min="48" max="48" width="16.42578125" style="32" bestFit="1" customWidth="1"/>
    <col min="49" max="49" width="13.5703125" style="32" bestFit="1" customWidth="1"/>
    <col min="50" max="50" width="13.28515625" style="32" bestFit="1" customWidth="1"/>
    <col min="51" max="51" width="12.5703125" style="32" bestFit="1" customWidth="1"/>
    <col min="52" max="52" width="13.7109375" style="32" bestFit="1" customWidth="1"/>
    <col min="53" max="53" width="13.42578125" style="32" bestFit="1" customWidth="1"/>
    <col min="54" max="54" width="15.5703125" style="32" customWidth="1"/>
    <col min="55" max="55" width="16.42578125" style="32" bestFit="1" customWidth="1"/>
    <col min="56" max="56" width="17.42578125" style="32" customWidth="1"/>
    <col min="57" max="58" width="11.42578125" style="32"/>
    <col min="59" max="59" width="17" style="32" customWidth="1"/>
    <col min="60" max="64" width="11.42578125" style="32"/>
    <col min="65" max="65" width="13.28515625" style="32" bestFit="1" customWidth="1"/>
    <col min="66" max="68" width="13.28515625" style="32" customWidth="1"/>
    <col min="69" max="69" width="10.42578125" style="32" bestFit="1" customWidth="1"/>
    <col min="70" max="70" width="13.5703125" style="32" bestFit="1" customWidth="1"/>
    <col min="71" max="71" width="14.28515625" style="32" bestFit="1" customWidth="1"/>
    <col min="72" max="72" width="15" style="32" bestFit="1" customWidth="1"/>
    <col min="73" max="73" width="12.7109375" style="32" bestFit="1" customWidth="1"/>
    <col min="74" max="75" width="11.42578125" style="32"/>
    <col min="76" max="77" width="14.85546875" style="32" bestFit="1" customWidth="1"/>
    <col min="78" max="78" width="17.140625" style="32" bestFit="1" customWidth="1"/>
    <col min="79" max="16384" width="11.42578125" style="32"/>
  </cols>
  <sheetData>
    <row r="1" spans="2:87" x14ac:dyDescent="0.25">
      <c r="AP1" s="34"/>
    </row>
    <row r="2" spans="2:87" ht="13.5" customHeight="1" x14ac:dyDescent="0.25">
      <c r="AP2" s="34"/>
    </row>
    <row r="3" spans="2:87" x14ac:dyDescent="0.25">
      <c r="D3" s="5" t="s">
        <v>67</v>
      </c>
      <c r="AI3" s="13"/>
      <c r="AJ3" s="13"/>
      <c r="AP3" s="34"/>
    </row>
    <row r="4" spans="2:87" x14ac:dyDescent="0.25">
      <c r="D4" s="7" t="s">
        <v>63</v>
      </c>
      <c r="AP4" s="21"/>
    </row>
    <row r="5" spans="2:87" x14ac:dyDescent="0.25">
      <c r="D5" s="2" t="s">
        <v>65</v>
      </c>
      <c r="AP5" s="21"/>
    </row>
    <row r="6" spans="2:87" x14ac:dyDescent="0.25">
      <c r="D6" s="4" t="s">
        <v>66</v>
      </c>
    </row>
    <row r="7" spans="2:87" x14ac:dyDescent="0.25">
      <c r="D7" s="21"/>
    </row>
    <row r="8" spans="2:87" ht="93" customHeight="1" x14ac:dyDescent="0.25">
      <c r="D8" s="32" t="s">
        <v>62</v>
      </c>
      <c r="E8" s="50" t="s">
        <v>145</v>
      </c>
      <c r="AI8" s="22"/>
      <c r="AJ8" s="22"/>
    </row>
    <row r="9" spans="2:87" x14ac:dyDescent="0.25">
      <c r="D9" s="32" t="s">
        <v>64</v>
      </c>
      <c r="E9" s="23">
        <v>40862</v>
      </c>
    </row>
    <row r="10" spans="2:87" x14ac:dyDescent="0.25">
      <c r="D10" s="21"/>
    </row>
    <row r="12" spans="2:87" x14ac:dyDescent="0.25">
      <c r="B12" s="14" t="s">
        <v>8</v>
      </c>
      <c r="C12" s="14" t="s">
        <v>17</v>
      </c>
      <c r="D12" s="14" t="s">
        <v>9</v>
      </c>
      <c r="E12" s="28" t="s">
        <v>10</v>
      </c>
      <c r="F12" s="28" t="s">
        <v>11</v>
      </c>
      <c r="G12" s="28" t="s">
        <v>1</v>
      </c>
      <c r="H12" s="14" t="s">
        <v>2</v>
      </c>
      <c r="I12" s="14" t="s">
        <v>12</v>
      </c>
      <c r="J12" s="14" t="s">
        <v>13</v>
      </c>
      <c r="K12" s="14" t="s">
        <v>0</v>
      </c>
      <c r="L12" s="14" t="s">
        <v>14</v>
      </c>
      <c r="M12" s="14" t="s">
        <v>15</v>
      </c>
      <c r="N12" s="14" t="s">
        <v>16</v>
      </c>
      <c r="O12" s="14" t="s">
        <v>18</v>
      </c>
      <c r="P12" s="14" t="s">
        <v>19</v>
      </c>
      <c r="Q12" s="14" t="s">
        <v>20</v>
      </c>
      <c r="R12" s="14" t="s">
        <v>6</v>
      </c>
      <c r="S12" s="14" t="s">
        <v>7</v>
      </c>
      <c r="T12" s="14" t="s">
        <v>4</v>
      </c>
      <c r="U12" s="14" t="s">
        <v>21</v>
      </c>
      <c r="V12" s="14" t="s">
        <v>22</v>
      </c>
      <c r="W12" s="14" t="s">
        <v>23</v>
      </c>
      <c r="X12" s="14" t="s">
        <v>24</v>
      </c>
      <c r="Y12" s="14" t="s">
        <v>25</v>
      </c>
      <c r="Z12" s="14" t="s">
        <v>26</v>
      </c>
      <c r="AA12" s="14" t="s">
        <v>27</v>
      </c>
      <c r="AB12" s="14" t="s">
        <v>28</v>
      </c>
      <c r="AC12" s="14" t="s">
        <v>29</v>
      </c>
      <c r="AD12" s="36" t="s">
        <v>88</v>
      </c>
      <c r="AE12" s="36" t="s">
        <v>10</v>
      </c>
      <c r="AF12" s="36" t="s">
        <v>11</v>
      </c>
      <c r="AG12" s="36" t="s">
        <v>84</v>
      </c>
      <c r="AH12" s="36" t="s">
        <v>31</v>
      </c>
      <c r="AI12" s="36" t="s">
        <v>32</v>
      </c>
      <c r="AJ12" s="36" t="s">
        <v>2</v>
      </c>
      <c r="AK12" s="36" t="s">
        <v>182</v>
      </c>
      <c r="AL12" s="36" t="s">
        <v>87</v>
      </c>
      <c r="AM12" s="6" t="s">
        <v>5</v>
      </c>
      <c r="AN12" s="36" t="s">
        <v>86</v>
      </c>
      <c r="AO12" s="36" t="s">
        <v>78</v>
      </c>
      <c r="AP12" s="36" t="s">
        <v>89</v>
      </c>
      <c r="AQ12" s="39" t="s">
        <v>83</v>
      </c>
      <c r="AR12" s="39" t="s">
        <v>193</v>
      </c>
      <c r="AS12" s="8" t="s">
        <v>94</v>
      </c>
      <c r="AT12" s="1" t="s">
        <v>30</v>
      </c>
      <c r="AU12" s="1" t="s">
        <v>74</v>
      </c>
      <c r="AV12" s="1" t="s">
        <v>85</v>
      </c>
      <c r="AW12" s="1" t="s">
        <v>71</v>
      </c>
      <c r="AX12" s="30" t="s">
        <v>33</v>
      </c>
      <c r="AY12" s="30" t="s">
        <v>34</v>
      </c>
      <c r="AZ12" s="30" t="s">
        <v>35</v>
      </c>
      <c r="BA12" s="30" t="s">
        <v>36</v>
      </c>
      <c r="BB12" s="30" t="s">
        <v>37</v>
      </c>
      <c r="BC12" s="10" t="s">
        <v>38</v>
      </c>
      <c r="BD12" s="10" t="s">
        <v>39</v>
      </c>
      <c r="BE12" s="10" t="s">
        <v>40</v>
      </c>
      <c r="BF12" s="10" t="s">
        <v>41</v>
      </c>
      <c r="BG12" s="10" t="s">
        <v>42</v>
      </c>
      <c r="BH12" s="10" t="s">
        <v>43</v>
      </c>
      <c r="BI12" s="10" t="s">
        <v>44</v>
      </c>
      <c r="BJ12" s="10" t="s">
        <v>45</v>
      </c>
      <c r="BK12" s="10" t="s">
        <v>46</v>
      </c>
      <c r="BL12" s="10" t="s">
        <v>47</v>
      </c>
      <c r="BM12" s="10" t="s">
        <v>72</v>
      </c>
      <c r="BN12" s="44" t="s">
        <v>90</v>
      </c>
      <c r="BO12" s="44" t="s">
        <v>91</v>
      </c>
      <c r="BP12" s="44" t="s">
        <v>92</v>
      </c>
      <c r="BQ12" s="44" t="s">
        <v>93</v>
      </c>
      <c r="BR12" s="11" t="s">
        <v>73</v>
      </c>
      <c r="BS12" s="11" t="s">
        <v>57</v>
      </c>
      <c r="BT12" s="11" t="s">
        <v>48</v>
      </c>
      <c r="BU12" s="11" t="s">
        <v>49</v>
      </c>
      <c r="BV12" s="11" t="s">
        <v>50</v>
      </c>
      <c r="BW12" s="11" t="s">
        <v>58</v>
      </c>
      <c r="BX12" s="11" t="s">
        <v>51</v>
      </c>
      <c r="BY12" s="11" t="s">
        <v>52</v>
      </c>
      <c r="BZ12" s="11" t="s">
        <v>53</v>
      </c>
      <c r="CA12" s="11" t="s">
        <v>54</v>
      </c>
      <c r="CB12" s="11" t="s">
        <v>55</v>
      </c>
      <c r="CC12" s="11" t="s">
        <v>56</v>
      </c>
      <c r="CD12" s="11" t="s">
        <v>69</v>
      </c>
      <c r="CE12" s="11" t="s">
        <v>59</v>
      </c>
      <c r="CF12" s="11" t="s">
        <v>70</v>
      </c>
      <c r="CG12" s="11" t="s">
        <v>60</v>
      </c>
      <c r="CH12" s="11" t="s">
        <v>61</v>
      </c>
    </row>
    <row r="13" spans="2:87" x14ac:dyDescent="0.25">
      <c r="B13" s="14" t="s">
        <v>97</v>
      </c>
      <c r="C13" s="14" t="s">
        <v>105</v>
      </c>
      <c r="D13" s="14" t="s">
        <v>148</v>
      </c>
      <c r="E13" s="15">
        <v>40969</v>
      </c>
      <c r="F13" s="15">
        <v>40999</v>
      </c>
      <c r="G13" s="15">
        <v>40939</v>
      </c>
      <c r="H13" s="14">
        <v>130</v>
      </c>
      <c r="I13" s="14" t="s">
        <v>3</v>
      </c>
      <c r="J13" s="14">
        <v>5</v>
      </c>
      <c r="K13" s="14">
        <v>743</v>
      </c>
      <c r="L13" s="14">
        <v>3.66</v>
      </c>
      <c r="M13" s="14">
        <v>-18.3</v>
      </c>
      <c r="N13" s="14">
        <v>25</v>
      </c>
      <c r="O13" s="14">
        <v>0.55394471893633901</v>
      </c>
      <c r="P13" s="14">
        <v>4.9305363650158102E-3</v>
      </c>
      <c r="Q13" s="14">
        <v>20.137978200836301</v>
      </c>
      <c r="R13" s="14">
        <v>-0.20244102419947699</v>
      </c>
      <c r="S13" s="14">
        <v>-5.3458838815506304</v>
      </c>
      <c r="T13" s="14">
        <v>1.57040422719391</v>
      </c>
      <c r="U13" s="14">
        <v>125</v>
      </c>
      <c r="V13" s="14">
        <v>0</v>
      </c>
      <c r="W13" s="14">
        <v>0</v>
      </c>
      <c r="X13" s="14">
        <v>106.7</v>
      </c>
      <c r="Y13" s="14">
        <v>0</v>
      </c>
      <c r="Z13" s="14">
        <v>106.7</v>
      </c>
      <c r="AA13" s="14">
        <v>106.7</v>
      </c>
      <c r="AB13" s="14">
        <v>0</v>
      </c>
      <c r="AC13" s="14">
        <v>106.7</v>
      </c>
      <c r="AD13" s="37">
        <v>40856</v>
      </c>
      <c r="AE13" s="37">
        <v>40969</v>
      </c>
      <c r="AF13" s="37">
        <v>40999</v>
      </c>
      <c r="AG13" s="37">
        <v>40939</v>
      </c>
      <c r="AH13" s="33" t="s">
        <v>68</v>
      </c>
      <c r="AI13" s="9">
        <v>110.32</v>
      </c>
      <c r="AJ13" s="9">
        <v>130</v>
      </c>
      <c r="AK13" s="9">
        <v>25</v>
      </c>
      <c r="AL13" s="9">
        <v>3.66</v>
      </c>
      <c r="AM13" s="35">
        <v>4.1121659461830096E-3</v>
      </c>
      <c r="AN13" s="7">
        <v>5</v>
      </c>
      <c r="AO13" s="7"/>
      <c r="AP13" s="9" t="s">
        <v>172</v>
      </c>
      <c r="AQ13" s="26">
        <f>AK13</f>
        <v>25</v>
      </c>
      <c r="AR13" s="26">
        <v>1.57040422719391</v>
      </c>
      <c r="AS13" s="29">
        <f>ImpliedVolatilityB76Future($E$9,AH13,AI13,AJ13,AG13,AQ13,AM13)</f>
        <v>1.5696099683633082</v>
      </c>
      <c r="AT13" s="26">
        <f>AQ13</f>
        <v>25</v>
      </c>
      <c r="AU13" s="27">
        <f>B76Future($E$9,AH13,AI13,AJ13,AG13,AS13,AM13)</f>
        <v>25.000000000000014</v>
      </c>
      <c r="AV13" s="27">
        <f>1.52</f>
        <v>1.52</v>
      </c>
      <c r="AW13" s="1">
        <f>AL13</f>
        <v>3.66</v>
      </c>
      <c r="AX13" s="30">
        <f>B76Delta($E$9,AH13,AI13,AJ13,AG13,AR13,AM13)</f>
        <v>0.55394471895345387</v>
      </c>
      <c r="AY13" s="30">
        <f>B76Gamma($E$9,AH13,AI13,AJ13,AG13,AR13,AM13)</f>
        <v>4.9305363646207322E-3</v>
      </c>
      <c r="AZ13" s="30">
        <f>B76Vega($E$9,AH13,AI13,AJ13,AG13,AR13,AM13)</f>
        <v>20.137978202204888</v>
      </c>
      <c r="BA13" s="30">
        <f>B76Theta($E$9,AH13,AI13,AJ13,AG13,AR13,AM13)</f>
        <v>-0.2024410241831445</v>
      </c>
      <c r="BB13" s="30">
        <f>B76Rho($E$9,AH13,AI13,AJ13,AG13,AR13,AM13)</f>
        <v>-5.3458838828766613</v>
      </c>
      <c r="BC13" s="46">
        <f>-AL13*AN13</f>
        <v>-18.3</v>
      </c>
      <c r="BD13" s="46">
        <f>AQ13*AN13</f>
        <v>125</v>
      </c>
      <c r="BE13" s="46">
        <v>0</v>
      </c>
      <c r="BF13" s="1"/>
      <c r="BG13" s="46">
        <f>(AK13-AL13)*AN13</f>
        <v>106.7</v>
      </c>
      <c r="BH13" s="46">
        <f>BE13</f>
        <v>0</v>
      </c>
      <c r="BI13" s="46">
        <f>BG13+BH13</f>
        <v>106.7</v>
      </c>
      <c r="BJ13" s="46">
        <f>(AK13-AL13)*AN13</f>
        <v>106.7</v>
      </c>
      <c r="BK13" s="46">
        <f>BE13</f>
        <v>0</v>
      </c>
      <c r="BL13" s="46">
        <f>BJ13+BK13</f>
        <v>106.7</v>
      </c>
      <c r="BM13" s="24">
        <f>AX13*AN13</f>
        <v>2.7697235947672691</v>
      </c>
      <c r="BN13" s="45">
        <f t="shared" ref="BN13:BP15" si="0">QaAssert(E13,AE13)</f>
        <v>0</v>
      </c>
      <c r="BO13" s="45">
        <f t="shared" si="0"/>
        <v>0</v>
      </c>
      <c r="BP13" s="45">
        <f t="shared" si="0"/>
        <v>0</v>
      </c>
      <c r="BQ13" s="45">
        <f>QaAssert(H13,AJ13)</f>
        <v>0</v>
      </c>
      <c r="BR13" s="41">
        <f>QaAssert(T13,AS13)</f>
        <v>5.0602305452351892E-4</v>
      </c>
      <c r="BS13" s="11">
        <f>QaAssert(L13,AW13)</f>
        <v>0</v>
      </c>
      <c r="BT13" s="3">
        <f>QaAssert(M13,BC13)</f>
        <v>0</v>
      </c>
      <c r="BU13" s="3">
        <f t="shared" ref="BU13:CC15" si="1">QaAssert(U13,BD13)</f>
        <v>0</v>
      </c>
      <c r="BV13" s="3">
        <f t="shared" si="1"/>
        <v>0</v>
      </c>
      <c r="BW13" s="3">
        <f t="shared" si="1"/>
        <v>0</v>
      </c>
      <c r="BX13" s="3">
        <f t="shared" si="1"/>
        <v>0</v>
      </c>
      <c r="BY13" s="3">
        <f t="shared" si="1"/>
        <v>0</v>
      </c>
      <c r="BZ13" s="3">
        <f t="shared" si="1"/>
        <v>0</v>
      </c>
      <c r="CA13" s="3">
        <f t="shared" si="1"/>
        <v>0</v>
      </c>
      <c r="CB13" s="3">
        <f t="shared" si="1"/>
        <v>0</v>
      </c>
      <c r="CC13" s="3">
        <f t="shared" si="1"/>
        <v>0</v>
      </c>
      <c r="CD13" s="3">
        <f t="shared" ref="CD13:CF15" si="2">QaAssert(O13,AX13)</f>
        <v>0</v>
      </c>
      <c r="CE13" s="3">
        <f t="shared" si="2"/>
        <v>0</v>
      </c>
      <c r="CF13" s="3">
        <f t="shared" si="2"/>
        <v>0</v>
      </c>
      <c r="CG13" s="3">
        <f>QaAssert(S13,BB13)</f>
        <v>0</v>
      </c>
      <c r="CH13" s="3">
        <f>QaAssert(R13,BA13)</f>
        <v>0</v>
      </c>
      <c r="CI13" s="22"/>
    </row>
    <row r="14" spans="2:87" x14ac:dyDescent="0.25">
      <c r="B14" s="14" t="s">
        <v>97</v>
      </c>
      <c r="C14" s="14" t="s">
        <v>105</v>
      </c>
      <c r="D14" s="14" t="s">
        <v>149</v>
      </c>
      <c r="E14" s="15">
        <v>40969</v>
      </c>
      <c r="F14" s="15">
        <v>40999</v>
      </c>
      <c r="G14" s="15">
        <v>40939</v>
      </c>
      <c r="H14" s="14">
        <v>130</v>
      </c>
      <c r="I14" s="14" t="s">
        <v>3</v>
      </c>
      <c r="J14" s="14">
        <v>5</v>
      </c>
      <c r="K14" s="14">
        <v>743</v>
      </c>
      <c r="L14" s="14">
        <v>3.66</v>
      </c>
      <c r="M14" s="14">
        <v>-18.3</v>
      </c>
      <c r="N14" s="14">
        <v>45</v>
      </c>
      <c r="O14" s="14">
        <v>-0.44261266443689101</v>
      </c>
      <c r="P14" s="14">
        <v>4.8720923153573303E-3</v>
      </c>
      <c r="Q14" s="14">
        <v>20.1196552576966</v>
      </c>
      <c r="R14" s="14">
        <v>-0.20427419566726401</v>
      </c>
      <c r="S14" s="14">
        <v>-9.6225909867911401</v>
      </c>
      <c r="T14" s="14">
        <v>1.5877962863744299</v>
      </c>
      <c r="U14" s="14">
        <v>225</v>
      </c>
      <c r="V14" s="14">
        <v>0</v>
      </c>
      <c r="W14" s="14">
        <v>0</v>
      </c>
      <c r="X14" s="14">
        <v>206.7</v>
      </c>
      <c r="Y14" s="14">
        <v>0</v>
      </c>
      <c r="Z14" s="14">
        <v>206.7</v>
      </c>
      <c r="AA14" s="14">
        <v>206.7</v>
      </c>
      <c r="AB14" s="14">
        <v>0</v>
      </c>
      <c r="AC14" s="17">
        <v>206.7</v>
      </c>
      <c r="AD14" s="37">
        <v>40856</v>
      </c>
      <c r="AE14" s="37">
        <v>40969</v>
      </c>
      <c r="AF14" s="37">
        <v>40999</v>
      </c>
      <c r="AG14" s="37">
        <v>40939</v>
      </c>
      <c r="AH14" s="33" t="s">
        <v>120</v>
      </c>
      <c r="AI14" s="9">
        <v>110.32</v>
      </c>
      <c r="AJ14" s="9">
        <v>130</v>
      </c>
      <c r="AK14" s="9">
        <v>45</v>
      </c>
      <c r="AL14" s="9">
        <v>3.66</v>
      </c>
      <c r="AM14" s="35">
        <v>4.1121659461830096E-3</v>
      </c>
      <c r="AN14" s="7">
        <v>5</v>
      </c>
      <c r="AO14" s="7"/>
      <c r="AP14" s="9" t="s">
        <v>173</v>
      </c>
      <c r="AQ14" s="26">
        <f t="shared" ref="AQ14:AQ16" si="3">AK14</f>
        <v>45</v>
      </c>
      <c r="AR14" s="26">
        <v>1.5877962863744299</v>
      </c>
      <c r="AS14" s="29">
        <f>ImpliedVolatilityB76Future($E$9,AH14,AI14,AJ14,AG14,AQ14,AM14)</f>
        <v>1.5863653439662564</v>
      </c>
      <c r="AT14" s="26">
        <f t="shared" ref="AT14:AT16" si="4">AQ14</f>
        <v>45</v>
      </c>
      <c r="AU14" s="27">
        <f>B76Future($E$9,AH14,AI14,AJ14,AG14,AS14,AM14)</f>
        <v>44.999999999999986</v>
      </c>
      <c r="AV14" s="27">
        <f t="shared" ref="AV14:AV19" si="5">1.52</f>
        <v>1.52</v>
      </c>
      <c r="AW14" s="1">
        <f t="shared" ref="AW14:AW16" si="6">AL14</f>
        <v>3.66</v>
      </c>
      <c r="AX14" s="30">
        <f>B76Delta($E$9,AH14,AI14,AJ14,AG14,AR14,AM14)</f>
        <v>-0.44261266441960728</v>
      </c>
      <c r="AY14" s="30">
        <f>B76Gamma($E$9,AH14,AI14,AJ14,AG14,AR14,AM14)</f>
        <v>4.8720923149654753E-3</v>
      </c>
      <c r="AZ14" s="30">
        <f>B76Vega($E$9,AH14,AI14,AJ14,AG14,AR14,AM14)</f>
        <v>20.119655259057911</v>
      </c>
      <c r="BA14" s="30">
        <f>B76Theta($E$9,AH14,AI14,AJ14,AG14,AR14,AM14)</f>
        <v>-0.20427419565070415</v>
      </c>
      <c r="BB14" s="30">
        <f>B76Rho($E$9,AH14,AI14,AJ14,AG14,AR14,AM14)</f>
        <v>-9.6225909887614787</v>
      </c>
      <c r="BC14" s="46">
        <f t="shared" ref="BC14:BC16" si="7">-AL14*AN14</f>
        <v>-18.3</v>
      </c>
      <c r="BD14" s="46">
        <f t="shared" ref="BD14:BD16" si="8">AQ14*AN14</f>
        <v>225</v>
      </c>
      <c r="BE14" s="46">
        <v>0</v>
      </c>
      <c r="BF14" s="1"/>
      <c r="BG14" s="46">
        <f t="shared" ref="BG14:BG16" si="9">(AK14-AL14)*AN14</f>
        <v>206.70000000000002</v>
      </c>
      <c r="BH14" s="46">
        <f t="shared" ref="BH14:BH16" si="10">BE14</f>
        <v>0</v>
      </c>
      <c r="BI14" s="46">
        <f t="shared" ref="BI14:BI16" si="11">BG14+BH14</f>
        <v>206.70000000000002</v>
      </c>
      <c r="BJ14" s="46">
        <f t="shared" ref="BJ14:BJ16" si="12">(AK14-AL14)*AN14</f>
        <v>206.70000000000002</v>
      </c>
      <c r="BK14" s="46">
        <f t="shared" ref="BK14:BK16" si="13">BE14</f>
        <v>0</v>
      </c>
      <c r="BL14" s="46">
        <f t="shared" ref="BL14:BL16" si="14">BJ14+BK14</f>
        <v>206.70000000000002</v>
      </c>
      <c r="BM14" s="24">
        <f t="shared" ref="BM14:BM16" si="15">AX14*AN14</f>
        <v>-2.2130633220980362</v>
      </c>
      <c r="BN14" s="45">
        <f t="shared" si="0"/>
        <v>0</v>
      </c>
      <c r="BO14" s="45">
        <f t="shared" si="0"/>
        <v>0</v>
      </c>
      <c r="BP14" s="45">
        <f t="shared" si="0"/>
        <v>0</v>
      </c>
      <c r="BQ14" s="45">
        <f>QaAssert(H14,AJ14)</f>
        <v>0</v>
      </c>
      <c r="BR14" s="41">
        <f>QaAssert(T14,AS14)</f>
        <v>9.0202576198228357E-4</v>
      </c>
      <c r="BS14" s="11">
        <f>QaAssert(L14,AW14)</f>
        <v>0</v>
      </c>
      <c r="BT14" s="3">
        <f>QaAssert(M14,BC14)</f>
        <v>0</v>
      </c>
      <c r="BU14" s="3">
        <f t="shared" si="1"/>
        <v>0</v>
      </c>
      <c r="BV14" s="3">
        <f t="shared" si="1"/>
        <v>0</v>
      </c>
      <c r="BW14" s="3">
        <f t="shared" si="1"/>
        <v>0</v>
      </c>
      <c r="BX14" s="3">
        <f t="shared" si="1"/>
        <v>0</v>
      </c>
      <c r="BY14" s="3">
        <f t="shared" si="1"/>
        <v>0</v>
      </c>
      <c r="BZ14" s="3">
        <f t="shared" si="1"/>
        <v>0</v>
      </c>
      <c r="CA14" s="3">
        <f t="shared" si="1"/>
        <v>0</v>
      </c>
      <c r="CB14" s="3">
        <f t="shared" si="1"/>
        <v>0</v>
      </c>
      <c r="CC14" s="3">
        <f t="shared" si="1"/>
        <v>0</v>
      </c>
      <c r="CD14" s="3">
        <f t="shared" si="2"/>
        <v>0</v>
      </c>
      <c r="CE14" s="3">
        <f t="shared" si="2"/>
        <v>0</v>
      </c>
      <c r="CF14" s="3">
        <f t="shared" si="2"/>
        <v>0</v>
      </c>
      <c r="CG14" s="3">
        <f>QaAssert(S14,BB14)</f>
        <v>0</v>
      </c>
      <c r="CH14" s="3">
        <f>QaAssert(R14,BA14)</f>
        <v>0</v>
      </c>
      <c r="CI14" s="22"/>
    </row>
    <row r="15" spans="2:87" x14ac:dyDescent="0.25">
      <c r="B15" s="17" t="s">
        <v>97</v>
      </c>
      <c r="C15" s="17" t="s">
        <v>105</v>
      </c>
      <c r="D15" s="17" t="s">
        <v>150</v>
      </c>
      <c r="E15" s="15">
        <v>40969</v>
      </c>
      <c r="F15" s="15">
        <v>40999</v>
      </c>
      <c r="G15" s="15">
        <v>40939</v>
      </c>
      <c r="H15" s="14">
        <v>80</v>
      </c>
      <c r="I15" s="18" t="s">
        <v>3</v>
      </c>
      <c r="J15" s="14">
        <v>5</v>
      </c>
      <c r="K15" s="14">
        <v>743</v>
      </c>
      <c r="L15" s="14">
        <v>3.66</v>
      </c>
      <c r="M15" s="14">
        <v>-18.3</v>
      </c>
      <c r="N15" s="14">
        <v>85</v>
      </c>
      <c r="O15" s="14">
        <v>0.89342988814407598</v>
      </c>
      <c r="P15" s="14">
        <v>7.5008495199453196E-4</v>
      </c>
      <c r="Q15" s="14">
        <v>9.3151867085986009</v>
      </c>
      <c r="R15" s="14">
        <v>-0.28416842341621201</v>
      </c>
      <c r="S15" s="14">
        <v>-18.176005197272101</v>
      </c>
      <c r="T15" s="14">
        <v>4.7749724119338204</v>
      </c>
      <c r="U15" s="14">
        <v>425</v>
      </c>
      <c r="V15" s="14">
        <v>0</v>
      </c>
      <c r="W15" s="14">
        <v>0</v>
      </c>
      <c r="X15" s="14">
        <v>406.7</v>
      </c>
      <c r="Y15" s="14">
        <v>0</v>
      </c>
      <c r="Z15" s="14">
        <v>406.7</v>
      </c>
      <c r="AA15" s="14">
        <v>406.7</v>
      </c>
      <c r="AB15" s="14">
        <v>0</v>
      </c>
      <c r="AC15" s="14">
        <v>406.7</v>
      </c>
      <c r="AD15" s="37">
        <v>40856</v>
      </c>
      <c r="AE15" s="37">
        <v>40969</v>
      </c>
      <c r="AF15" s="37">
        <v>40999</v>
      </c>
      <c r="AG15" s="37">
        <v>40939</v>
      </c>
      <c r="AH15" s="33" t="s">
        <v>68</v>
      </c>
      <c r="AI15" s="7">
        <v>110.32</v>
      </c>
      <c r="AJ15" s="9">
        <v>80</v>
      </c>
      <c r="AK15" s="7">
        <v>85</v>
      </c>
      <c r="AL15" s="9">
        <v>3.66</v>
      </c>
      <c r="AM15" s="35">
        <v>4.1121659461830096E-3</v>
      </c>
      <c r="AN15" s="7">
        <v>5</v>
      </c>
      <c r="AO15" s="7"/>
      <c r="AP15" s="9" t="s">
        <v>174</v>
      </c>
      <c r="AQ15" s="26">
        <f t="shared" si="3"/>
        <v>85</v>
      </c>
      <c r="AR15" s="26">
        <v>4.7749724119338097</v>
      </c>
      <c r="AS15" s="29">
        <f>ImpliedVolatilityB76Future($E$9,AH15,AI15,AJ15,AG15,AQ15,AM15)</f>
        <v>4.7691385421166901</v>
      </c>
      <c r="AT15" s="26">
        <f t="shared" si="4"/>
        <v>85</v>
      </c>
      <c r="AU15" s="27">
        <f>B76Future($E$9,AH15,AI15,AJ15,AG15,AS15,AM15)</f>
        <v>85.000000000000028</v>
      </c>
      <c r="AV15" s="27">
        <f t="shared" si="5"/>
        <v>1.52</v>
      </c>
      <c r="AW15" s="1">
        <f t="shared" si="6"/>
        <v>3.66</v>
      </c>
      <c r="AX15" s="30">
        <f>B76Delta($E$9,AH15,AI15,AJ15,AG15,AR15,AM15)</f>
        <v>0.89342988825983438</v>
      </c>
      <c r="AY15" s="30">
        <f>B76Gamma($E$9,AH15,AI15,AJ15,AG15,AR15,AM15)</f>
        <v>7.5008495187234943E-4</v>
      </c>
      <c r="AZ15" s="30">
        <f>B76Vega($E$9,AH15,AI15,AJ15,AG15,AR15,AM15)</f>
        <v>9.3151867084607183</v>
      </c>
      <c r="BA15" s="30">
        <f>B76Theta($E$9,AH15,AI15,AJ15,AG15,AR15,AM15)</f>
        <v>-0.28416842336951109</v>
      </c>
      <c r="BB15" s="30">
        <f>B76Rho($E$9,AH15,AI15,AJ15,AG15,AR15,AM15)</f>
        <v>-18.176005203227351</v>
      </c>
      <c r="BC15" s="46">
        <f t="shared" si="7"/>
        <v>-18.3</v>
      </c>
      <c r="BD15" s="46">
        <f t="shared" si="8"/>
        <v>425</v>
      </c>
      <c r="BE15" s="46">
        <v>0</v>
      </c>
      <c r="BF15" s="1"/>
      <c r="BG15" s="46">
        <f t="shared" si="9"/>
        <v>406.70000000000005</v>
      </c>
      <c r="BH15" s="46">
        <f t="shared" si="10"/>
        <v>0</v>
      </c>
      <c r="BI15" s="46">
        <f t="shared" si="11"/>
        <v>406.70000000000005</v>
      </c>
      <c r="BJ15" s="46">
        <f t="shared" si="12"/>
        <v>406.70000000000005</v>
      </c>
      <c r="BK15" s="46">
        <f t="shared" si="13"/>
        <v>0</v>
      </c>
      <c r="BL15" s="46">
        <f t="shared" si="14"/>
        <v>406.70000000000005</v>
      </c>
      <c r="BM15" s="24">
        <f t="shared" si="15"/>
        <v>4.4671494412991724</v>
      </c>
      <c r="BN15" s="45">
        <f t="shared" si="0"/>
        <v>0</v>
      </c>
      <c r="BO15" s="45">
        <f t="shared" si="0"/>
        <v>0</v>
      </c>
      <c r="BP15" s="45">
        <f t="shared" si="0"/>
        <v>0</v>
      </c>
      <c r="BQ15" s="45">
        <f>QaAssert(H15,AJ15)</f>
        <v>0</v>
      </c>
      <c r="BR15" s="41">
        <f>QaAssert(T15,AS15)</f>
        <v>1.2232544233325982E-3</v>
      </c>
      <c r="BS15" s="11">
        <f>QaAssert(L15,AW15)</f>
        <v>0</v>
      </c>
      <c r="BT15" s="3">
        <f>QaAssert(M15,BC15)</f>
        <v>0</v>
      </c>
      <c r="BU15" s="3">
        <f t="shared" si="1"/>
        <v>0</v>
      </c>
      <c r="BV15" s="3">
        <f t="shared" si="1"/>
        <v>0</v>
      </c>
      <c r="BW15" s="3">
        <f t="shared" si="1"/>
        <v>0</v>
      </c>
      <c r="BX15" s="3">
        <f t="shared" si="1"/>
        <v>0</v>
      </c>
      <c r="BY15" s="3">
        <f t="shared" si="1"/>
        <v>0</v>
      </c>
      <c r="BZ15" s="3">
        <f t="shared" si="1"/>
        <v>0</v>
      </c>
      <c r="CA15" s="3">
        <f t="shared" si="1"/>
        <v>0</v>
      </c>
      <c r="CB15" s="3">
        <f t="shared" si="1"/>
        <v>0</v>
      </c>
      <c r="CC15" s="3">
        <f t="shared" si="1"/>
        <v>0</v>
      </c>
      <c r="CD15" s="3">
        <f t="shared" si="2"/>
        <v>0</v>
      </c>
      <c r="CE15" s="3">
        <f t="shared" si="2"/>
        <v>0</v>
      </c>
      <c r="CF15" s="3">
        <f t="shared" si="2"/>
        <v>0</v>
      </c>
      <c r="CG15" s="3">
        <f>QaAssert(S15,BB15)</f>
        <v>0</v>
      </c>
      <c r="CH15" s="3">
        <f>QaAssert(R15,BA15)</f>
        <v>0</v>
      </c>
      <c r="CI15" s="22"/>
    </row>
    <row r="16" spans="2:87" x14ac:dyDescent="0.25">
      <c r="B16" s="19" t="s">
        <v>97</v>
      </c>
      <c r="C16" s="19" t="s">
        <v>105</v>
      </c>
      <c r="D16" s="19" t="s">
        <v>151</v>
      </c>
      <c r="E16" s="20">
        <v>40969</v>
      </c>
      <c r="F16" s="20">
        <v>40999</v>
      </c>
      <c r="G16" s="20">
        <v>40939</v>
      </c>
      <c r="H16" s="19">
        <v>80</v>
      </c>
      <c r="I16" s="19" t="s">
        <v>3</v>
      </c>
      <c r="J16" s="19">
        <v>5</v>
      </c>
      <c r="K16" s="19">
        <v>743</v>
      </c>
      <c r="L16" s="19">
        <v>3.66</v>
      </c>
      <c r="M16" s="19">
        <v>-18.3</v>
      </c>
      <c r="N16" s="19">
        <v>35</v>
      </c>
      <c r="O16" s="19">
        <v>-0.176075734190795</v>
      </c>
      <c r="P16" s="19">
        <v>1.6739531723896201E-3</v>
      </c>
      <c r="Q16" s="19">
        <v>13.1929851781757</v>
      </c>
      <c r="R16" s="19">
        <v>-0.25588146859142302</v>
      </c>
      <c r="S16" s="19">
        <v>-7.4842374341708799</v>
      </c>
      <c r="T16" s="19">
        <v>3.0303272085148301</v>
      </c>
      <c r="U16" s="19">
        <v>175</v>
      </c>
      <c r="V16" s="19">
        <v>0</v>
      </c>
      <c r="W16" s="19">
        <v>0</v>
      </c>
      <c r="X16" s="19">
        <v>156.69999999999999</v>
      </c>
      <c r="Y16" s="19">
        <v>0</v>
      </c>
      <c r="Z16" s="19">
        <v>156.69999999999999</v>
      </c>
      <c r="AA16" s="19">
        <v>156.69999999999999</v>
      </c>
      <c r="AB16" s="19">
        <v>0</v>
      </c>
      <c r="AC16" s="19">
        <v>156.69999999999999</v>
      </c>
      <c r="AD16" s="37">
        <v>40856</v>
      </c>
      <c r="AE16" s="37">
        <v>40969</v>
      </c>
      <c r="AF16" s="37">
        <v>40999</v>
      </c>
      <c r="AG16" s="37">
        <v>40939</v>
      </c>
      <c r="AH16" s="33" t="s">
        <v>120</v>
      </c>
      <c r="AI16" s="7">
        <v>110.32</v>
      </c>
      <c r="AJ16" s="9">
        <v>80</v>
      </c>
      <c r="AK16" s="7">
        <v>35</v>
      </c>
      <c r="AL16" s="9">
        <v>3.66</v>
      </c>
      <c r="AM16" s="35">
        <v>4.1121659461830096E-3</v>
      </c>
      <c r="AN16" s="7">
        <v>5</v>
      </c>
      <c r="AO16" s="7"/>
      <c r="AP16" s="9" t="s">
        <v>175</v>
      </c>
      <c r="AQ16" s="26">
        <f t="shared" si="3"/>
        <v>35</v>
      </c>
      <c r="AR16" s="26">
        <v>3.0303272085148301</v>
      </c>
      <c r="AS16" s="29">
        <f>ImpliedVolatilityB76Future($E$9,AH16,AI16,AJ16,AG16,AQ16,AM16)</f>
        <v>3.0286300653383083</v>
      </c>
      <c r="AT16" s="26">
        <f t="shared" si="4"/>
        <v>35</v>
      </c>
      <c r="AU16" s="27">
        <f>B76Future($E$9,AH16,AI16,AJ16,AG16,AS16,AM16)</f>
        <v>35</v>
      </c>
      <c r="AV16" s="27">
        <f t="shared" si="5"/>
        <v>1.52</v>
      </c>
      <c r="AW16" s="1">
        <f t="shared" si="6"/>
        <v>3.66</v>
      </c>
      <c r="AX16" s="30">
        <f>B76Delta($E$9,AH16,AI16,AJ16,AG16,AR16,AM16)</f>
        <v>-0.17607573417753414</v>
      </c>
      <c r="AY16" s="30">
        <f>B76Gamma($E$9,AH16,AI16,AJ16,AG16,AR16,AM16)</f>
        <v>1.6739531722112253E-3</v>
      </c>
      <c r="AZ16" s="30">
        <f>B76Vega($E$9,AH16,AI16,AJ16,AG16,AR16,AM16)</f>
        <v>13.19298517872345</v>
      </c>
      <c r="BA16" s="30">
        <f>B76Theta($E$9,AH16,AI16,AJ16,AG16,AR16,AM16)</f>
        <v>-0.25588146856399485</v>
      </c>
      <c r="BB16" s="30">
        <f>B76Rho($E$9,AH16,AI16,AJ16,AG16,AR16,AM16)</f>
        <v>-7.4842374360523714</v>
      </c>
      <c r="BC16" s="46">
        <f t="shared" si="7"/>
        <v>-18.3</v>
      </c>
      <c r="BD16" s="46">
        <f t="shared" si="8"/>
        <v>175</v>
      </c>
      <c r="BE16" s="46">
        <v>0</v>
      </c>
      <c r="BF16" s="1"/>
      <c r="BG16" s="46">
        <f t="shared" si="9"/>
        <v>156.69999999999999</v>
      </c>
      <c r="BH16" s="46">
        <f t="shared" si="10"/>
        <v>0</v>
      </c>
      <c r="BI16" s="46">
        <f t="shared" si="11"/>
        <v>156.69999999999999</v>
      </c>
      <c r="BJ16" s="46">
        <f t="shared" si="12"/>
        <v>156.69999999999999</v>
      </c>
      <c r="BK16" s="46">
        <f t="shared" si="13"/>
        <v>0</v>
      </c>
      <c r="BL16" s="46">
        <f t="shared" si="14"/>
        <v>156.69999999999999</v>
      </c>
      <c r="BM16" s="24">
        <f t="shared" si="15"/>
        <v>-0.88037867088767063</v>
      </c>
      <c r="BN16" s="45">
        <f t="shared" ref="BN16:BN29" si="16">QaAssert(E16,AE16)</f>
        <v>0</v>
      </c>
      <c r="BO16" s="45">
        <f t="shared" ref="BO16:BO29" si="17">QaAssert(F16,AF16)</f>
        <v>0</v>
      </c>
      <c r="BP16" s="45">
        <f t="shared" ref="BP16:BP29" si="18">QaAssert(G16,AG16)</f>
        <v>0</v>
      </c>
      <c r="BQ16" s="45">
        <f t="shared" ref="BQ16:BQ29" si="19">QaAssert(H16,AJ16)</f>
        <v>0</v>
      </c>
      <c r="BR16" s="41">
        <f t="shared" ref="BR16:BR29" si="20">QaAssert(T16,AS16)</f>
        <v>5.6036661457770087E-4</v>
      </c>
      <c r="BS16" s="11">
        <f t="shared" ref="BS16:BS29" si="21">QaAssert(L16,AW16)</f>
        <v>0</v>
      </c>
      <c r="BT16" s="3">
        <f t="shared" ref="BT16:BT29" si="22">QaAssert(M16,BC16)</f>
        <v>0</v>
      </c>
      <c r="BU16" s="3">
        <f t="shared" ref="BU16:BU29" si="23">QaAssert(U16,BD16)</f>
        <v>0</v>
      </c>
      <c r="BV16" s="3">
        <f t="shared" ref="BV16:BV29" si="24">QaAssert(V16,BE16)</f>
        <v>0</v>
      </c>
      <c r="BW16" s="3">
        <f t="shared" ref="BW16:BW29" si="25">QaAssert(W16,BF16)</f>
        <v>0</v>
      </c>
      <c r="BX16" s="3">
        <f t="shared" ref="BX16:BX29" si="26">QaAssert(X16,BG16)</f>
        <v>0</v>
      </c>
      <c r="BY16" s="3">
        <f t="shared" ref="BY16:BY29" si="27">QaAssert(Y16,BH16)</f>
        <v>0</v>
      </c>
      <c r="BZ16" s="3">
        <f t="shared" ref="BZ16:BZ29" si="28">QaAssert(Z16,BI16)</f>
        <v>0</v>
      </c>
      <c r="CA16" s="3">
        <f t="shared" ref="CA16:CA29" si="29">QaAssert(AA16,BJ16)</f>
        <v>0</v>
      </c>
      <c r="CB16" s="3">
        <f t="shared" ref="CB16:CB29" si="30">QaAssert(AB16,BK16)</f>
        <v>0</v>
      </c>
      <c r="CC16" s="3">
        <f t="shared" ref="CC16:CC29" si="31">QaAssert(AC16,BL16)</f>
        <v>0</v>
      </c>
      <c r="CD16" s="3">
        <f t="shared" ref="CD16:CD29" si="32">QaAssert(O16,AX16)</f>
        <v>0</v>
      </c>
      <c r="CE16" s="3">
        <f t="shared" ref="CE16:CE29" si="33">QaAssert(P16,AY16)</f>
        <v>0</v>
      </c>
      <c r="CF16" s="3">
        <f t="shared" ref="CF16:CF29" si="34">QaAssert(Q16,AZ16)</f>
        <v>0</v>
      </c>
      <c r="CG16" s="3">
        <f t="shared" ref="CG16:CG29" si="35">QaAssert(S16,BB16)</f>
        <v>0</v>
      </c>
      <c r="CH16" s="3">
        <f t="shared" ref="CH16:CH29" si="36">QaAssert(R16,BA16)</f>
        <v>0</v>
      </c>
      <c r="CI16" s="22"/>
    </row>
    <row r="17" spans="2:87" x14ac:dyDescent="0.25">
      <c r="B17" s="19" t="s">
        <v>162</v>
      </c>
      <c r="C17" s="19" t="s">
        <v>163</v>
      </c>
      <c r="D17" s="19" t="s">
        <v>148</v>
      </c>
      <c r="E17" s="20">
        <v>40969</v>
      </c>
      <c r="F17" s="20">
        <v>40999</v>
      </c>
      <c r="G17" s="20">
        <v>40939</v>
      </c>
      <c r="H17" s="19">
        <v>130</v>
      </c>
      <c r="I17" s="19" t="s">
        <v>3</v>
      </c>
      <c r="J17" s="19">
        <v>5</v>
      </c>
      <c r="K17" s="19">
        <v>743</v>
      </c>
      <c r="L17" s="19">
        <v>3.66</v>
      </c>
      <c r="M17" s="19">
        <v>-18.3</v>
      </c>
      <c r="N17" s="19">
        <v>3.1506652442701601E-2</v>
      </c>
      <c r="O17" s="19">
        <v>8.6332867566071194E-3</v>
      </c>
      <c r="P17" s="19">
        <v>2.0688196394173801E-3</v>
      </c>
      <c r="Q17" s="19">
        <v>1.0626967922733099</v>
      </c>
      <c r="R17" s="19">
        <v>-1.7011442729971001E-3</v>
      </c>
      <c r="S17" s="19">
        <v>-6.7329284662083896E-3</v>
      </c>
      <c r="T17" s="19">
        <v>0.249773860537087</v>
      </c>
      <c r="U17" s="19">
        <v>0.157533262213508</v>
      </c>
      <c r="V17" s="19">
        <v>0.157533262213508</v>
      </c>
      <c r="W17" s="19">
        <v>0</v>
      </c>
      <c r="X17" s="19">
        <v>-18.3</v>
      </c>
      <c r="Y17" s="19">
        <v>0.157533262213508</v>
      </c>
      <c r="Z17" s="19">
        <v>-18.142466737786499</v>
      </c>
      <c r="AA17" s="19">
        <v>-18.3</v>
      </c>
      <c r="AB17" s="19">
        <v>0.157533262213508</v>
      </c>
      <c r="AC17" s="19">
        <v>-18.142466737786499</v>
      </c>
      <c r="AD17" s="37">
        <v>40856</v>
      </c>
      <c r="AE17" s="37">
        <v>40969</v>
      </c>
      <c r="AF17" s="37">
        <v>40999</v>
      </c>
      <c r="AG17" s="37">
        <v>40939</v>
      </c>
      <c r="AH17" s="33" t="s">
        <v>68</v>
      </c>
      <c r="AI17" s="7">
        <v>98.099999999990004</v>
      </c>
      <c r="AJ17" s="9">
        <v>130</v>
      </c>
      <c r="AK17" s="7">
        <v>0.249773860537087</v>
      </c>
      <c r="AL17" s="9">
        <v>3.66</v>
      </c>
      <c r="AM17" s="35">
        <v>4.1121659461830096E-3</v>
      </c>
      <c r="AN17" s="7">
        <v>5</v>
      </c>
      <c r="AO17" s="7"/>
      <c r="AP17" s="9" t="s">
        <v>180</v>
      </c>
      <c r="AQ17" s="26" t="s">
        <v>181</v>
      </c>
      <c r="AR17" s="26"/>
      <c r="AS17" s="29">
        <f>AK17</f>
        <v>0.249773860537087</v>
      </c>
      <c r="AT17" s="26" t="str">
        <f t="shared" ref="AT17:AT21" si="37">AQ17</f>
        <v>n/a</v>
      </c>
      <c r="AU17" s="27">
        <f>B76Future($E$9,AH17,AI17,AJ17,AG17,AS17,AM17)</f>
        <v>3.1506652392182338E-2</v>
      </c>
      <c r="AV17" s="27">
        <f t="shared" si="5"/>
        <v>1.52</v>
      </c>
      <c r="AW17" s="1">
        <f t="shared" ref="AW17:AW29" si="38">AL17</f>
        <v>3.66</v>
      </c>
      <c r="AX17" s="30">
        <f>B76Delta($E$9,AH17,AI17,AJ17,AG17,AS17,AM17)</f>
        <v>8.633286779117802E-3</v>
      </c>
      <c r="AY17" s="30">
        <f>B76Gamma($E$9,AH17,AI17,AJ17,AG17,AS17,AM17)</f>
        <v>2.0688196401716236E-3</v>
      </c>
      <c r="AZ17" s="30">
        <f>B76Vega($E$9,AH17,AI17,AJ17,AG17,AS17,AM17)</f>
        <v>1.0626967928182154</v>
      </c>
      <c r="BA17" s="30">
        <f>B76Theta($E$9,AH17,AI17,AJ17,AG17,AS17,AM17)</f>
        <v>-1.7011442736176506E-3</v>
      </c>
      <c r="BB17" s="30">
        <f>B76Rho($E$9,AH17,AI17,AJ17,AG17,AS17,AM17)</f>
        <v>-6.7329284564115683E-3</v>
      </c>
      <c r="BC17" s="46">
        <f t="shared" ref="BC17:BC29" si="39">-AL17*AN17</f>
        <v>-18.3</v>
      </c>
      <c r="BD17" s="46">
        <f>AU17*AN17</f>
        <v>0.15753326196091169</v>
      </c>
      <c r="BE17" s="46">
        <f>BD17</f>
        <v>0.15753326196091169</v>
      </c>
      <c r="BF17" s="1"/>
      <c r="BG17" s="46">
        <f>BC17</f>
        <v>-18.3</v>
      </c>
      <c r="BH17" s="46">
        <f t="shared" ref="BH17:BH29" si="40">BE17</f>
        <v>0.15753326196091169</v>
      </c>
      <c r="BI17" s="46">
        <f t="shared" ref="BI17:BI29" si="41">BG17+BH17</f>
        <v>-18.14246673803909</v>
      </c>
      <c r="BJ17" s="46">
        <f>BG17</f>
        <v>-18.3</v>
      </c>
      <c r="BK17" s="46">
        <f t="shared" ref="BK17:BK29" si="42">BE17</f>
        <v>0.15753326196091169</v>
      </c>
      <c r="BL17" s="46">
        <f t="shared" ref="BL17:BL29" si="43">BJ17+BK17</f>
        <v>-18.14246673803909</v>
      </c>
      <c r="BM17" s="24">
        <f t="shared" ref="BM17:BM19" si="44">AX17*AN17</f>
        <v>4.316643389558901E-2</v>
      </c>
      <c r="BN17" s="45">
        <f t="shared" si="16"/>
        <v>0</v>
      </c>
      <c r="BO17" s="45">
        <f t="shared" si="17"/>
        <v>0</v>
      </c>
      <c r="BP17" s="45">
        <f t="shared" si="18"/>
        <v>0</v>
      </c>
      <c r="BQ17" s="45">
        <f t="shared" si="19"/>
        <v>0</v>
      </c>
      <c r="BR17" s="41">
        <f t="shared" si="20"/>
        <v>0</v>
      </c>
      <c r="BS17" s="11">
        <f t="shared" si="21"/>
        <v>0</v>
      </c>
      <c r="BT17" s="3">
        <f t="shared" si="22"/>
        <v>0</v>
      </c>
      <c r="BU17" s="3">
        <f t="shared" si="23"/>
        <v>0</v>
      </c>
      <c r="BV17" s="3">
        <f t="shared" si="24"/>
        <v>0</v>
      </c>
      <c r="BW17" s="3">
        <f t="shared" si="25"/>
        <v>0</v>
      </c>
      <c r="BX17" s="3">
        <f t="shared" si="26"/>
        <v>0</v>
      </c>
      <c r="BY17" s="3">
        <f t="shared" si="27"/>
        <v>0</v>
      </c>
      <c r="BZ17" s="3">
        <f t="shared" si="28"/>
        <v>0</v>
      </c>
      <c r="CA17" s="3">
        <f t="shared" si="29"/>
        <v>0</v>
      </c>
      <c r="CB17" s="3">
        <f t="shared" si="30"/>
        <v>0</v>
      </c>
      <c r="CC17" s="3">
        <f t="shared" si="31"/>
        <v>0</v>
      </c>
      <c r="CD17" s="3">
        <f t="shared" si="32"/>
        <v>0</v>
      </c>
      <c r="CE17" s="3">
        <f t="shared" si="33"/>
        <v>0</v>
      </c>
      <c r="CF17" s="3">
        <f t="shared" si="34"/>
        <v>0</v>
      </c>
      <c r="CG17" s="3">
        <f t="shared" si="35"/>
        <v>0</v>
      </c>
      <c r="CH17" s="3">
        <f t="shared" si="36"/>
        <v>0</v>
      </c>
      <c r="CI17" s="22"/>
    </row>
    <row r="18" spans="2:87" x14ac:dyDescent="0.25">
      <c r="B18" s="19" t="s">
        <v>97</v>
      </c>
      <c r="C18" s="19" t="s">
        <v>110</v>
      </c>
      <c r="D18" s="19" t="s">
        <v>152</v>
      </c>
      <c r="E18" s="20">
        <v>41061</v>
      </c>
      <c r="F18" s="20">
        <v>41090</v>
      </c>
      <c r="G18" s="20">
        <v>41031</v>
      </c>
      <c r="H18" s="19">
        <v>130</v>
      </c>
      <c r="I18" s="19" t="s">
        <v>3</v>
      </c>
      <c r="J18" s="19">
        <v>-5</v>
      </c>
      <c r="K18" s="19">
        <v>720</v>
      </c>
      <c r="L18" s="19">
        <v>3.66</v>
      </c>
      <c r="M18" s="19">
        <v>18.3</v>
      </c>
      <c r="N18" s="19">
        <v>37</v>
      </c>
      <c r="O18" s="19">
        <v>0.63251227745151195</v>
      </c>
      <c r="P18" s="19">
        <v>3.3478110061073499E-3</v>
      </c>
      <c r="Q18" s="19">
        <v>27.991294203626499</v>
      </c>
      <c r="R18" s="19">
        <v>-0.122922043351352</v>
      </c>
      <c r="S18" s="19">
        <v>-17.247761833946701</v>
      </c>
      <c r="T18" s="19">
        <v>1.5007541916490501</v>
      </c>
      <c r="U18" s="19">
        <v>-185</v>
      </c>
      <c r="V18" s="19">
        <v>0</v>
      </c>
      <c r="W18" s="19">
        <v>0</v>
      </c>
      <c r="X18" s="19">
        <v>-166.7</v>
      </c>
      <c r="Y18" s="19">
        <v>0</v>
      </c>
      <c r="Z18" s="19">
        <v>-166.7</v>
      </c>
      <c r="AA18" s="19">
        <v>-166.7</v>
      </c>
      <c r="AB18" s="19">
        <v>0</v>
      </c>
      <c r="AC18" s="19">
        <v>-166.7</v>
      </c>
      <c r="AD18" s="43"/>
      <c r="AE18" s="59">
        <v>41061</v>
      </c>
      <c r="AF18" s="59">
        <v>41090</v>
      </c>
      <c r="AG18" s="59">
        <v>41031</v>
      </c>
      <c r="AH18" s="43" t="s">
        <v>68</v>
      </c>
      <c r="AI18" s="7">
        <v>109.36999999950901</v>
      </c>
      <c r="AJ18" s="9">
        <v>130</v>
      </c>
      <c r="AK18" s="7">
        <v>37</v>
      </c>
      <c r="AL18" s="9">
        <v>3.66</v>
      </c>
      <c r="AM18" s="7">
        <v>6.2198611978125096E-3</v>
      </c>
      <c r="AN18" s="7">
        <v>-5</v>
      </c>
      <c r="AO18" s="7"/>
      <c r="AP18" s="9" t="s">
        <v>178</v>
      </c>
      <c r="AQ18" s="26">
        <f t="shared" ref="AQ18:AQ29" si="45">AK18</f>
        <v>37</v>
      </c>
      <c r="AR18" s="26">
        <v>1.5007541916490501</v>
      </c>
      <c r="AS18" s="29">
        <f>ImpliedVolatilityB76Future($E$9,AH18,AI18,AJ18,AG18,AQ18,AM18)</f>
        <v>1.4996125367929933</v>
      </c>
      <c r="AT18" s="26">
        <f t="shared" si="37"/>
        <v>37</v>
      </c>
      <c r="AU18" s="27">
        <f>B76Future($E$9,AH18,AI18,AJ18,AG18,AS18,AM18)</f>
        <v>37</v>
      </c>
      <c r="AV18" s="27">
        <f t="shared" si="5"/>
        <v>1.52</v>
      </c>
      <c r="AW18" s="1">
        <f t="shared" si="38"/>
        <v>3.66</v>
      </c>
      <c r="AX18" s="30">
        <f>B76Delta($E$9,AH18,AI18,AJ18,AG18,AR18,AM18)</f>
        <v>0.63251227746265148</v>
      </c>
      <c r="AY18" s="30">
        <f>B76Gamma($E$9,AH18,AI18,AJ18,AG18,AR18,AM18)</f>
        <v>3.34781100596611E-3</v>
      </c>
      <c r="AZ18" s="30">
        <f>B76Vega($E$9,AH18,AI18,AJ18,AG18,AR18,AM18)</f>
        <v>27.991294204351043</v>
      </c>
      <c r="BA18" s="30">
        <f>B76Theta($E$9,AH18,AI18,AJ18,AG18,AR18,AM18)</f>
        <v>-0.12292204334607858</v>
      </c>
      <c r="BB18" s="30">
        <f>B76Rho($E$9,AH18,AI18,AJ18,AG18,AR18,AM18)</f>
        <v>-17.247761836738047</v>
      </c>
      <c r="BC18" s="46">
        <f t="shared" si="39"/>
        <v>18.3</v>
      </c>
      <c r="BD18" s="46">
        <f t="shared" ref="BD18:BD19" si="46">AQ18*AN18</f>
        <v>-185</v>
      </c>
      <c r="BE18" s="46">
        <v>0</v>
      </c>
      <c r="BF18" s="1"/>
      <c r="BG18" s="46">
        <f t="shared" ref="BG18:BG19" si="47">(AK18-AL18)*AN18</f>
        <v>-166.70000000000002</v>
      </c>
      <c r="BH18" s="46">
        <f t="shared" si="40"/>
        <v>0</v>
      </c>
      <c r="BI18" s="46">
        <f t="shared" si="41"/>
        <v>-166.70000000000002</v>
      </c>
      <c r="BJ18" s="46">
        <f t="shared" ref="BJ18:BJ19" si="48">(AK18-AL18)*AN18</f>
        <v>-166.70000000000002</v>
      </c>
      <c r="BK18" s="46">
        <f t="shared" si="42"/>
        <v>0</v>
      </c>
      <c r="BL18" s="46">
        <f t="shared" si="43"/>
        <v>-166.70000000000002</v>
      </c>
      <c r="BM18" s="24">
        <f t="shared" si="44"/>
        <v>-3.1625613873132572</v>
      </c>
      <c r="BN18" s="45">
        <f t="shared" si="16"/>
        <v>0</v>
      </c>
      <c r="BO18" s="45">
        <f t="shared" si="17"/>
        <v>0</v>
      </c>
      <c r="BP18" s="45">
        <f t="shared" si="18"/>
        <v>0</v>
      </c>
      <c r="BQ18" s="45">
        <f t="shared" si="19"/>
        <v>0</v>
      </c>
      <c r="BR18" s="41">
        <f t="shared" si="20"/>
        <v>7.6129988783524283E-4</v>
      </c>
      <c r="BS18" s="11">
        <f t="shared" si="21"/>
        <v>0</v>
      </c>
      <c r="BT18" s="3">
        <f t="shared" si="22"/>
        <v>0</v>
      </c>
      <c r="BU18" s="3">
        <f t="shared" si="23"/>
        <v>0</v>
      </c>
      <c r="BV18" s="3">
        <f t="shared" si="24"/>
        <v>0</v>
      </c>
      <c r="BW18" s="3">
        <f t="shared" si="25"/>
        <v>0</v>
      </c>
      <c r="BX18" s="3">
        <f t="shared" si="26"/>
        <v>0</v>
      </c>
      <c r="BY18" s="3">
        <f t="shared" si="27"/>
        <v>0</v>
      </c>
      <c r="BZ18" s="3">
        <f t="shared" si="28"/>
        <v>0</v>
      </c>
      <c r="CA18" s="3">
        <f t="shared" si="29"/>
        <v>0</v>
      </c>
      <c r="CB18" s="3">
        <f t="shared" si="30"/>
        <v>0</v>
      </c>
      <c r="CC18" s="3">
        <f t="shared" si="31"/>
        <v>0</v>
      </c>
      <c r="CD18" s="3">
        <f t="shared" si="32"/>
        <v>0</v>
      </c>
      <c r="CE18" s="3">
        <f t="shared" si="33"/>
        <v>0</v>
      </c>
      <c r="CF18" s="3">
        <f t="shared" si="34"/>
        <v>0</v>
      </c>
      <c r="CG18" s="3">
        <f t="shared" si="35"/>
        <v>0</v>
      </c>
      <c r="CH18" s="3">
        <f t="shared" si="36"/>
        <v>0</v>
      </c>
      <c r="CI18" s="22"/>
    </row>
    <row r="19" spans="2:87" x14ac:dyDescent="0.25">
      <c r="B19" s="19" t="s">
        <v>97</v>
      </c>
      <c r="C19" s="19" t="s">
        <v>110</v>
      </c>
      <c r="D19" s="19" t="s">
        <v>152</v>
      </c>
      <c r="E19" s="20">
        <v>41061</v>
      </c>
      <c r="F19" s="20">
        <v>41090</v>
      </c>
      <c r="G19" s="20">
        <v>41031</v>
      </c>
      <c r="H19" s="19">
        <v>130</v>
      </c>
      <c r="I19" s="19" t="s">
        <v>3</v>
      </c>
      <c r="J19" s="19">
        <v>5</v>
      </c>
      <c r="K19" s="19">
        <v>720</v>
      </c>
      <c r="L19" s="19">
        <v>3.66</v>
      </c>
      <c r="M19" s="19">
        <v>-18.3</v>
      </c>
      <c r="N19" s="19">
        <v>37</v>
      </c>
      <c r="O19" s="19">
        <v>0.63251227745151195</v>
      </c>
      <c r="P19" s="19">
        <v>3.3478110061073499E-3</v>
      </c>
      <c r="Q19" s="19">
        <v>27.991294203626499</v>
      </c>
      <c r="R19" s="19">
        <v>-0.122922043351352</v>
      </c>
      <c r="S19" s="19">
        <v>-17.247761833946701</v>
      </c>
      <c r="T19" s="19">
        <v>1.5007541916490501</v>
      </c>
      <c r="U19" s="19">
        <v>185</v>
      </c>
      <c r="V19" s="19">
        <v>0</v>
      </c>
      <c r="W19" s="19">
        <v>0</v>
      </c>
      <c r="X19" s="19">
        <v>166.7</v>
      </c>
      <c r="Y19" s="19">
        <v>0</v>
      </c>
      <c r="Z19" s="19">
        <v>166.7</v>
      </c>
      <c r="AA19" s="19">
        <v>166.7</v>
      </c>
      <c r="AB19" s="19">
        <v>0</v>
      </c>
      <c r="AC19" s="19">
        <v>166.7</v>
      </c>
      <c r="AD19" s="43"/>
      <c r="AE19" s="59">
        <v>41061</v>
      </c>
      <c r="AF19" s="59">
        <v>41090</v>
      </c>
      <c r="AG19" s="59">
        <v>41031</v>
      </c>
      <c r="AH19" s="43" t="s">
        <v>68</v>
      </c>
      <c r="AI19" s="7">
        <v>109.36999999950901</v>
      </c>
      <c r="AJ19" s="9">
        <v>130</v>
      </c>
      <c r="AK19" s="7">
        <v>37</v>
      </c>
      <c r="AL19" s="9">
        <v>3.66</v>
      </c>
      <c r="AM19" s="7">
        <v>6.2198611978125096E-3</v>
      </c>
      <c r="AN19" s="7">
        <v>5</v>
      </c>
      <c r="AO19" s="7"/>
      <c r="AP19" s="9" t="s">
        <v>179</v>
      </c>
      <c r="AQ19" s="26">
        <f t="shared" si="45"/>
        <v>37</v>
      </c>
      <c r="AR19" s="26">
        <v>1.5007541916490501</v>
      </c>
      <c r="AS19" s="29">
        <f>ImpliedVolatilityB76Future($E$9,AH19,AI19,AJ19,AG19,AQ19,AM19)</f>
        <v>1.4996125367929933</v>
      </c>
      <c r="AT19" s="26">
        <f t="shared" si="37"/>
        <v>37</v>
      </c>
      <c r="AU19" s="27">
        <f>B76Future($E$9,AH19,AI19,AJ19,AG19,AS19,AM19)</f>
        <v>37</v>
      </c>
      <c r="AV19" s="27">
        <f t="shared" si="5"/>
        <v>1.52</v>
      </c>
      <c r="AW19" s="1">
        <f t="shared" si="38"/>
        <v>3.66</v>
      </c>
      <c r="AX19" s="30">
        <f>B76Delta($E$9,AH19,AI19,AJ19,AG19,AR19,AM19)</f>
        <v>0.63251227746265148</v>
      </c>
      <c r="AY19" s="30">
        <f>B76Gamma($E$9,AH19,AI19,AJ19,AG19,AR19,AM19)</f>
        <v>3.34781100596611E-3</v>
      </c>
      <c r="AZ19" s="30">
        <f>B76Vega($E$9,AH19,AI19,AJ19,AG19,AR19,AM19)</f>
        <v>27.991294204351043</v>
      </c>
      <c r="BA19" s="30">
        <f>B76Theta($E$9,AH19,AI19,AJ19,AG19,AR19,AM19)</f>
        <v>-0.12292204334607858</v>
      </c>
      <c r="BB19" s="30">
        <f>B76Rho($E$9,AH19,AI19,AJ19,AG19,AR19,AM19)</f>
        <v>-17.247761836738047</v>
      </c>
      <c r="BC19" s="46">
        <f t="shared" si="39"/>
        <v>-18.3</v>
      </c>
      <c r="BD19" s="46">
        <f t="shared" si="46"/>
        <v>185</v>
      </c>
      <c r="BE19" s="46">
        <v>0</v>
      </c>
      <c r="BF19" s="1"/>
      <c r="BG19" s="46">
        <f t="shared" si="47"/>
        <v>166.70000000000002</v>
      </c>
      <c r="BH19" s="46">
        <f t="shared" si="40"/>
        <v>0</v>
      </c>
      <c r="BI19" s="46">
        <f t="shared" si="41"/>
        <v>166.70000000000002</v>
      </c>
      <c r="BJ19" s="46">
        <f t="shared" si="48"/>
        <v>166.70000000000002</v>
      </c>
      <c r="BK19" s="46">
        <f t="shared" si="42"/>
        <v>0</v>
      </c>
      <c r="BL19" s="46">
        <f t="shared" si="43"/>
        <v>166.70000000000002</v>
      </c>
      <c r="BM19" s="24">
        <f t="shared" si="44"/>
        <v>3.1625613873132572</v>
      </c>
      <c r="BN19" s="45">
        <f t="shared" si="16"/>
        <v>0</v>
      </c>
      <c r="BO19" s="45">
        <f t="shared" si="17"/>
        <v>0</v>
      </c>
      <c r="BP19" s="45">
        <f t="shared" si="18"/>
        <v>0</v>
      </c>
      <c r="BQ19" s="45">
        <f t="shared" si="19"/>
        <v>0</v>
      </c>
      <c r="BR19" s="41">
        <f t="shared" si="20"/>
        <v>7.6129988783524283E-4</v>
      </c>
      <c r="BS19" s="11">
        <f t="shared" si="21"/>
        <v>0</v>
      </c>
      <c r="BT19" s="3">
        <f t="shared" si="22"/>
        <v>0</v>
      </c>
      <c r="BU19" s="3">
        <f t="shared" si="23"/>
        <v>0</v>
      </c>
      <c r="BV19" s="3">
        <f t="shared" si="24"/>
        <v>0</v>
      </c>
      <c r="BW19" s="3">
        <f t="shared" si="25"/>
        <v>0</v>
      </c>
      <c r="BX19" s="3">
        <f t="shared" si="26"/>
        <v>0</v>
      </c>
      <c r="BY19" s="3">
        <f t="shared" si="27"/>
        <v>0</v>
      </c>
      <c r="BZ19" s="3">
        <f t="shared" si="28"/>
        <v>0</v>
      </c>
      <c r="CA19" s="3">
        <f t="shared" si="29"/>
        <v>0</v>
      </c>
      <c r="CB19" s="3">
        <f t="shared" si="30"/>
        <v>0</v>
      </c>
      <c r="CC19" s="3">
        <f t="shared" si="31"/>
        <v>0</v>
      </c>
      <c r="CD19" s="3">
        <f t="shared" si="32"/>
        <v>0</v>
      </c>
      <c r="CE19" s="3">
        <f t="shared" si="33"/>
        <v>0</v>
      </c>
      <c r="CF19" s="3">
        <f t="shared" si="34"/>
        <v>0</v>
      </c>
      <c r="CG19" s="3">
        <f t="shared" si="35"/>
        <v>0</v>
      </c>
      <c r="CH19" s="3">
        <f t="shared" si="36"/>
        <v>0</v>
      </c>
      <c r="CI19" s="22"/>
    </row>
    <row r="20" spans="2:87" x14ac:dyDescent="0.25">
      <c r="B20" s="19" t="s">
        <v>97</v>
      </c>
      <c r="C20" s="19" t="s">
        <v>112</v>
      </c>
      <c r="D20" s="19" t="s">
        <v>153</v>
      </c>
      <c r="E20" s="20">
        <v>40664</v>
      </c>
      <c r="F20" s="20">
        <v>40694</v>
      </c>
      <c r="G20" s="20">
        <v>40634</v>
      </c>
      <c r="H20" s="19">
        <v>130</v>
      </c>
      <c r="I20" s="19" t="s">
        <v>114</v>
      </c>
      <c r="J20" s="19">
        <v>5</v>
      </c>
      <c r="K20" s="19">
        <v>744</v>
      </c>
      <c r="L20" s="19">
        <v>3.66</v>
      </c>
      <c r="M20" s="19">
        <v>-18.3</v>
      </c>
      <c r="N20" s="19">
        <v>0</v>
      </c>
      <c r="O20" s="19">
        <v>0</v>
      </c>
      <c r="P20" s="19">
        <v>0</v>
      </c>
      <c r="Q20" s="19">
        <v>0</v>
      </c>
      <c r="R20" s="19">
        <v>0</v>
      </c>
      <c r="S20" s="19">
        <v>0</v>
      </c>
      <c r="T20" s="19">
        <v>0</v>
      </c>
      <c r="U20" s="19">
        <v>0</v>
      </c>
      <c r="V20" s="19">
        <v>0</v>
      </c>
      <c r="W20" s="19">
        <v>0</v>
      </c>
      <c r="X20" s="19">
        <v>-18.3</v>
      </c>
      <c r="Y20" s="19">
        <v>0</v>
      </c>
      <c r="Z20" s="19">
        <v>-18.3</v>
      </c>
      <c r="AA20" s="19">
        <v>-18.3</v>
      </c>
      <c r="AB20" s="19">
        <v>0</v>
      </c>
      <c r="AC20" s="19">
        <v>-18.3</v>
      </c>
      <c r="AD20" s="43"/>
      <c r="AE20" s="59">
        <v>40664</v>
      </c>
      <c r="AF20" s="59">
        <v>40694</v>
      </c>
      <c r="AG20" s="59">
        <v>40634</v>
      </c>
      <c r="AH20" s="43" t="s">
        <v>68</v>
      </c>
      <c r="AI20" s="7"/>
      <c r="AJ20" s="9">
        <v>130</v>
      </c>
      <c r="AK20" s="7">
        <v>62</v>
      </c>
      <c r="AL20" s="9">
        <v>3.66</v>
      </c>
      <c r="AM20" s="7"/>
      <c r="AN20" s="7">
        <v>5</v>
      </c>
      <c r="AO20" s="7"/>
      <c r="AP20" s="9" t="s">
        <v>176</v>
      </c>
      <c r="AQ20" s="26">
        <f t="shared" si="45"/>
        <v>62</v>
      </c>
      <c r="AR20" s="26"/>
      <c r="AS20" s="29"/>
      <c r="AT20" s="26">
        <f t="shared" si="37"/>
        <v>62</v>
      </c>
      <c r="AU20" s="27"/>
      <c r="AV20" s="27"/>
      <c r="AW20" s="1">
        <f t="shared" si="38"/>
        <v>3.66</v>
      </c>
      <c r="AX20" s="30">
        <v>0</v>
      </c>
      <c r="AY20" s="30">
        <v>0</v>
      </c>
      <c r="AZ20" s="30">
        <v>0</v>
      </c>
      <c r="BA20" s="30">
        <v>0</v>
      </c>
      <c r="BB20" s="30">
        <v>0</v>
      </c>
      <c r="BC20" s="46">
        <f t="shared" si="39"/>
        <v>-18.3</v>
      </c>
      <c r="BD20" s="1">
        <v>0</v>
      </c>
      <c r="BE20" s="1">
        <v>0</v>
      </c>
      <c r="BF20" s="1">
        <v>0</v>
      </c>
      <c r="BG20" s="46">
        <f>BC20</f>
        <v>-18.3</v>
      </c>
      <c r="BH20" s="1">
        <f t="shared" si="40"/>
        <v>0</v>
      </c>
      <c r="BI20" s="46">
        <f t="shared" si="41"/>
        <v>-18.3</v>
      </c>
      <c r="BJ20" s="46">
        <f>BC20</f>
        <v>-18.3</v>
      </c>
      <c r="BK20" s="1">
        <f t="shared" si="42"/>
        <v>0</v>
      </c>
      <c r="BL20" s="46">
        <f t="shared" si="43"/>
        <v>-18.3</v>
      </c>
      <c r="BM20" s="24">
        <v>0</v>
      </c>
      <c r="BN20" s="45">
        <f t="shared" si="16"/>
        <v>0</v>
      </c>
      <c r="BO20" s="45">
        <f t="shared" si="17"/>
        <v>0</v>
      </c>
      <c r="BP20" s="45">
        <f t="shared" si="18"/>
        <v>0</v>
      </c>
      <c r="BQ20" s="45">
        <f t="shared" si="19"/>
        <v>0</v>
      </c>
      <c r="BR20" s="41">
        <f t="shared" si="20"/>
        <v>0</v>
      </c>
      <c r="BS20" s="11">
        <f t="shared" si="21"/>
        <v>0</v>
      </c>
      <c r="BT20" s="3">
        <f t="shared" si="22"/>
        <v>0</v>
      </c>
      <c r="BU20" s="3">
        <f t="shared" si="23"/>
        <v>0</v>
      </c>
      <c r="BV20" s="3">
        <f t="shared" si="24"/>
        <v>0</v>
      </c>
      <c r="BW20" s="3">
        <f t="shared" si="25"/>
        <v>0</v>
      </c>
      <c r="BX20" s="3">
        <f t="shared" si="26"/>
        <v>0</v>
      </c>
      <c r="BY20" s="3">
        <f t="shared" si="27"/>
        <v>0</v>
      </c>
      <c r="BZ20" s="3">
        <f t="shared" si="28"/>
        <v>0</v>
      </c>
      <c r="CA20" s="3">
        <f t="shared" si="29"/>
        <v>0</v>
      </c>
      <c r="CB20" s="3">
        <f t="shared" si="30"/>
        <v>0</v>
      </c>
      <c r="CC20" s="3">
        <f t="shared" si="31"/>
        <v>0</v>
      </c>
      <c r="CD20" s="3">
        <f t="shared" si="32"/>
        <v>0</v>
      </c>
      <c r="CE20" s="3">
        <f t="shared" si="33"/>
        <v>0</v>
      </c>
      <c r="CF20" s="3">
        <f t="shared" si="34"/>
        <v>0</v>
      </c>
      <c r="CG20" s="3">
        <f t="shared" si="35"/>
        <v>0</v>
      </c>
      <c r="CH20" s="3">
        <f t="shared" si="36"/>
        <v>0</v>
      </c>
      <c r="CI20" s="22"/>
    </row>
    <row r="21" spans="2:87" x14ac:dyDescent="0.25">
      <c r="B21" s="19" t="s">
        <v>97</v>
      </c>
      <c r="C21" s="19" t="s">
        <v>112</v>
      </c>
      <c r="D21" s="19" t="s">
        <v>153</v>
      </c>
      <c r="E21" s="20">
        <v>40664</v>
      </c>
      <c r="F21" s="20">
        <v>40694</v>
      </c>
      <c r="G21" s="20">
        <v>40634</v>
      </c>
      <c r="H21" s="19">
        <v>130</v>
      </c>
      <c r="I21" s="19" t="s">
        <v>114</v>
      </c>
      <c r="J21" s="19">
        <v>-5</v>
      </c>
      <c r="K21" s="19">
        <v>744</v>
      </c>
      <c r="L21" s="19">
        <v>3.66</v>
      </c>
      <c r="M21" s="19">
        <v>18.3</v>
      </c>
      <c r="N21" s="19">
        <v>0</v>
      </c>
      <c r="O21" s="19">
        <v>0</v>
      </c>
      <c r="P21" s="19">
        <v>0</v>
      </c>
      <c r="Q21" s="19">
        <v>0</v>
      </c>
      <c r="R21" s="19">
        <v>0</v>
      </c>
      <c r="S21" s="19">
        <v>0</v>
      </c>
      <c r="T21" s="19">
        <v>0</v>
      </c>
      <c r="U21" s="19">
        <v>0</v>
      </c>
      <c r="V21" s="19">
        <v>0</v>
      </c>
      <c r="W21" s="19">
        <v>0</v>
      </c>
      <c r="X21" s="19">
        <v>18.3</v>
      </c>
      <c r="Y21" s="19">
        <v>0</v>
      </c>
      <c r="Z21" s="19">
        <v>18.3</v>
      </c>
      <c r="AA21" s="19">
        <v>18.3</v>
      </c>
      <c r="AB21" s="19">
        <v>0</v>
      </c>
      <c r="AC21" s="19">
        <v>18.3</v>
      </c>
      <c r="AD21" s="43"/>
      <c r="AE21" s="59">
        <v>40664</v>
      </c>
      <c r="AF21" s="59">
        <v>40694</v>
      </c>
      <c r="AG21" s="59">
        <v>40634</v>
      </c>
      <c r="AH21" s="43" t="s">
        <v>68</v>
      </c>
      <c r="AI21" s="7"/>
      <c r="AJ21" s="9">
        <v>130</v>
      </c>
      <c r="AK21" s="7">
        <v>62</v>
      </c>
      <c r="AL21" s="9">
        <v>3.66</v>
      </c>
      <c r="AM21" s="7"/>
      <c r="AN21" s="7">
        <v>-5</v>
      </c>
      <c r="AO21" s="7"/>
      <c r="AP21" s="9" t="s">
        <v>177</v>
      </c>
      <c r="AQ21" s="26">
        <f t="shared" si="45"/>
        <v>62</v>
      </c>
      <c r="AR21" s="26"/>
      <c r="AS21" s="29"/>
      <c r="AT21" s="26">
        <f t="shared" si="37"/>
        <v>62</v>
      </c>
      <c r="AU21" s="27"/>
      <c r="AV21" s="27"/>
      <c r="AW21" s="1">
        <f t="shared" si="38"/>
        <v>3.66</v>
      </c>
      <c r="AX21" s="30">
        <v>0</v>
      </c>
      <c r="AY21" s="30">
        <v>0</v>
      </c>
      <c r="AZ21" s="30">
        <v>0</v>
      </c>
      <c r="BA21" s="30">
        <v>0</v>
      </c>
      <c r="BB21" s="30">
        <v>0</v>
      </c>
      <c r="BC21" s="46">
        <f t="shared" si="39"/>
        <v>18.3</v>
      </c>
      <c r="BD21" s="1">
        <v>0</v>
      </c>
      <c r="BE21" s="1">
        <v>0</v>
      </c>
      <c r="BF21" s="1">
        <v>0</v>
      </c>
      <c r="BG21" s="46">
        <f t="shared" ref="BG21:BG29" si="49">BC21</f>
        <v>18.3</v>
      </c>
      <c r="BH21" s="1">
        <f t="shared" si="40"/>
        <v>0</v>
      </c>
      <c r="BI21" s="46">
        <f t="shared" si="41"/>
        <v>18.3</v>
      </c>
      <c r="BJ21" s="46">
        <f t="shared" ref="BJ21:BJ29" si="50">BC21</f>
        <v>18.3</v>
      </c>
      <c r="BK21" s="1">
        <f t="shared" si="42"/>
        <v>0</v>
      </c>
      <c r="BL21" s="46">
        <f t="shared" si="43"/>
        <v>18.3</v>
      </c>
      <c r="BM21" s="24">
        <v>0</v>
      </c>
      <c r="BN21" s="45">
        <f t="shared" si="16"/>
        <v>0</v>
      </c>
      <c r="BO21" s="45">
        <f t="shared" si="17"/>
        <v>0</v>
      </c>
      <c r="BP21" s="45">
        <f t="shared" si="18"/>
        <v>0</v>
      </c>
      <c r="BQ21" s="45">
        <f t="shared" si="19"/>
        <v>0</v>
      </c>
      <c r="BR21" s="41">
        <f t="shared" si="20"/>
        <v>0</v>
      </c>
      <c r="BS21" s="11">
        <f t="shared" si="21"/>
        <v>0</v>
      </c>
      <c r="BT21" s="3">
        <f t="shared" si="22"/>
        <v>0</v>
      </c>
      <c r="BU21" s="3">
        <f t="shared" si="23"/>
        <v>0</v>
      </c>
      <c r="BV21" s="3">
        <f t="shared" si="24"/>
        <v>0</v>
      </c>
      <c r="BW21" s="3">
        <f t="shared" si="25"/>
        <v>0</v>
      </c>
      <c r="BX21" s="3">
        <f t="shared" si="26"/>
        <v>0</v>
      </c>
      <c r="BY21" s="3">
        <f t="shared" si="27"/>
        <v>0</v>
      </c>
      <c r="BZ21" s="3">
        <f t="shared" si="28"/>
        <v>0</v>
      </c>
      <c r="CA21" s="3">
        <f t="shared" si="29"/>
        <v>0</v>
      </c>
      <c r="CB21" s="3">
        <f t="shared" si="30"/>
        <v>0</v>
      </c>
      <c r="CC21" s="3">
        <f t="shared" si="31"/>
        <v>0</v>
      </c>
      <c r="CD21" s="3">
        <f t="shared" si="32"/>
        <v>0</v>
      </c>
      <c r="CE21" s="3">
        <f t="shared" si="33"/>
        <v>0</v>
      </c>
      <c r="CF21" s="3">
        <f t="shared" si="34"/>
        <v>0</v>
      </c>
      <c r="CG21" s="3">
        <f t="shared" si="35"/>
        <v>0</v>
      </c>
      <c r="CH21" s="3">
        <f t="shared" si="36"/>
        <v>0</v>
      </c>
      <c r="CI21" s="22"/>
    </row>
    <row r="22" spans="2:87" x14ac:dyDescent="0.25">
      <c r="B22" s="5" t="s">
        <v>97</v>
      </c>
      <c r="C22" s="5" t="s">
        <v>115</v>
      </c>
      <c r="D22" s="5" t="s">
        <v>154</v>
      </c>
      <c r="E22" s="51">
        <v>40787</v>
      </c>
      <c r="F22" s="51">
        <v>40816</v>
      </c>
      <c r="G22" s="51">
        <v>40757</v>
      </c>
      <c r="H22" s="5">
        <v>130</v>
      </c>
      <c r="I22" s="5" t="s">
        <v>114</v>
      </c>
      <c r="J22" s="5">
        <v>5</v>
      </c>
      <c r="K22" s="5">
        <v>720</v>
      </c>
      <c r="L22" s="5">
        <v>3.66</v>
      </c>
      <c r="M22" s="5">
        <v>-18.3</v>
      </c>
      <c r="N22" s="5">
        <v>0</v>
      </c>
      <c r="O22" s="5">
        <v>0</v>
      </c>
      <c r="P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-18.3</v>
      </c>
      <c r="Y22" s="5">
        <v>0</v>
      </c>
      <c r="Z22" s="5">
        <v>-18.3</v>
      </c>
      <c r="AA22" s="5">
        <v>-18.3</v>
      </c>
      <c r="AB22" s="5">
        <v>0</v>
      </c>
      <c r="AC22" s="5">
        <v>-18.3</v>
      </c>
      <c r="AD22" s="37"/>
      <c r="AE22" s="37">
        <v>40787</v>
      </c>
      <c r="AF22" s="37">
        <v>40816</v>
      </c>
      <c r="AG22" s="37">
        <v>40757</v>
      </c>
      <c r="AH22" s="33" t="s">
        <v>68</v>
      </c>
      <c r="AI22" s="9"/>
      <c r="AJ22" s="9">
        <v>130</v>
      </c>
      <c r="AK22" s="9">
        <v>27</v>
      </c>
      <c r="AL22" s="9">
        <v>3.66</v>
      </c>
      <c r="AM22" s="35"/>
      <c r="AN22" s="7">
        <v>5</v>
      </c>
      <c r="AO22" s="7"/>
      <c r="AP22" s="9" t="s">
        <v>168</v>
      </c>
      <c r="AQ22" s="26">
        <f t="shared" si="45"/>
        <v>27</v>
      </c>
      <c r="AR22" s="26"/>
      <c r="AS22" s="29"/>
      <c r="AT22" s="26"/>
      <c r="AU22" s="27"/>
      <c r="AV22" s="27"/>
      <c r="AW22" s="1">
        <f t="shared" si="38"/>
        <v>3.66</v>
      </c>
      <c r="AX22" s="30">
        <v>0</v>
      </c>
      <c r="AY22" s="30">
        <v>0</v>
      </c>
      <c r="AZ22" s="30">
        <v>0</v>
      </c>
      <c r="BA22" s="30">
        <v>0</v>
      </c>
      <c r="BB22" s="30">
        <v>0</v>
      </c>
      <c r="BC22" s="46">
        <f t="shared" si="39"/>
        <v>-18.3</v>
      </c>
      <c r="BD22" s="1">
        <v>0</v>
      </c>
      <c r="BE22" s="1">
        <v>0</v>
      </c>
      <c r="BF22" s="1">
        <v>0</v>
      </c>
      <c r="BG22" s="46">
        <f t="shared" si="49"/>
        <v>-18.3</v>
      </c>
      <c r="BH22" s="1">
        <f t="shared" si="40"/>
        <v>0</v>
      </c>
      <c r="BI22" s="46">
        <f t="shared" si="41"/>
        <v>-18.3</v>
      </c>
      <c r="BJ22" s="46">
        <f t="shared" si="50"/>
        <v>-18.3</v>
      </c>
      <c r="BK22" s="1">
        <f t="shared" si="42"/>
        <v>0</v>
      </c>
      <c r="BL22" s="46">
        <f t="shared" si="43"/>
        <v>-18.3</v>
      </c>
      <c r="BM22" s="24">
        <v>0</v>
      </c>
      <c r="BN22" s="45">
        <f t="shared" si="16"/>
        <v>0</v>
      </c>
      <c r="BO22" s="45">
        <f t="shared" si="17"/>
        <v>0</v>
      </c>
      <c r="BP22" s="45">
        <f t="shared" si="18"/>
        <v>0</v>
      </c>
      <c r="BQ22" s="45">
        <f t="shared" si="19"/>
        <v>0</v>
      </c>
      <c r="BR22" s="41">
        <f t="shared" si="20"/>
        <v>0</v>
      </c>
      <c r="BS22" s="11">
        <f t="shared" si="21"/>
        <v>0</v>
      </c>
      <c r="BT22" s="3">
        <f t="shared" si="22"/>
        <v>0</v>
      </c>
      <c r="BU22" s="3">
        <f t="shared" si="23"/>
        <v>0</v>
      </c>
      <c r="BV22" s="3">
        <f t="shared" si="24"/>
        <v>0</v>
      </c>
      <c r="BW22" s="3">
        <f t="shared" si="25"/>
        <v>0</v>
      </c>
      <c r="BX22" s="3">
        <f t="shared" si="26"/>
        <v>0</v>
      </c>
      <c r="BY22" s="3">
        <f t="shared" si="27"/>
        <v>0</v>
      </c>
      <c r="BZ22" s="3">
        <f t="shared" si="28"/>
        <v>0</v>
      </c>
      <c r="CA22" s="3">
        <f t="shared" si="29"/>
        <v>0</v>
      </c>
      <c r="CB22" s="3">
        <f t="shared" si="30"/>
        <v>0</v>
      </c>
      <c r="CC22" s="3">
        <f t="shared" si="31"/>
        <v>0</v>
      </c>
      <c r="CD22" s="3">
        <f t="shared" si="32"/>
        <v>0</v>
      </c>
      <c r="CE22" s="3">
        <f t="shared" si="33"/>
        <v>0</v>
      </c>
      <c r="CF22" s="3">
        <f t="shared" si="34"/>
        <v>0</v>
      </c>
      <c r="CG22" s="3">
        <f t="shared" si="35"/>
        <v>0</v>
      </c>
      <c r="CH22" s="3">
        <f t="shared" si="36"/>
        <v>0</v>
      </c>
    </row>
    <row r="23" spans="2:87" ht="15.75" customHeight="1" x14ac:dyDescent="0.25">
      <c r="B23" s="14" t="s">
        <v>97</v>
      </c>
      <c r="C23" s="14" t="s">
        <v>115</v>
      </c>
      <c r="D23" s="14" t="s">
        <v>155</v>
      </c>
      <c r="E23" s="15">
        <v>40787</v>
      </c>
      <c r="F23" s="15">
        <v>40816</v>
      </c>
      <c r="G23" s="15">
        <v>40757</v>
      </c>
      <c r="H23" s="14">
        <v>130</v>
      </c>
      <c r="I23" s="14" t="s">
        <v>114</v>
      </c>
      <c r="J23" s="14">
        <v>5</v>
      </c>
      <c r="K23" s="14">
        <v>720</v>
      </c>
      <c r="L23" s="14">
        <v>3.66</v>
      </c>
      <c r="M23" s="14">
        <v>-18.3</v>
      </c>
      <c r="N23" s="14">
        <v>0</v>
      </c>
      <c r="O23" s="14">
        <v>0</v>
      </c>
      <c r="P23" s="14">
        <v>0</v>
      </c>
      <c r="Q23" s="14">
        <v>0</v>
      </c>
      <c r="R23" s="16">
        <v>0</v>
      </c>
      <c r="S23" s="14">
        <v>0</v>
      </c>
      <c r="T23" s="31">
        <v>0</v>
      </c>
      <c r="U23" s="14">
        <v>0</v>
      </c>
      <c r="V23" s="14">
        <v>0</v>
      </c>
      <c r="W23" s="14">
        <v>0</v>
      </c>
      <c r="X23" s="14">
        <v>-18.3</v>
      </c>
      <c r="Y23" s="14">
        <v>0</v>
      </c>
      <c r="Z23" s="14">
        <v>-18.3</v>
      </c>
      <c r="AA23" s="14">
        <v>-18.3</v>
      </c>
      <c r="AB23" s="14">
        <v>0</v>
      </c>
      <c r="AC23" s="14">
        <v>-18.3</v>
      </c>
      <c r="AD23" s="33"/>
      <c r="AE23" s="37">
        <v>40787</v>
      </c>
      <c r="AF23" s="37">
        <v>40816</v>
      </c>
      <c r="AG23" s="37">
        <v>40757</v>
      </c>
      <c r="AH23" s="33" t="s">
        <v>120</v>
      </c>
      <c r="AI23" s="7"/>
      <c r="AJ23" s="9">
        <v>130</v>
      </c>
      <c r="AK23" s="7">
        <v>77</v>
      </c>
      <c r="AL23" s="9">
        <v>3.66</v>
      </c>
      <c r="AM23" s="7"/>
      <c r="AN23" s="7">
        <v>5</v>
      </c>
      <c r="AO23" s="7"/>
      <c r="AP23" s="9" t="s">
        <v>169</v>
      </c>
      <c r="AQ23" s="26">
        <f t="shared" si="45"/>
        <v>77</v>
      </c>
      <c r="AR23" s="26"/>
      <c r="AS23" s="29"/>
      <c r="AT23" s="26"/>
      <c r="AU23" s="27"/>
      <c r="AV23" s="27"/>
      <c r="AW23" s="1">
        <f t="shared" si="38"/>
        <v>3.66</v>
      </c>
      <c r="AX23" s="30">
        <v>0</v>
      </c>
      <c r="AY23" s="30">
        <v>0</v>
      </c>
      <c r="AZ23" s="30">
        <v>0</v>
      </c>
      <c r="BA23" s="30">
        <v>0</v>
      </c>
      <c r="BB23" s="30">
        <v>0</v>
      </c>
      <c r="BC23" s="46">
        <f t="shared" si="39"/>
        <v>-18.3</v>
      </c>
      <c r="BD23" s="1">
        <v>0</v>
      </c>
      <c r="BE23" s="1">
        <v>0</v>
      </c>
      <c r="BF23" s="1">
        <v>0</v>
      </c>
      <c r="BG23" s="46">
        <f t="shared" si="49"/>
        <v>-18.3</v>
      </c>
      <c r="BH23" s="1">
        <f t="shared" si="40"/>
        <v>0</v>
      </c>
      <c r="BI23" s="46">
        <f t="shared" si="41"/>
        <v>-18.3</v>
      </c>
      <c r="BJ23" s="46">
        <f t="shared" si="50"/>
        <v>-18.3</v>
      </c>
      <c r="BK23" s="1">
        <f t="shared" si="42"/>
        <v>0</v>
      </c>
      <c r="BL23" s="46">
        <f t="shared" si="43"/>
        <v>-18.3</v>
      </c>
      <c r="BM23" s="24">
        <v>0</v>
      </c>
      <c r="BN23" s="45">
        <f t="shared" si="16"/>
        <v>0</v>
      </c>
      <c r="BO23" s="45">
        <f t="shared" si="17"/>
        <v>0</v>
      </c>
      <c r="BP23" s="45">
        <f t="shared" si="18"/>
        <v>0</v>
      </c>
      <c r="BQ23" s="45">
        <f t="shared" si="19"/>
        <v>0</v>
      </c>
      <c r="BR23" s="41">
        <f t="shared" si="20"/>
        <v>0</v>
      </c>
      <c r="BS23" s="11">
        <f t="shared" si="21"/>
        <v>0</v>
      </c>
      <c r="BT23" s="3">
        <f t="shared" si="22"/>
        <v>0</v>
      </c>
      <c r="BU23" s="3">
        <f t="shared" si="23"/>
        <v>0</v>
      </c>
      <c r="BV23" s="3">
        <f t="shared" si="24"/>
        <v>0</v>
      </c>
      <c r="BW23" s="3">
        <f t="shared" si="25"/>
        <v>0</v>
      </c>
      <c r="BX23" s="3">
        <f t="shared" si="26"/>
        <v>0</v>
      </c>
      <c r="BY23" s="3">
        <f t="shared" si="27"/>
        <v>0</v>
      </c>
      <c r="BZ23" s="3">
        <f t="shared" si="28"/>
        <v>0</v>
      </c>
      <c r="CA23" s="3">
        <f t="shared" si="29"/>
        <v>0</v>
      </c>
      <c r="CB23" s="3">
        <f t="shared" si="30"/>
        <v>0</v>
      </c>
      <c r="CC23" s="3">
        <f t="shared" si="31"/>
        <v>0</v>
      </c>
      <c r="CD23" s="3">
        <f t="shared" si="32"/>
        <v>0</v>
      </c>
      <c r="CE23" s="3">
        <f t="shared" si="33"/>
        <v>0</v>
      </c>
      <c r="CF23" s="3">
        <f t="shared" si="34"/>
        <v>0</v>
      </c>
      <c r="CG23" s="3">
        <f t="shared" si="35"/>
        <v>0</v>
      </c>
      <c r="CH23" s="3">
        <f t="shared" si="36"/>
        <v>0</v>
      </c>
    </row>
    <row r="24" spans="2:87" ht="15" customHeight="1" x14ac:dyDescent="0.25">
      <c r="B24" s="14" t="s">
        <v>97</v>
      </c>
      <c r="C24" s="14" t="s">
        <v>115</v>
      </c>
      <c r="D24" s="14" t="s">
        <v>156</v>
      </c>
      <c r="E24" s="15">
        <v>40787</v>
      </c>
      <c r="F24" s="15">
        <v>40816</v>
      </c>
      <c r="G24" s="15">
        <v>40757</v>
      </c>
      <c r="H24" s="14">
        <v>80</v>
      </c>
      <c r="I24" s="14" t="s">
        <v>114</v>
      </c>
      <c r="J24" s="14">
        <v>5</v>
      </c>
      <c r="K24" s="14">
        <v>720</v>
      </c>
      <c r="L24" s="14">
        <v>3.66</v>
      </c>
      <c r="M24" s="14">
        <v>-18.3</v>
      </c>
      <c r="N24" s="14">
        <v>0</v>
      </c>
      <c r="O24" s="14">
        <v>0</v>
      </c>
      <c r="P24" s="14">
        <v>0</v>
      </c>
      <c r="Q24" s="14">
        <v>0</v>
      </c>
      <c r="R24" s="16">
        <v>0</v>
      </c>
      <c r="S24" s="14">
        <v>0</v>
      </c>
      <c r="T24" s="31">
        <v>0</v>
      </c>
      <c r="U24" s="14">
        <v>0</v>
      </c>
      <c r="V24" s="14">
        <v>0</v>
      </c>
      <c r="W24" s="14">
        <v>0</v>
      </c>
      <c r="X24" s="14">
        <v>-18.3</v>
      </c>
      <c r="Y24" s="14">
        <v>0</v>
      </c>
      <c r="Z24" s="14">
        <v>-18.3</v>
      </c>
      <c r="AA24" s="14">
        <v>-18.3</v>
      </c>
      <c r="AB24" s="14">
        <v>0</v>
      </c>
      <c r="AC24" s="14">
        <v>-18.3</v>
      </c>
      <c r="AD24" s="43"/>
      <c r="AE24" s="37">
        <v>40787</v>
      </c>
      <c r="AF24" s="37">
        <v>40816</v>
      </c>
      <c r="AG24" s="37">
        <v>40757</v>
      </c>
      <c r="AH24" s="43" t="s">
        <v>68</v>
      </c>
      <c r="AI24" s="7"/>
      <c r="AJ24" s="9">
        <v>80</v>
      </c>
      <c r="AK24" s="7">
        <v>55</v>
      </c>
      <c r="AL24" s="9">
        <v>3.66</v>
      </c>
      <c r="AM24" s="7"/>
      <c r="AN24" s="7">
        <v>5</v>
      </c>
      <c r="AO24" s="7"/>
      <c r="AP24" s="9" t="s">
        <v>170</v>
      </c>
      <c r="AQ24" s="26">
        <f t="shared" si="45"/>
        <v>55</v>
      </c>
      <c r="AR24" s="26"/>
      <c r="AS24" s="29"/>
      <c r="AT24" s="26"/>
      <c r="AU24" s="27"/>
      <c r="AV24" s="27"/>
      <c r="AW24" s="1">
        <f t="shared" si="38"/>
        <v>3.66</v>
      </c>
      <c r="AX24" s="30">
        <v>0</v>
      </c>
      <c r="AY24" s="30">
        <v>0</v>
      </c>
      <c r="AZ24" s="30">
        <v>0</v>
      </c>
      <c r="BA24" s="30">
        <v>0</v>
      </c>
      <c r="BB24" s="30">
        <v>0</v>
      </c>
      <c r="BC24" s="46">
        <f t="shared" si="39"/>
        <v>-18.3</v>
      </c>
      <c r="BD24" s="1">
        <v>0</v>
      </c>
      <c r="BE24" s="1">
        <v>0</v>
      </c>
      <c r="BF24" s="1">
        <v>0</v>
      </c>
      <c r="BG24" s="46">
        <f t="shared" si="49"/>
        <v>-18.3</v>
      </c>
      <c r="BH24" s="1">
        <f t="shared" si="40"/>
        <v>0</v>
      </c>
      <c r="BI24" s="46">
        <f t="shared" si="41"/>
        <v>-18.3</v>
      </c>
      <c r="BJ24" s="46">
        <f t="shared" si="50"/>
        <v>-18.3</v>
      </c>
      <c r="BK24" s="1">
        <f t="shared" si="42"/>
        <v>0</v>
      </c>
      <c r="BL24" s="46">
        <f t="shared" si="43"/>
        <v>-18.3</v>
      </c>
      <c r="BM24" s="24">
        <v>0</v>
      </c>
      <c r="BN24" s="45">
        <f t="shared" si="16"/>
        <v>0</v>
      </c>
      <c r="BO24" s="45">
        <f t="shared" si="17"/>
        <v>0</v>
      </c>
      <c r="BP24" s="45">
        <f t="shared" si="18"/>
        <v>0</v>
      </c>
      <c r="BQ24" s="45">
        <f t="shared" si="19"/>
        <v>0</v>
      </c>
      <c r="BR24" s="41">
        <f t="shared" si="20"/>
        <v>0</v>
      </c>
      <c r="BS24" s="11">
        <f t="shared" si="21"/>
        <v>0</v>
      </c>
      <c r="BT24" s="3">
        <f t="shared" si="22"/>
        <v>0</v>
      </c>
      <c r="BU24" s="3">
        <f t="shared" si="23"/>
        <v>0</v>
      </c>
      <c r="BV24" s="3">
        <f t="shared" si="24"/>
        <v>0</v>
      </c>
      <c r="BW24" s="3">
        <f t="shared" si="25"/>
        <v>0</v>
      </c>
      <c r="BX24" s="3">
        <f t="shared" si="26"/>
        <v>0</v>
      </c>
      <c r="BY24" s="3">
        <f t="shared" si="27"/>
        <v>0</v>
      </c>
      <c r="BZ24" s="3">
        <f t="shared" si="28"/>
        <v>0</v>
      </c>
      <c r="CA24" s="3">
        <f t="shared" si="29"/>
        <v>0</v>
      </c>
      <c r="CB24" s="3">
        <f t="shared" si="30"/>
        <v>0</v>
      </c>
      <c r="CC24" s="3">
        <f t="shared" si="31"/>
        <v>0</v>
      </c>
      <c r="CD24" s="3">
        <f t="shared" si="32"/>
        <v>0</v>
      </c>
      <c r="CE24" s="3">
        <f t="shared" si="33"/>
        <v>0</v>
      </c>
      <c r="CF24" s="3">
        <f t="shared" si="34"/>
        <v>0</v>
      </c>
      <c r="CG24" s="3">
        <f t="shared" si="35"/>
        <v>0</v>
      </c>
      <c r="CH24" s="3">
        <f t="shared" si="36"/>
        <v>0</v>
      </c>
    </row>
    <row r="25" spans="2:87" x14ac:dyDescent="0.25">
      <c r="B25" s="5" t="s">
        <v>97</v>
      </c>
      <c r="C25" s="5" t="s">
        <v>115</v>
      </c>
      <c r="D25" s="5" t="s">
        <v>157</v>
      </c>
      <c r="E25" s="51">
        <v>40787</v>
      </c>
      <c r="F25" s="51">
        <v>40816</v>
      </c>
      <c r="G25" s="51">
        <v>40757</v>
      </c>
      <c r="H25" s="5">
        <v>80</v>
      </c>
      <c r="I25" s="5" t="s">
        <v>114</v>
      </c>
      <c r="J25" s="5">
        <v>5</v>
      </c>
      <c r="K25" s="5">
        <v>720</v>
      </c>
      <c r="L25" s="5">
        <v>3.66</v>
      </c>
      <c r="M25" s="5">
        <v>-18.3</v>
      </c>
      <c r="N25" s="5">
        <v>0</v>
      </c>
      <c r="O25" s="5">
        <v>0</v>
      </c>
      <c r="P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-18.3</v>
      </c>
      <c r="Y25" s="5">
        <v>0</v>
      </c>
      <c r="Z25" s="5">
        <v>-18.3</v>
      </c>
      <c r="AA25" s="5">
        <v>-18.3</v>
      </c>
      <c r="AB25" s="5">
        <v>0</v>
      </c>
      <c r="AC25" s="5">
        <v>-18.3</v>
      </c>
      <c r="AD25" s="43"/>
      <c r="AE25" s="37">
        <v>40787</v>
      </c>
      <c r="AF25" s="37">
        <v>40816</v>
      </c>
      <c r="AG25" s="37">
        <v>40757</v>
      </c>
      <c r="AH25" s="43" t="s">
        <v>120</v>
      </c>
      <c r="AI25" s="7"/>
      <c r="AJ25" s="9">
        <v>80</v>
      </c>
      <c r="AK25" s="7">
        <v>4</v>
      </c>
      <c r="AL25" s="9">
        <v>3.66</v>
      </c>
      <c r="AM25" s="7"/>
      <c r="AN25" s="7">
        <v>5</v>
      </c>
      <c r="AO25" s="7"/>
      <c r="AP25" s="9" t="s">
        <v>171</v>
      </c>
      <c r="AQ25" s="26">
        <f t="shared" si="45"/>
        <v>4</v>
      </c>
      <c r="AR25" s="26"/>
      <c r="AS25" s="29"/>
      <c r="AT25" s="26"/>
      <c r="AU25" s="27"/>
      <c r="AV25" s="27"/>
      <c r="AW25" s="1">
        <f t="shared" si="38"/>
        <v>3.66</v>
      </c>
      <c r="AX25" s="30">
        <v>0</v>
      </c>
      <c r="AY25" s="30">
        <v>0</v>
      </c>
      <c r="AZ25" s="30">
        <v>0</v>
      </c>
      <c r="BA25" s="30">
        <v>0</v>
      </c>
      <c r="BB25" s="30">
        <v>0</v>
      </c>
      <c r="BC25" s="46">
        <f t="shared" si="39"/>
        <v>-18.3</v>
      </c>
      <c r="BD25" s="1">
        <v>0</v>
      </c>
      <c r="BE25" s="1">
        <v>0</v>
      </c>
      <c r="BF25" s="1">
        <v>0</v>
      </c>
      <c r="BG25" s="46">
        <f t="shared" si="49"/>
        <v>-18.3</v>
      </c>
      <c r="BH25" s="1">
        <f t="shared" si="40"/>
        <v>0</v>
      </c>
      <c r="BI25" s="46">
        <f t="shared" si="41"/>
        <v>-18.3</v>
      </c>
      <c r="BJ25" s="46">
        <f t="shared" si="50"/>
        <v>-18.3</v>
      </c>
      <c r="BK25" s="1">
        <f t="shared" si="42"/>
        <v>0</v>
      </c>
      <c r="BL25" s="46">
        <f t="shared" si="43"/>
        <v>-18.3</v>
      </c>
      <c r="BM25" s="24">
        <v>0</v>
      </c>
      <c r="BN25" s="45">
        <f t="shared" si="16"/>
        <v>0</v>
      </c>
      <c r="BO25" s="45">
        <f t="shared" si="17"/>
        <v>0</v>
      </c>
      <c r="BP25" s="45">
        <f t="shared" si="18"/>
        <v>0</v>
      </c>
      <c r="BQ25" s="45">
        <f t="shared" si="19"/>
        <v>0</v>
      </c>
      <c r="BR25" s="41">
        <f t="shared" si="20"/>
        <v>0</v>
      </c>
      <c r="BS25" s="11">
        <f t="shared" si="21"/>
        <v>0</v>
      </c>
      <c r="BT25" s="3">
        <f t="shared" si="22"/>
        <v>0</v>
      </c>
      <c r="BU25" s="3">
        <f t="shared" si="23"/>
        <v>0</v>
      </c>
      <c r="BV25" s="3">
        <f t="shared" si="24"/>
        <v>0</v>
      </c>
      <c r="BW25" s="3">
        <f t="shared" si="25"/>
        <v>0</v>
      </c>
      <c r="BX25" s="3">
        <f t="shared" si="26"/>
        <v>0</v>
      </c>
      <c r="BY25" s="3">
        <f t="shared" si="27"/>
        <v>0</v>
      </c>
      <c r="BZ25" s="3">
        <f t="shared" si="28"/>
        <v>0</v>
      </c>
      <c r="CA25" s="3">
        <f t="shared" si="29"/>
        <v>0</v>
      </c>
      <c r="CB25" s="3">
        <f t="shared" si="30"/>
        <v>0</v>
      </c>
      <c r="CC25" s="3">
        <f t="shared" si="31"/>
        <v>0</v>
      </c>
      <c r="CD25" s="3">
        <f t="shared" si="32"/>
        <v>0</v>
      </c>
      <c r="CE25" s="3">
        <f t="shared" si="33"/>
        <v>0</v>
      </c>
      <c r="CF25" s="3">
        <f t="shared" si="34"/>
        <v>0</v>
      </c>
      <c r="CG25" s="3">
        <f t="shared" si="35"/>
        <v>0</v>
      </c>
      <c r="CH25" s="3">
        <f t="shared" si="36"/>
        <v>0</v>
      </c>
    </row>
    <row r="26" spans="2:87" x14ac:dyDescent="0.25">
      <c r="B26" s="5" t="s">
        <v>97</v>
      </c>
      <c r="C26" s="5" t="s">
        <v>98</v>
      </c>
      <c r="D26" s="5" t="s">
        <v>158</v>
      </c>
      <c r="E26" s="51">
        <v>40848</v>
      </c>
      <c r="F26" s="51">
        <v>40877</v>
      </c>
      <c r="G26" s="51">
        <v>40816</v>
      </c>
      <c r="H26" s="5">
        <v>130</v>
      </c>
      <c r="I26" s="5" t="s">
        <v>114</v>
      </c>
      <c r="J26" s="5">
        <v>5</v>
      </c>
      <c r="K26" s="5">
        <v>720</v>
      </c>
      <c r="L26" s="5">
        <v>3.66</v>
      </c>
      <c r="M26" s="5">
        <v>-18.3</v>
      </c>
      <c r="N26" s="5">
        <v>0</v>
      </c>
      <c r="O26" s="5">
        <v>0</v>
      </c>
      <c r="P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-18.3</v>
      </c>
      <c r="Y26" s="5">
        <v>0</v>
      </c>
      <c r="Z26" s="5">
        <v>-18.3</v>
      </c>
      <c r="AA26" s="5">
        <v>-18.3</v>
      </c>
      <c r="AB26" s="5">
        <v>0</v>
      </c>
      <c r="AC26" s="5">
        <v>-18.3</v>
      </c>
      <c r="AD26" s="43"/>
      <c r="AE26" s="59">
        <v>40848</v>
      </c>
      <c r="AF26" s="59">
        <v>40877</v>
      </c>
      <c r="AG26" s="59">
        <v>40816</v>
      </c>
      <c r="AH26" s="43" t="s">
        <v>68</v>
      </c>
      <c r="AI26" s="7"/>
      <c r="AJ26" s="9">
        <v>130</v>
      </c>
      <c r="AK26" s="7">
        <v>5</v>
      </c>
      <c r="AL26" s="9">
        <v>3.66</v>
      </c>
      <c r="AM26" s="7"/>
      <c r="AN26" s="7">
        <v>5</v>
      </c>
      <c r="AO26" s="7"/>
      <c r="AP26" s="9" t="s">
        <v>164</v>
      </c>
      <c r="AQ26" s="26">
        <f t="shared" si="45"/>
        <v>5</v>
      </c>
      <c r="AR26" s="26"/>
      <c r="AS26" s="29"/>
      <c r="AT26" s="26"/>
      <c r="AU26" s="27"/>
      <c r="AV26" s="27"/>
      <c r="AW26" s="1">
        <f t="shared" si="38"/>
        <v>3.66</v>
      </c>
      <c r="AX26" s="30">
        <v>0</v>
      </c>
      <c r="AY26" s="30">
        <v>0</v>
      </c>
      <c r="AZ26" s="30">
        <v>0</v>
      </c>
      <c r="BA26" s="30">
        <v>0</v>
      </c>
      <c r="BB26" s="30">
        <v>0</v>
      </c>
      <c r="BC26" s="46">
        <f t="shared" si="39"/>
        <v>-18.3</v>
      </c>
      <c r="BD26" s="1">
        <v>0</v>
      </c>
      <c r="BE26" s="1">
        <v>0</v>
      </c>
      <c r="BF26" s="1">
        <v>0</v>
      </c>
      <c r="BG26" s="46">
        <f t="shared" si="49"/>
        <v>-18.3</v>
      </c>
      <c r="BH26" s="1">
        <f t="shared" si="40"/>
        <v>0</v>
      </c>
      <c r="BI26" s="46">
        <f t="shared" si="41"/>
        <v>-18.3</v>
      </c>
      <c r="BJ26" s="46">
        <f t="shared" si="50"/>
        <v>-18.3</v>
      </c>
      <c r="BK26" s="1">
        <f t="shared" si="42"/>
        <v>0</v>
      </c>
      <c r="BL26" s="46">
        <f t="shared" si="43"/>
        <v>-18.3</v>
      </c>
      <c r="BM26" s="24">
        <v>0</v>
      </c>
      <c r="BN26" s="45">
        <f t="shared" si="16"/>
        <v>0</v>
      </c>
      <c r="BO26" s="45">
        <f t="shared" si="17"/>
        <v>0</v>
      </c>
      <c r="BP26" s="45">
        <f t="shared" si="18"/>
        <v>0</v>
      </c>
      <c r="BQ26" s="45">
        <f t="shared" si="19"/>
        <v>0</v>
      </c>
      <c r="BR26" s="41">
        <f t="shared" si="20"/>
        <v>0</v>
      </c>
      <c r="BS26" s="11">
        <f t="shared" si="21"/>
        <v>0</v>
      </c>
      <c r="BT26" s="3">
        <f t="shared" si="22"/>
        <v>0</v>
      </c>
      <c r="BU26" s="3">
        <f t="shared" si="23"/>
        <v>0</v>
      </c>
      <c r="BV26" s="3">
        <f t="shared" si="24"/>
        <v>0</v>
      </c>
      <c r="BW26" s="3">
        <f t="shared" si="25"/>
        <v>0</v>
      </c>
      <c r="BX26" s="3">
        <f t="shared" si="26"/>
        <v>0</v>
      </c>
      <c r="BY26" s="3">
        <f t="shared" si="27"/>
        <v>0</v>
      </c>
      <c r="BZ26" s="3">
        <f t="shared" si="28"/>
        <v>0</v>
      </c>
      <c r="CA26" s="3">
        <f t="shared" si="29"/>
        <v>0</v>
      </c>
      <c r="CB26" s="3">
        <f t="shared" si="30"/>
        <v>0</v>
      </c>
      <c r="CC26" s="3">
        <f t="shared" si="31"/>
        <v>0</v>
      </c>
      <c r="CD26" s="3">
        <f t="shared" si="32"/>
        <v>0</v>
      </c>
      <c r="CE26" s="3">
        <f t="shared" si="33"/>
        <v>0</v>
      </c>
      <c r="CF26" s="3">
        <f t="shared" si="34"/>
        <v>0</v>
      </c>
      <c r="CG26" s="3">
        <f t="shared" si="35"/>
        <v>0</v>
      </c>
      <c r="CH26" s="3">
        <f t="shared" si="36"/>
        <v>0</v>
      </c>
    </row>
    <row r="27" spans="2:87" x14ac:dyDescent="0.25">
      <c r="B27" s="5" t="s">
        <v>97</v>
      </c>
      <c r="C27" s="5" t="s">
        <v>98</v>
      </c>
      <c r="D27" s="5" t="s">
        <v>159</v>
      </c>
      <c r="E27" s="51">
        <v>40848</v>
      </c>
      <c r="F27" s="51">
        <v>40877</v>
      </c>
      <c r="G27" s="51">
        <v>40816</v>
      </c>
      <c r="H27" s="5">
        <v>130</v>
      </c>
      <c r="I27" s="5" t="s">
        <v>114</v>
      </c>
      <c r="J27" s="5">
        <v>5</v>
      </c>
      <c r="K27" s="5">
        <v>720</v>
      </c>
      <c r="L27" s="5">
        <v>3.66</v>
      </c>
      <c r="M27" s="5">
        <v>-18.3</v>
      </c>
      <c r="N27" s="5">
        <v>0</v>
      </c>
      <c r="O27" s="5">
        <v>0</v>
      </c>
      <c r="P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-18.3</v>
      </c>
      <c r="Y27" s="5">
        <v>0</v>
      </c>
      <c r="Z27" s="5">
        <v>-18.3</v>
      </c>
      <c r="AA27" s="5">
        <v>-18.3</v>
      </c>
      <c r="AB27" s="5">
        <v>0</v>
      </c>
      <c r="AC27" s="5">
        <v>-18.3</v>
      </c>
      <c r="AD27" s="43"/>
      <c r="AE27" s="59">
        <v>40848</v>
      </c>
      <c r="AF27" s="59">
        <v>40877</v>
      </c>
      <c r="AG27" s="59">
        <v>40816</v>
      </c>
      <c r="AH27" s="43" t="s">
        <v>120</v>
      </c>
      <c r="AI27" s="7"/>
      <c r="AJ27" s="9">
        <v>130</v>
      </c>
      <c r="AK27" s="7">
        <v>55</v>
      </c>
      <c r="AL27" s="9">
        <v>3.66</v>
      </c>
      <c r="AM27" s="7"/>
      <c r="AN27" s="7">
        <v>5</v>
      </c>
      <c r="AO27" s="7"/>
      <c r="AP27" s="9" t="s">
        <v>165</v>
      </c>
      <c r="AQ27" s="26">
        <f t="shared" si="45"/>
        <v>55</v>
      </c>
      <c r="AR27" s="26"/>
      <c r="AS27" s="29"/>
      <c r="AT27" s="26"/>
      <c r="AU27" s="27"/>
      <c r="AV27" s="27"/>
      <c r="AW27" s="1">
        <f t="shared" si="38"/>
        <v>3.66</v>
      </c>
      <c r="AX27" s="30">
        <v>0</v>
      </c>
      <c r="AY27" s="30">
        <v>0</v>
      </c>
      <c r="AZ27" s="30">
        <v>0</v>
      </c>
      <c r="BA27" s="30">
        <v>0</v>
      </c>
      <c r="BB27" s="30">
        <v>0</v>
      </c>
      <c r="BC27" s="46">
        <f t="shared" si="39"/>
        <v>-18.3</v>
      </c>
      <c r="BD27" s="1">
        <v>0</v>
      </c>
      <c r="BE27" s="1">
        <v>0</v>
      </c>
      <c r="BF27" s="1">
        <v>0</v>
      </c>
      <c r="BG27" s="46">
        <f t="shared" si="49"/>
        <v>-18.3</v>
      </c>
      <c r="BH27" s="1">
        <f t="shared" si="40"/>
        <v>0</v>
      </c>
      <c r="BI27" s="46">
        <f t="shared" si="41"/>
        <v>-18.3</v>
      </c>
      <c r="BJ27" s="46">
        <f t="shared" si="50"/>
        <v>-18.3</v>
      </c>
      <c r="BK27" s="1">
        <f t="shared" si="42"/>
        <v>0</v>
      </c>
      <c r="BL27" s="46">
        <f t="shared" si="43"/>
        <v>-18.3</v>
      </c>
      <c r="BM27" s="24">
        <v>0</v>
      </c>
      <c r="BN27" s="45">
        <f t="shared" si="16"/>
        <v>0</v>
      </c>
      <c r="BO27" s="45">
        <f t="shared" si="17"/>
        <v>0</v>
      </c>
      <c r="BP27" s="45">
        <f t="shared" si="18"/>
        <v>0</v>
      </c>
      <c r="BQ27" s="45">
        <f t="shared" si="19"/>
        <v>0</v>
      </c>
      <c r="BR27" s="41">
        <f t="shared" si="20"/>
        <v>0</v>
      </c>
      <c r="BS27" s="11">
        <f t="shared" si="21"/>
        <v>0</v>
      </c>
      <c r="BT27" s="3">
        <f t="shared" si="22"/>
        <v>0</v>
      </c>
      <c r="BU27" s="3">
        <f t="shared" si="23"/>
        <v>0</v>
      </c>
      <c r="BV27" s="3">
        <f t="shared" si="24"/>
        <v>0</v>
      </c>
      <c r="BW27" s="3">
        <f t="shared" si="25"/>
        <v>0</v>
      </c>
      <c r="BX27" s="3">
        <f t="shared" si="26"/>
        <v>0</v>
      </c>
      <c r="BY27" s="3">
        <f t="shared" si="27"/>
        <v>0</v>
      </c>
      <c r="BZ27" s="3">
        <f t="shared" si="28"/>
        <v>0</v>
      </c>
      <c r="CA27" s="3">
        <f t="shared" si="29"/>
        <v>0</v>
      </c>
      <c r="CB27" s="3">
        <f t="shared" si="30"/>
        <v>0</v>
      </c>
      <c r="CC27" s="3">
        <f t="shared" si="31"/>
        <v>0</v>
      </c>
      <c r="CD27" s="3">
        <f t="shared" si="32"/>
        <v>0</v>
      </c>
      <c r="CE27" s="3">
        <f t="shared" si="33"/>
        <v>0</v>
      </c>
      <c r="CF27" s="3">
        <f t="shared" si="34"/>
        <v>0</v>
      </c>
      <c r="CG27" s="3">
        <f t="shared" si="35"/>
        <v>0</v>
      </c>
      <c r="CH27" s="3">
        <f t="shared" si="36"/>
        <v>0</v>
      </c>
    </row>
    <row r="28" spans="2:87" x14ac:dyDescent="0.25">
      <c r="B28" s="5" t="s">
        <v>97</v>
      </c>
      <c r="C28" s="5" t="s">
        <v>98</v>
      </c>
      <c r="D28" s="5" t="s">
        <v>160</v>
      </c>
      <c r="E28" s="51">
        <v>40848</v>
      </c>
      <c r="F28" s="51">
        <v>40877</v>
      </c>
      <c r="G28" s="51">
        <v>40816</v>
      </c>
      <c r="H28" s="5">
        <v>80</v>
      </c>
      <c r="I28" s="5" t="s">
        <v>114</v>
      </c>
      <c r="J28" s="5">
        <v>5</v>
      </c>
      <c r="K28" s="5">
        <v>720</v>
      </c>
      <c r="L28" s="5">
        <v>3.66</v>
      </c>
      <c r="M28" s="5">
        <v>-18.3</v>
      </c>
      <c r="N28" s="5">
        <v>0</v>
      </c>
      <c r="O28" s="5">
        <v>0</v>
      </c>
      <c r="P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-18.3</v>
      </c>
      <c r="Y28" s="5">
        <v>0</v>
      </c>
      <c r="Z28" s="5">
        <v>-18.3</v>
      </c>
      <c r="AA28" s="5">
        <v>-18.3</v>
      </c>
      <c r="AB28" s="5">
        <v>0</v>
      </c>
      <c r="AC28" s="5">
        <v>-18.3</v>
      </c>
      <c r="AD28" s="43"/>
      <c r="AE28" s="59">
        <v>40848</v>
      </c>
      <c r="AF28" s="59">
        <v>40877</v>
      </c>
      <c r="AG28" s="59">
        <v>40816</v>
      </c>
      <c r="AH28" s="43" t="s">
        <v>68</v>
      </c>
      <c r="AI28" s="7"/>
      <c r="AJ28" s="9">
        <v>80</v>
      </c>
      <c r="AK28" s="7">
        <v>92</v>
      </c>
      <c r="AL28" s="9">
        <v>3.66</v>
      </c>
      <c r="AM28" s="7"/>
      <c r="AN28" s="7">
        <v>5</v>
      </c>
      <c r="AO28" s="7"/>
      <c r="AP28" s="9" t="s">
        <v>166</v>
      </c>
      <c r="AQ28" s="26">
        <f t="shared" si="45"/>
        <v>92</v>
      </c>
      <c r="AR28" s="26"/>
      <c r="AS28" s="29"/>
      <c r="AT28" s="26"/>
      <c r="AU28" s="27"/>
      <c r="AV28" s="27"/>
      <c r="AW28" s="1">
        <f t="shared" si="38"/>
        <v>3.66</v>
      </c>
      <c r="AX28" s="30">
        <v>0</v>
      </c>
      <c r="AY28" s="30">
        <v>0</v>
      </c>
      <c r="AZ28" s="30">
        <v>0</v>
      </c>
      <c r="BA28" s="30">
        <v>0</v>
      </c>
      <c r="BB28" s="30">
        <v>0</v>
      </c>
      <c r="BC28" s="46">
        <f t="shared" si="39"/>
        <v>-18.3</v>
      </c>
      <c r="BD28" s="1">
        <v>0</v>
      </c>
      <c r="BE28" s="1">
        <v>0</v>
      </c>
      <c r="BF28" s="1">
        <v>0</v>
      </c>
      <c r="BG28" s="46">
        <f t="shared" si="49"/>
        <v>-18.3</v>
      </c>
      <c r="BH28" s="1">
        <f t="shared" si="40"/>
        <v>0</v>
      </c>
      <c r="BI28" s="46">
        <f t="shared" si="41"/>
        <v>-18.3</v>
      </c>
      <c r="BJ28" s="46">
        <f t="shared" si="50"/>
        <v>-18.3</v>
      </c>
      <c r="BK28" s="1">
        <f t="shared" si="42"/>
        <v>0</v>
      </c>
      <c r="BL28" s="46">
        <f t="shared" si="43"/>
        <v>-18.3</v>
      </c>
      <c r="BM28" s="24">
        <v>0</v>
      </c>
      <c r="BN28" s="45">
        <f t="shared" si="16"/>
        <v>0</v>
      </c>
      <c r="BO28" s="45">
        <f t="shared" si="17"/>
        <v>0</v>
      </c>
      <c r="BP28" s="45">
        <f t="shared" si="18"/>
        <v>0</v>
      </c>
      <c r="BQ28" s="45">
        <f t="shared" si="19"/>
        <v>0</v>
      </c>
      <c r="BR28" s="41">
        <f t="shared" si="20"/>
        <v>0</v>
      </c>
      <c r="BS28" s="11">
        <f t="shared" si="21"/>
        <v>0</v>
      </c>
      <c r="BT28" s="3">
        <f t="shared" si="22"/>
        <v>0</v>
      </c>
      <c r="BU28" s="3">
        <f t="shared" si="23"/>
        <v>0</v>
      </c>
      <c r="BV28" s="3">
        <f t="shared" si="24"/>
        <v>0</v>
      </c>
      <c r="BW28" s="3">
        <f t="shared" si="25"/>
        <v>0</v>
      </c>
      <c r="BX28" s="3">
        <f t="shared" si="26"/>
        <v>0</v>
      </c>
      <c r="BY28" s="3">
        <f t="shared" si="27"/>
        <v>0</v>
      </c>
      <c r="BZ28" s="3">
        <f t="shared" si="28"/>
        <v>0</v>
      </c>
      <c r="CA28" s="3">
        <f t="shared" si="29"/>
        <v>0</v>
      </c>
      <c r="CB28" s="3">
        <f t="shared" si="30"/>
        <v>0</v>
      </c>
      <c r="CC28" s="3">
        <f t="shared" si="31"/>
        <v>0</v>
      </c>
      <c r="CD28" s="3">
        <f t="shared" si="32"/>
        <v>0</v>
      </c>
      <c r="CE28" s="3">
        <f t="shared" si="33"/>
        <v>0</v>
      </c>
      <c r="CF28" s="3">
        <f t="shared" si="34"/>
        <v>0</v>
      </c>
      <c r="CG28" s="3">
        <f t="shared" si="35"/>
        <v>0</v>
      </c>
      <c r="CH28" s="3">
        <f t="shared" si="36"/>
        <v>0</v>
      </c>
    </row>
    <row r="29" spans="2:87" x14ac:dyDescent="0.25">
      <c r="B29" s="5" t="s">
        <v>97</v>
      </c>
      <c r="C29" s="5" t="s">
        <v>98</v>
      </c>
      <c r="D29" s="5" t="s">
        <v>161</v>
      </c>
      <c r="E29" s="51">
        <v>40848</v>
      </c>
      <c r="F29" s="51">
        <v>40877</v>
      </c>
      <c r="G29" s="51">
        <v>40816</v>
      </c>
      <c r="H29" s="5">
        <v>80</v>
      </c>
      <c r="I29" s="5" t="s">
        <v>114</v>
      </c>
      <c r="J29" s="5">
        <v>5</v>
      </c>
      <c r="K29" s="5">
        <v>720</v>
      </c>
      <c r="L29" s="5">
        <v>3.66</v>
      </c>
      <c r="M29" s="5">
        <v>-18.3</v>
      </c>
      <c r="N29" s="5">
        <v>0</v>
      </c>
      <c r="O29" s="5">
        <v>0</v>
      </c>
      <c r="P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-18.3</v>
      </c>
      <c r="Y29" s="5">
        <v>0</v>
      </c>
      <c r="Z29" s="5">
        <v>-18.3</v>
      </c>
      <c r="AA29" s="5">
        <v>-18.3</v>
      </c>
      <c r="AB29" s="5">
        <v>0</v>
      </c>
      <c r="AC29" s="5">
        <v>-18.3</v>
      </c>
      <c r="AD29" s="43"/>
      <c r="AE29" s="59">
        <v>40848</v>
      </c>
      <c r="AF29" s="59">
        <v>40877</v>
      </c>
      <c r="AG29" s="59">
        <v>40816</v>
      </c>
      <c r="AH29" s="43" t="s">
        <v>120</v>
      </c>
      <c r="AI29" s="7"/>
      <c r="AJ29" s="9">
        <v>80</v>
      </c>
      <c r="AK29" s="7">
        <v>3</v>
      </c>
      <c r="AL29" s="9">
        <v>3.66</v>
      </c>
      <c r="AM29" s="7"/>
      <c r="AN29" s="7">
        <v>5</v>
      </c>
      <c r="AO29" s="7"/>
      <c r="AP29" s="9" t="s">
        <v>167</v>
      </c>
      <c r="AQ29" s="26">
        <f t="shared" si="45"/>
        <v>3</v>
      </c>
      <c r="AR29" s="26"/>
      <c r="AS29" s="29"/>
      <c r="AT29" s="26"/>
      <c r="AU29" s="27"/>
      <c r="AV29" s="27"/>
      <c r="AW29" s="1">
        <f t="shared" si="38"/>
        <v>3.66</v>
      </c>
      <c r="AX29" s="30">
        <v>0</v>
      </c>
      <c r="AY29" s="30">
        <v>0</v>
      </c>
      <c r="AZ29" s="30">
        <v>0</v>
      </c>
      <c r="BA29" s="30">
        <v>0</v>
      </c>
      <c r="BB29" s="30">
        <v>0</v>
      </c>
      <c r="BC29" s="46">
        <f t="shared" si="39"/>
        <v>-18.3</v>
      </c>
      <c r="BD29" s="1">
        <v>0</v>
      </c>
      <c r="BE29" s="1">
        <v>0</v>
      </c>
      <c r="BF29" s="1">
        <v>0</v>
      </c>
      <c r="BG29" s="46">
        <f t="shared" si="49"/>
        <v>-18.3</v>
      </c>
      <c r="BH29" s="1">
        <f t="shared" si="40"/>
        <v>0</v>
      </c>
      <c r="BI29" s="46">
        <f t="shared" si="41"/>
        <v>-18.3</v>
      </c>
      <c r="BJ29" s="46">
        <f t="shared" si="50"/>
        <v>-18.3</v>
      </c>
      <c r="BK29" s="1">
        <f t="shared" si="42"/>
        <v>0</v>
      </c>
      <c r="BL29" s="46">
        <f t="shared" si="43"/>
        <v>-18.3</v>
      </c>
      <c r="BM29" s="24">
        <v>0</v>
      </c>
      <c r="BN29" s="45">
        <f t="shared" si="16"/>
        <v>0</v>
      </c>
      <c r="BO29" s="45">
        <f t="shared" si="17"/>
        <v>0</v>
      </c>
      <c r="BP29" s="45">
        <f t="shared" si="18"/>
        <v>0</v>
      </c>
      <c r="BQ29" s="45">
        <f t="shared" si="19"/>
        <v>0</v>
      </c>
      <c r="BR29" s="41">
        <f t="shared" si="20"/>
        <v>0</v>
      </c>
      <c r="BS29" s="11">
        <f t="shared" si="21"/>
        <v>0</v>
      </c>
      <c r="BT29" s="3">
        <f t="shared" si="22"/>
        <v>0</v>
      </c>
      <c r="BU29" s="3">
        <f t="shared" si="23"/>
        <v>0</v>
      </c>
      <c r="BV29" s="3">
        <f t="shared" si="24"/>
        <v>0</v>
      </c>
      <c r="BW29" s="3">
        <f t="shared" si="25"/>
        <v>0</v>
      </c>
      <c r="BX29" s="3">
        <f t="shared" si="26"/>
        <v>0</v>
      </c>
      <c r="BY29" s="3">
        <f t="shared" si="27"/>
        <v>0</v>
      </c>
      <c r="BZ29" s="3">
        <f t="shared" si="28"/>
        <v>0</v>
      </c>
      <c r="CA29" s="3">
        <f t="shared" si="29"/>
        <v>0</v>
      </c>
      <c r="CB29" s="3">
        <f t="shared" si="30"/>
        <v>0</v>
      </c>
      <c r="CC29" s="3">
        <f t="shared" si="31"/>
        <v>0</v>
      </c>
      <c r="CD29" s="3">
        <f t="shared" si="32"/>
        <v>0</v>
      </c>
      <c r="CE29" s="3">
        <f t="shared" si="33"/>
        <v>0</v>
      </c>
      <c r="CF29" s="3">
        <f t="shared" si="34"/>
        <v>0</v>
      </c>
      <c r="CG29" s="3">
        <f t="shared" si="35"/>
        <v>0</v>
      </c>
      <c r="CH29" s="3">
        <f t="shared" si="36"/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CI33"/>
  <sheetViews>
    <sheetView topLeftCell="BG3" workbookViewId="0">
      <selection activeCell="B13" sqref="B13:AC29"/>
    </sheetView>
  </sheetViews>
  <sheetFormatPr baseColWidth="10" defaultColWidth="11.42578125" defaultRowHeight="15" x14ac:dyDescent="0.25"/>
  <cols>
    <col min="1" max="1" width="11.42578125" style="32"/>
    <col min="2" max="2" width="15.140625" style="32" bestFit="1" customWidth="1"/>
    <col min="3" max="3" width="21.85546875" style="32" customWidth="1"/>
    <col min="4" max="4" width="29.140625" style="32" customWidth="1"/>
    <col min="5" max="5" width="11.42578125" style="23"/>
    <col min="6" max="6" width="22.85546875" style="23" customWidth="1"/>
    <col min="7" max="7" width="14.7109375" style="23" bestFit="1" customWidth="1"/>
    <col min="8" max="8" width="6.140625" style="32" bestFit="1" customWidth="1"/>
    <col min="9" max="9" width="22.5703125" style="32" bestFit="1" customWidth="1"/>
    <col min="10" max="10" width="15" style="32" bestFit="1" customWidth="1"/>
    <col min="11" max="19" width="11.42578125" style="32"/>
    <col min="20" max="20" width="14" style="32" customWidth="1"/>
    <col min="21" max="28" width="11.42578125" style="32"/>
    <col min="29" max="29" width="12" style="32" bestFit="1" customWidth="1"/>
    <col min="30" max="32" width="12" style="32" customWidth="1"/>
    <col min="33" max="33" width="15.7109375" style="32" customWidth="1"/>
    <col min="34" max="34" width="12" style="32" customWidth="1"/>
    <col min="35" max="35" width="19.42578125" style="32" bestFit="1" customWidth="1"/>
    <col min="36" max="36" width="19.42578125" style="32" customWidth="1"/>
    <col min="37" max="37" width="15.42578125" style="32" bestFit="1" customWidth="1"/>
    <col min="38" max="38" width="15.42578125" style="32" customWidth="1"/>
    <col min="39" max="39" width="19.42578125" style="32" bestFit="1" customWidth="1"/>
    <col min="40" max="40" width="9.28515625" style="32" customWidth="1"/>
    <col min="41" max="41" width="11.42578125" style="32"/>
    <col min="42" max="42" width="22" style="32" bestFit="1" customWidth="1"/>
    <col min="43" max="43" width="16.5703125" style="32" bestFit="1" customWidth="1"/>
    <col min="44" max="45" width="16.5703125" style="32" customWidth="1"/>
    <col min="46" max="46" width="11.42578125" style="32"/>
    <col min="47" max="47" width="29.85546875" style="32" customWidth="1"/>
    <col min="48" max="48" width="16.42578125" style="32" bestFit="1" customWidth="1"/>
    <col min="49" max="49" width="13.5703125" style="32" bestFit="1" customWidth="1"/>
    <col min="50" max="50" width="13.28515625" style="32" bestFit="1" customWidth="1"/>
    <col min="51" max="51" width="12.5703125" style="32" bestFit="1" customWidth="1"/>
    <col min="52" max="52" width="13.7109375" style="32" bestFit="1" customWidth="1"/>
    <col min="53" max="53" width="13.42578125" style="32" bestFit="1" customWidth="1"/>
    <col min="54" max="54" width="15.5703125" style="32" customWidth="1"/>
    <col min="55" max="55" width="16.42578125" style="32" bestFit="1" customWidth="1"/>
    <col min="56" max="56" width="17.42578125" style="32" customWidth="1"/>
    <col min="57" max="57" width="11.42578125" style="32"/>
    <col min="58" max="58" width="14" style="32" customWidth="1"/>
    <col min="59" max="59" width="17" style="32" customWidth="1"/>
    <col min="60" max="64" width="11.42578125" style="32"/>
    <col min="65" max="65" width="13.28515625" style="32" bestFit="1" customWidth="1"/>
    <col min="66" max="68" width="13.28515625" style="32" customWidth="1"/>
    <col min="69" max="69" width="10.42578125" style="32" bestFit="1" customWidth="1"/>
    <col min="70" max="70" width="13.5703125" style="32" bestFit="1" customWidth="1"/>
    <col min="71" max="71" width="14.28515625" style="32" bestFit="1" customWidth="1"/>
    <col min="72" max="72" width="15" style="32" bestFit="1" customWidth="1"/>
    <col min="73" max="73" width="12.7109375" style="32" bestFit="1" customWidth="1"/>
    <col min="74" max="75" width="11.42578125" style="32"/>
    <col min="76" max="77" width="14.85546875" style="32" bestFit="1" customWidth="1"/>
    <col min="78" max="78" width="17.140625" style="32" bestFit="1" customWidth="1"/>
    <col min="79" max="16384" width="11.42578125" style="32"/>
  </cols>
  <sheetData>
    <row r="1" spans="2:87" x14ac:dyDescent="0.25">
      <c r="AP1" s="34"/>
    </row>
    <row r="2" spans="2:87" ht="13.5" customHeight="1" x14ac:dyDescent="0.25">
      <c r="AP2" s="34"/>
    </row>
    <row r="3" spans="2:87" x14ac:dyDescent="0.25">
      <c r="D3" s="5" t="s">
        <v>67</v>
      </c>
      <c r="AI3" s="13"/>
      <c r="AJ3" s="13"/>
      <c r="AP3" s="34"/>
    </row>
    <row r="4" spans="2:87" x14ac:dyDescent="0.25">
      <c r="D4" s="7" t="s">
        <v>63</v>
      </c>
      <c r="AP4" s="21"/>
    </row>
    <row r="5" spans="2:87" x14ac:dyDescent="0.25">
      <c r="D5" s="2" t="s">
        <v>65</v>
      </c>
      <c r="AP5" s="21"/>
    </row>
    <row r="6" spans="2:87" x14ac:dyDescent="0.25">
      <c r="D6" s="4" t="s">
        <v>66</v>
      </c>
    </row>
    <row r="7" spans="2:87" x14ac:dyDescent="0.25">
      <c r="D7" s="21"/>
    </row>
    <row r="8" spans="2:87" ht="93" customHeight="1" x14ac:dyDescent="0.25">
      <c r="D8" s="32" t="s">
        <v>62</v>
      </c>
      <c r="E8" s="50" t="s">
        <v>146</v>
      </c>
      <c r="AI8" s="22"/>
      <c r="AJ8" s="22"/>
    </row>
    <row r="9" spans="2:87" x14ac:dyDescent="0.25">
      <c r="D9" s="32" t="s">
        <v>64</v>
      </c>
      <c r="E9" s="23">
        <v>40862</v>
      </c>
    </row>
    <row r="10" spans="2:87" x14ac:dyDescent="0.25">
      <c r="B10" s="32" t="s">
        <v>185</v>
      </c>
      <c r="C10" s="32">
        <v>0.73967780936503802</v>
      </c>
      <c r="D10" s="21" t="s">
        <v>183</v>
      </c>
      <c r="E10" s="60">
        <v>0.73307563081571603</v>
      </c>
      <c r="F10" s="23" t="s">
        <v>189</v>
      </c>
      <c r="G10" s="60">
        <v>0.73355917942121895</v>
      </c>
      <c r="H10" s="60"/>
      <c r="I10" s="32" t="s">
        <v>191</v>
      </c>
      <c r="J10" s="60">
        <v>0.69793105484863005</v>
      </c>
    </row>
    <row r="11" spans="2:87" x14ac:dyDescent="0.25">
      <c r="D11" s="21"/>
      <c r="E11" s="60"/>
      <c r="F11" s="23" t="s">
        <v>190</v>
      </c>
      <c r="G11" s="60">
        <v>0.70757700632417397</v>
      </c>
      <c r="I11" s="32" t="s">
        <v>192</v>
      </c>
      <c r="J11" s="60">
        <v>0.73950226321150303</v>
      </c>
    </row>
    <row r="12" spans="2:87" x14ac:dyDescent="0.25">
      <c r="B12" s="14" t="s">
        <v>8</v>
      </c>
      <c r="C12" s="14" t="s">
        <v>17</v>
      </c>
      <c r="D12" s="14" t="s">
        <v>9</v>
      </c>
      <c r="E12" s="28" t="s">
        <v>10</v>
      </c>
      <c r="F12" s="28" t="s">
        <v>11</v>
      </c>
      <c r="G12" s="28" t="s">
        <v>1</v>
      </c>
      <c r="H12" s="14" t="s">
        <v>2</v>
      </c>
      <c r="I12" s="14" t="s">
        <v>12</v>
      </c>
      <c r="J12" s="14" t="s">
        <v>13</v>
      </c>
      <c r="K12" s="14" t="s">
        <v>0</v>
      </c>
      <c r="L12" s="14" t="s">
        <v>14</v>
      </c>
      <c r="M12" s="14" t="s">
        <v>15</v>
      </c>
      <c r="N12" s="14" t="s">
        <v>16</v>
      </c>
      <c r="O12" s="14" t="s">
        <v>18</v>
      </c>
      <c r="P12" s="14" t="s">
        <v>19</v>
      </c>
      <c r="Q12" s="14" t="s">
        <v>20</v>
      </c>
      <c r="R12" s="14" t="s">
        <v>6</v>
      </c>
      <c r="S12" s="14" t="s">
        <v>7</v>
      </c>
      <c r="T12" s="14" t="s">
        <v>4</v>
      </c>
      <c r="U12" s="14" t="s">
        <v>21</v>
      </c>
      <c r="V12" s="14" t="s">
        <v>22</v>
      </c>
      <c r="W12" s="14" t="s">
        <v>23</v>
      </c>
      <c r="X12" s="14" t="s">
        <v>24</v>
      </c>
      <c r="Y12" s="14" t="s">
        <v>25</v>
      </c>
      <c r="Z12" s="14" t="s">
        <v>26</v>
      </c>
      <c r="AA12" s="14" t="s">
        <v>27</v>
      </c>
      <c r="AB12" s="14" t="s">
        <v>28</v>
      </c>
      <c r="AC12" s="14" t="s">
        <v>29</v>
      </c>
      <c r="AD12" s="36" t="s">
        <v>88</v>
      </c>
      <c r="AE12" s="36" t="s">
        <v>10</v>
      </c>
      <c r="AF12" s="36" t="s">
        <v>11</v>
      </c>
      <c r="AG12" s="36" t="s">
        <v>84</v>
      </c>
      <c r="AH12" s="36" t="s">
        <v>31</v>
      </c>
      <c r="AI12" s="36" t="s">
        <v>32</v>
      </c>
      <c r="AJ12" s="36" t="s">
        <v>2</v>
      </c>
      <c r="AK12" s="36" t="s">
        <v>188</v>
      </c>
      <c r="AL12" s="36" t="s">
        <v>87</v>
      </c>
      <c r="AM12" s="6" t="s">
        <v>5</v>
      </c>
      <c r="AN12" s="36" t="s">
        <v>86</v>
      </c>
      <c r="AO12" s="36" t="s">
        <v>78</v>
      </c>
      <c r="AP12" s="36" t="s">
        <v>89</v>
      </c>
      <c r="AQ12" s="39" t="s">
        <v>83</v>
      </c>
      <c r="AR12" s="39" t="s">
        <v>193</v>
      </c>
      <c r="AS12" s="8" t="s">
        <v>94</v>
      </c>
      <c r="AT12" s="1" t="s">
        <v>30</v>
      </c>
      <c r="AU12" s="1" t="s">
        <v>74</v>
      </c>
      <c r="AV12" s="1" t="s">
        <v>85</v>
      </c>
      <c r="AW12" s="1" t="s">
        <v>71</v>
      </c>
      <c r="AX12" s="30" t="s">
        <v>33</v>
      </c>
      <c r="AY12" s="30" t="s">
        <v>34</v>
      </c>
      <c r="AZ12" s="30" t="s">
        <v>35</v>
      </c>
      <c r="BA12" s="30" t="s">
        <v>36</v>
      </c>
      <c r="BB12" s="30" t="s">
        <v>37</v>
      </c>
      <c r="BC12" s="10" t="s">
        <v>38</v>
      </c>
      <c r="BD12" s="10" t="s">
        <v>39</v>
      </c>
      <c r="BE12" s="10" t="s">
        <v>40</v>
      </c>
      <c r="BF12" s="10" t="s">
        <v>41</v>
      </c>
      <c r="BG12" s="10" t="s">
        <v>42</v>
      </c>
      <c r="BH12" s="10" t="s">
        <v>43</v>
      </c>
      <c r="BI12" s="10" t="s">
        <v>44</v>
      </c>
      <c r="BJ12" s="10" t="s">
        <v>45</v>
      </c>
      <c r="BK12" s="10" t="s">
        <v>46</v>
      </c>
      <c r="BL12" s="10" t="s">
        <v>47</v>
      </c>
      <c r="BM12" s="10" t="s">
        <v>72</v>
      </c>
      <c r="BN12" s="44" t="s">
        <v>90</v>
      </c>
      <c r="BO12" s="44" t="s">
        <v>91</v>
      </c>
      <c r="BP12" s="44" t="s">
        <v>92</v>
      </c>
      <c r="BQ12" s="44" t="s">
        <v>93</v>
      </c>
      <c r="BR12" s="11" t="s">
        <v>73</v>
      </c>
      <c r="BS12" s="11" t="s">
        <v>57</v>
      </c>
      <c r="BT12" s="11" t="s">
        <v>48</v>
      </c>
      <c r="BU12" s="11" t="s">
        <v>49</v>
      </c>
      <c r="BV12" s="11" t="s">
        <v>50</v>
      </c>
      <c r="BW12" s="11" t="s">
        <v>58</v>
      </c>
      <c r="BX12" s="11" t="s">
        <v>51</v>
      </c>
      <c r="BY12" s="11" t="s">
        <v>52</v>
      </c>
      <c r="BZ12" s="11" t="s">
        <v>53</v>
      </c>
      <c r="CA12" s="11" t="s">
        <v>54</v>
      </c>
      <c r="CB12" s="11" t="s">
        <v>55</v>
      </c>
      <c r="CC12" s="11" t="s">
        <v>56</v>
      </c>
      <c r="CD12" s="11" t="s">
        <v>69</v>
      </c>
      <c r="CE12" s="11" t="s">
        <v>59</v>
      </c>
      <c r="CF12" s="11" t="s">
        <v>70</v>
      </c>
      <c r="CG12" s="11" t="s">
        <v>60</v>
      </c>
      <c r="CH12" s="11" t="s">
        <v>61</v>
      </c>
    </row>
    <row r="13" spans="2:87" x14ac:dyDescent="0.25">
      <c r="B13" s="14" t="s">
        <v>97</v>
      </c>
      <c r="C13" s="14" t="s">
        <v>105</v>
      </c>
      <c r="D13" s="14" t="s">
        <v>148</v>
      </c>
      <c r="E13" s="15">
        <v>40969</v>
      </c>
      <c r="F13" s="15">
        <v>40999</v>
      </c>
      <c r="G13" s="15">
        <v>40939</v>
      </c>
      <c r="H13" s="14">
        <v>130</v>
      </c>
      <c r="I13" s="14" t="s">
        <v>3</v>
      </c>
      <c r="J13" s="14">
        <v>5</v>
      </c>
      <c r="K13" s="14">
        <v>743</v>
      </c>
      <c r="L13" s="14">
        <v>2.7072207822760399</v>
      </c>
      <c r="M13" s="14">
        <v>-13.5361039113802</v>
      </c>
      <c r="N13" s="14">
        <v>18.3268907703929</v>
      </c>
      <c r="O13" s="14">
        <v>0.55394471893633901</v>
      </c>
      <c r="P13" s="14">
        <v>4.9305363650158102E-3</v>
      </c>
      <c r="Q13" s="14">
        <v>20.137978200836301</v>
      </c>
      <c r="R13" s="14">
        <v>-0.20244102419947699</v>
      </c>
      <c r="S13" s="14">
        <v>-5.3458838815506304</v>
      </c>
      <c r="T13" s="14">
        <v>1.57040422719391</v>
      </c>
      <c r="U13" s="14">
        <v>91.634453851964594</v>
      </c>
      <c r="V13" s="14">
        <v>0</v>
      </c>
      <c r="W13" s="14">
        <v>0</v>
      </c>
      <c r="X13" s="14">
        <v>78.270764444243994</v>
      </c>
      <c r="Y13" s="14">
        <v>0</v>
      </c>
      <c r="Z13" s="14">
        <v>78.270764444243994</v>
      </c>
      <c r="AA13" s="14">
        <v>78.270764444243994</v>
      </c>
      <c r="AB13" s="14">
        <v>0</v>
      </c>
      <c r="AC13" s="14">
        <v>78.270764444243994</v>
      </c>
      <c r="AD13" s="37">
        <v>40856</v>
      </c>
      <c r="AE13" s="37">
        <v>40969</v>
      </c>
      <c r="AF13" s="37">
        <v>40999</v>
      </c>
      <c r="AG13" s="37">
        <v>40939</v>
      </c>
      <c r="AH13" s="33" t="s">
        <v>68</v>
      </c>
      <c r="AI13" s="9">
        <v>110.32</v>
      </c>
      <c r="AJ13" s="9">
        <v>130</v>
      </c>
      <c r="AK13" s="9">
        <v>25</v>
      </c>
      <c r="AL13" s="9">
        <v>3.66</v>
      </c>
      <c r="AM13" s="35">
        <v>4.1121659461830096E-3</v>
      </c>
      <c r="AN13" s="7">
        <v>5</v>
      </c>
      <c r="AO13" s="7"/>
      <c r="AP13" s="9" t="s">
        <v>172</v>
      </c>
      <c r="AQ13" s="26">
        <f>AK13</f>
        <v>25</v>
      </c>
      <c r="AR13" s="26">
        <v>1.57040422719391</v>
      </c>
      <c r="AS13" s="29">
        <f>ImpliedVolatilityB76Future($E$9,AH13,AI13,AJ13,AG13,AQ13,AM13)</f>
        <v>1.5696099683633082</v>
      </c>
      <c r="AT13" s="26">
        <f>AQ13</f>
        <v>25</v>
      </c>
      <c r="AU13" s="27">
        <f>B76Future($E$9,AH13,AI13,AJ13,AG13,AS13,AM13)</f>
        <v>25.000000000000014</v>
      </c>
      <c r="AV13" s="27">
        <f>1.52</f>
        <v>1.52</v>
      </c>
      <c r="AW13" s="1">
        <f>AL13*$C$10</f>
        <v>2.7072207822760395</v>
      </c>
      <c r="AX13" s="30">
        <f>B76Delta($E$9,AH13,AI13,AJ13,AG13,AR13,AM13)</f>
        <v>0.55394471895345387</v>
      </c>
      <c r="AY13" s="30">
        <f>B76Gamma($E$9,AH13,AI13,AJ13,AG13,AR13,AM13)</f>
        <v>4.9305363646207322E-3</v>
      </c>
      <c r="AZ13" s="30">
        <f>B76Vega($E$9,AH13,AI13,AJ13,AG13,AR13,AM13)</f>
        <v>20.137978202204888</v>
      </c>
      <c r="BA13" s="30">
        <f>B76Theta($E$9,AH13,AI13,AJ13,AG13,AR13,AM13)</f>
        <v>-0.2024410241831445</v>
      </c>
      <c r="BB13" s="30">
        <f>B76Rho($E$9,AH13,AI13,AJ13,AG13,AR13,AM13)</f>
        <v>-5.3458838828766613</v>
      </c>
      <c r="BC13" s="46">
        <f>-AL13*AN13*$C$10</f>
        <v>-13.536103911380197</v>
      </c>
      <c r="BD13" s="46">
        <f>AQ13*AN13*$E$10</f>
        <v>91.634453851964508</v>
      </c>
      <c r="BE13" s="46">
        <v>0</v>
      </c>
      <c r="BF13" s="1"/>
      <c r="BG13" s="46">
        <f>(AK13-AL13)*AN13*$G$10</f>
        <v>78.270764444244065</v>
      </c>
      <c r="BH13" s="46">
        <f>BE13</f>
        <v>0</v>
      </c>
      <c r="BI13" s="46">
        <f>BG13+BH13</f>
        <v>78.270764444244065</v>
      </c>
      <c r="BJ13" s="46">
        <f>(AK13-AL13)*AN13*$G$10</f>
        <v>78.270764444244065</v>
      </c>
      <c r="BK13" s="46">
        <f>BE13</f>
        <v>0</v>
      </c>
      <c r="BL13" s="46">
        <f>BJ13+BK13</f>
        <v>78.270764444244065</v>
      </c>
      <c r="BM13" s="24">
        <f>AX13*AN13</f>
        <v>2.7697235947672691</v>
      </c>
      <c r="BN13" s="45">
        <f t="shared" ref="BN13:BP15" si="0">QaAssert(E13,AE13)</f>
        <v>0</v>
      </c>
      <c r="BO13" s="45">
        <f t="shared" si="0"/>
        <v>0</v>
      </c>
      <c r="BP13" s="45">
        <f t="shared" si="0"/>
        <v>0</v>
      </c>
      <c r="BQ13" s="45">
        <f>QaAssert(H13,AJ13)</f>
        <v>0</v>
      </c>
      <c r="BR13" s="41">
        <f>QaAssert(T13,AS13)</f>
        <v>5.0602305452351892E-4</v>
      </c>
      <c r="BS13" s="11">
        <f>QaAssert(L13,AW13)</f>
        <v>0</v>
      </c>
      <c r="BT13" s="3">
        <f>QaAssert(M13,BC13)</f>
        <v>0</v>
      </c>
      <c r="BU13" s="3">
        <f t="shared" ref="BU13:CC15" si="1">QaAssert(U13,BD13)</f>
        <v>0</v>
      </c>
      <c r="BV13" s="3">
        <f t="shared" si="1"/>
        <v>0</v>
      </c>
      <c r="BW13" s="3">
        <f t="shared" si="1"/>
        <v>0</v>
      </c>
      <c r="BX13" s="3">
        <f t="shared" si="1"/>
        <v>0</v>
      </c>
      <c r="BY13" s="3">
        <f t="shared" si="1"/>
        <v>0</v>
      </c>
      <c r="BZ13" s="3">
        <f t="shared" si="1"/>
        <v>0</v>
      </c>
      <c r="CA13" s="3">
        <f t="shared" si="1"/>
        <v>0</v>
      </c>
      <c r="CB13" s="3">
        <f t="shared" si="1"/>
        <v>0</v>
      </c>
      <c r="CC13" s="3">
        <f t="shared" si="1"/>
        <v>0</v>
      </c>
      <c r="CD13" s="3">
        <f t="shared" ref="CD13:CF15" si="2">QaAssert(O13,AX13)</f>
        <v>0</v>
      </c>
      <c r="CE13" s="3">
        <f t="shared" si="2"/>
        <v>0</v>
      </c>
      <c r="CF13" s="3">
        <f t="shared" si="2"/>
        <v>0</v>
      </c>
      <c r="CG13" s="3">
        <f>QaAssert(S13,BB13)</f>
        <v>0</v>
      </c>
      <c r="CH13" s="3">
        <f>QaAssert(R13,BA13)</f>
        <v>0</v>
      </c>
      <c r="CI13" s="22"/>
    </row>
    <row r="14" spans="2:87" x14ac:dyDescent="0.25">
      <c r="B14" s="14" t="s">
        <v>97</v>
      </c>
      <c r="C14" s="14" t="s">
        <v>105</v>
      </c>
      <c r="D14" s="14" t="s">
        <v>149</v>
      </c>
      <c r="E14" s="15">
        <v>40969</v>
      </c>
      <c r="F14" s="15">
        <v>40999</v>
      </c>
      <c r="G14" s="15">
        <v>40939</v>
      </c>
      <c r="H14" s="14">
        <v>130</v>
      </c>
      <c r="I14" s="14" t="s">
        <v>3</v>
      </c>
      <c r="J14" s="14">
        <v>5</v>
      </c>
      <c r="K14" s="14">
        <v>743</v>
      </c>
      <c r="L14" s="14">
        <v>2.7072207822760399</v>
      </c>
      <c r="M14" s="14">
        <v>-13.5361039113802</v>
      </c>
      <c r="N14" s="14">
        <v>32.988403386707297</v>
      </c>
      <c r="O14" s="14">
        <v>-0.44261266443689101</v>
      </c>
      <c r="P14" s="14">
        <v>4.8720923153573303E-3</v>
      </c>
      <c r="Q14" s="14">
        <v>20.1196552576966</v>
      </c>
      <c r="R14" s="14">
        <v>-0.20427419566726401</v>
      </c>
      <c r="S14" s="14">
        <v>-9.6225909867911401</v>
      </c>
      <c r="T14" s="14">
        <v>1.5877962863744299</v>
      </c>
      <c r="U14" s="14">
        <v>164.942016933536</v>
      </c>
      <c r="V14" s="14">
        <v>0</v>
      </c>
      <c r="W14" s="14">
        <v>0</v>
      </c>
      <c r="X14" s="14">
        <v>151.62668238636601</v>
      </c>
      <c r="Y14" s="14">
        <v>0</v>
      </c>
      <c r="Z14" s="14">
        <v>151.62668238636601</v>
      </c>
      <c r="AA14" s="14">
        <v>151.62668238636601</v>
      </c>
      <c r="AB14" s="14">
        <v>0</v>
      </c>
      <c r="AC14" s="17">
        <v>151.62668238636601</v>
      </c>
      <c r="AD14" s="37">
        <v>40856</v>
      </c>
      <c r="AE14" s="37">
        <v>40969</v>
      </c>
      <c r="AF14" s="37">
        <v>40999</v>
      </c>
      <c r="AG14" s="37">
        <v>40939</v>
      </c>
      <c r="AH14" s="33" t="s">
        <v>120</v>
      </c>
      <c r="AI14" s="9">
        <v>110.32</v>
      </c>
      <c r="AJ14" s="9">
        <v>130</v>
      </c>
      <c r="AK14" s="9">
        <v>45</v>
      </c>
      <c r="AL14" s="9">
        <v>3.66</v>
      </c>
      <c r="AM14" s="35">
        <v>4.1121659461830096E-3</v>
      </c>
      <c r="AN14" s="7">
        <v>5</v>
      </c>
      <c r="AO14" s="7"/>
      <c r="AP14" s="9" t="s">
        <v>173</v>
      </c>
      <c r="AQ14" s="26">
        <f t="shared" ref="AQ14:AQ16" si="3">AK14</f>
        <v>45</v>
      </c>
      <c r="AR14" s="26">
        <v>1.5877962863744299</v>
      </c>
      <c r="AS14" s="29">
        <f>ImpliedVolatilityB76Future($E$9,AH14,AI14,AJ14,AG14,AQ14,AM14)</f>
        <v>1.5863653439662564</v>
      </c>
      <c r="AT14" s="26">
        <f t="shared" ref="AT14:AT21" si="4">AQ14</f>
        <v>45</v>
      </c>
      <c r="AU14" s="27">
        <f>B76Future($E$9,AH14,AI14,AJ14,AG14,AS14,AM14)</f>
        <v>44.999999999999986</v>
      </c>
      <c r="AV14" s="27">
        <f t="shared" ref="AV14:AV19" si="5">1.52</f>
        <v>1.52</v>
      </c>
      <c r="AW14" s="1">
        <f t="shared" ref="AW14:AW17" si="6">AL14*$C$10</f>
        <v>2.7072207822760395</v>
      </c>
      <c r="AX14" s="30">
        <f>B76Delta($E$9,AH14,AI14,AJ14,AG14,AR14,AM14)</f>
        <v>-0.44261266441960728</v>
      </c>
      <c r="AY14" s="30">
        <f>B76Gamma($E$9,AH14,AI14,AJ14,AG14,AR14,AM14)</f>
        <v>4.8720923149654753E-3</v>
      </c>
      <c r="AZ14" s="30">
        <f>B76Vega($E$9,AH14,AI14,AJ14,AG14,AR14,AM14)</f>
        <v>20.119655259057911</v>
      </c>
      <c r="BA14" s="30">
        <f>B76Theta($E$9,AH14,AI14,AJ14,AG14,AR14,AM14)</f>
        <v>-0.20427419565070415</v>
      </c>
      <c r="BB14" s="30">
        <f>B76Rho($E$9,AH14,AI14,AJ14,AG14,AR14,AM14)</f>
        <v>-9.6225909887614787</v>
      </c>
      <c r="BC14" s="46">
        <f t="shared" ref="BC14:BC19" si="7">-AL14*AN14*$C$10</f>
        <v>-13.536103911380197</v>
      </c>
      <c r="BD14" s="46">
        <f>AQ14*AN14*$E$10</f>
        <v>164.94201693353611</v>
      </c>
      <c r="BE14" s="46">
        <v>0</v>
      </c>
      <c r="BF14" s="1"/>
      <c r="BG14" s="46">
        <f t="shared" ref="BG14:BG16" si="8">(AK14-AL14)*AN14*$G$10</f>
        <v>151.62668238636596</v>
      </c>
      <c r="BH14" s="46">
        <f t="shared" ref="BH14:BH29" si="9">BE14</f>
        <v>0</v>
      </c>
      <c r="BI14" s="46">
        <f t="shared" ref="BI14:BI29" si="10">BG14+BH14</f>
        <v>151.62668238636596</v>
      </c>
      <c r="BJ14" s="46">
        <f>(AK14-AL14)*AN14*$G$10</f>
        <v>151.62668238636596</v>
      </c>
      <c r="BK14" s="46">
        <f t="shared" ref="BK14:BK29" si="11">BE14</f>
        <v>0</v>
      </c>
      <c r="BL14" s="46">
        <f t="shared" ref="BL14:BL29" si="12">BJ14+BK14</f>
        <v>151.62668238636596</v>
      </c>
      <c r="BM14" s="24">
        <f t="shared" ref="BM14:BM19" si="13">AX14*AN14</f>
        <v>-2.2130633220980362</v>
      </c>
      <c r="BN14" s="45">
        <f t="shared" si="0"/>
        <v>0</v>
      </c>
      <c r="BO14" s="45">
        <f t="shared" si="0"/>
        <v>0</v>
      </c>
      <c r="BP14" s="45">
        <f t="shared" si="0"/>
        <v>0</v>
      </c>
      <c r="BQ14" s="45">
        <f>QaAssert(H14,AJ14)</f>
        <v>0</v>
      </c>
      <c r="BR14" s="41">
        <f>QaAssert(T14,AS14)</f>
        <v>9.0202576198228357E-4</v>
      </c>
      <c r="BS14" s="11">
        <f>QaAssert(L14,AW14)</f>
        <v>0</v>
      </c>
      <c r="BT14" s="3">
        <f>QaAssert(M14,BC14)</f>
        <v>0</v>
      </c>
      <c r="BU14" s="3">
        <f t="shared" si="1"/>
        <v>0</v>
      </c>
      <c r="BV14" s="3">
        <f t="shared" si="1"/>
        <v>0</v>
      </c>
      <c r="BW14" s="3">
        <f t="shared" si="1"/>
        <v>0</v>
      </c>
      <c r="BX14" s="3">
        <f t="shared" si="1"/>
        <v>0</v>
      </c>
      <c r="BY14" s="3">
        <f t="shared" si="1"/>
        <v>0</v>
      </c>
      <c r="BZ14" s="3">
        <f t="shared" si="1"/>
        <v>0</v>
      </c>
      <c r="CA14" s="3">
        <f t="shared" si="1"/>
        <v>0</v>
      </c>
      <c r="CB14" s="3">
        <f t="shared" si="1"/>
        <v>0</v>
      </c>
      <c r="CC14" s="3">
        <f t="shared" si="1"/>
        <v>0</v>
      </c>
      <c r="CD14" s="3">
        <f t="shared" si="2"/>
        <v>0</v>
      </c>
      <c r="CE14" s="3">
        <f t="shared" si="2"/>
        <v>0</v>
      </c>
      <c r="CF14" s="3">
        <f t="shared" si="2"/>
        <v>0</v>
      </c>
      <c r="CG14" s="3">
        <f>QaAssert(S14,BB14)</f>
        <v>0</v>
      </c>
      <c r="CH14" s="3">
        <f>QaAssert(R14,BA14)</f>
        <v>0</v>
      </c>
      <c r="CI14" s="22"/>
    </row>
    <row r="15" spans="2:87" x14ac:dyDescent="0.25">
      <c r="B15" s="17" t="s">
        <v>97</v>
      </c>
      <c r="C15" s="17" t="s">
        <v>105</v>
      </c>
      <c r="D15" s="17" t="s">
        <v>150</v>
      </c>
      <c r="E15" s="15">
        <v>40969</v>
      </c>
      <c r="F15" s="15">
        <v>40999</v>
      </c>
      <c r="G15" s="15">
        <v>40939</v>
      </c>
      <c r="H15" s="14">
        <v>80</v>
      </c>
      <c r="I15" s="18" t="s">
        <v>3</v>
      </c>
      <c r="J15" s="14">
        <v>5</v>
      </c>
      <c r="K15" s="14">
        <v>743</v>
      </c>
      <c r="L15" s="14">
        <v>2.7072207822760399</v>
      </c>
      <c r="M15" s="14">
        <v>-13.5361039113802</v>
      </c>
      <c r="N15" s="14">
        <v>62.311428619335899</v>
      </c>
      <c r="O15" s="14">
        <v>0.89342988814407598</v>
      </c>
      <c r="P15" s="14">
        <v>7.5008495199453196E-4</v>
      </c>
      <c r="Q15" s="14">
        <v>9.3151867085986009</v>
      </c>
      <c r="R15" s="14">
        <v>-0.28416842341621201</v>
      </c>
      <c r="S15" s="14">
        <v>-18.176005197272101</v>
      </c>
      <c r="T15" s="14">
        <v>4.7749724119338204</v>
      </c>
      <c r="U15" s="14">
        <v>311.55714309668002</v>
      </c>
      <c r="V15" s="14">
        <v>0</v>
      </c>
      <c r="W15" s="14">
        <v>0</v>
      </c>
      <c r="X15" s="14">
        <v>298.33851827061</v>
      </c>
      <c r="Y15" s="14">
        <v>0</v>
      </c>
      <c r="Z15" s="14">
        <v>298.33851827061</v>
      </c>
      <c r="AA15" s="14">
        <v>298.33851827061</v>
      </c>
      <c r="AB15" s="14">
        <v>0</v>
      </c>
      <c r="AC15" s="14">
        <v>298.33851827061</v>
      </c>
      <c r="AD15" s="37">
        <v>40856</v>
      </c>
      <c r="AE15" s="37">
        <v>40969</v>
      </c>
      <c r="AF15" s="37">
        <v>40999</v>
      </c>
      <c r="AG15" s="37">
        <v>40939</v>
      </c>
      <c r="AH15" s="33" t="s">
        <v>68</v>
      </c>
      <c r="AI15" s="7">
        <v>110.32</v>
      </c>
      <c r="AJ15" s="9">
        <v>80</v>
      </c>
      <c r="AK15" s="7">
        <v>85</v>
      </c>
      <c r="AL15" s="9">
        <v>3.66</v>
      </c>
      <c r="AM15" s="35">
        <v>4.1121659461830096E-3</v>
      </c>
      <c r="AN15" s="7">
        <v>5</v>
      </c>
      <c r="AO15" s="7"/>
      <c r="AP15" s="9" t="s">
        <v>174</v>
      </c>
      <c r="AQ15" s="26">
        <f t="shared" si="3"/>
        <v>85</v>
      </c>
      <c r="AR15" s="26">
        <v>4.7749724119338097</v>
      </c>
      <c r="AS15" s="29">
        <f>ImpliedVolatilityB76Future($E$9,AH15,AI15,AJ15,AG15,AQ15,AM15)</f>
        <v>4.7691385421166901</v>
      </c>
      <c r="AT15" s="26">
        <f t="shared" si="4"/>
        <v>85</v>
      </c>
      <c r="AU15" s="27">
        <f>B76Future($E$9,AH15,AI15,AJ15,AG15,AS15,AM15)</f>
        <v>85.000000000000028</v>
      </c>
      <c r="AV15" s="27">
        <f t="shared" si="5"/>
        <v>1.52</v>
      </c>
      <c r="AW15" s="1">
        <f t="shared" si="6"/>
        <v>2.7072207822760395</v>
      </c>
      <c r="AX15" s="30">
        <f>B76Delta($E$9,AH15,AI15,AJ15,AG15,AR15,AM15)</f>
        <v>0.89342988825983438</v>
      </c>
      <c r="AY15" s="30">
        <f>B76Gamma($E$9,AH15,AI15,AJ15,AG15,AR15,AM15)</f>
        <v>7.5008495187234943E-4</v>
      </c>
      <c r="AZ15" s="30">
        <f>B76Vega($E$9,AH15,AI15,AJ15,AG15,AR15,AM15)</f>
        <v>9.3151867084607183</v>
      </c>
      <c r="BA15" s="30">
        <f>B76Theta($E$9,AH15,AI15,AJ15,AG15,AR15,AM15)</f>
        <v>-0.28416842336951109</v>
      </c>
      <c r="BB15" s="30">
        <f>B76Rho($E$9,AH15,AI15,AJ15,AG15,AR15,AM15)</f>
        <v>-18.176005203227351</v>
      </c>
      <c r="BC15" s="46">
        <f t="shared" si="7"/>
        <v>-13.536103911380197</v>
      </c>
      <c r="BD15" s="46">
        <f>AQ15*AN15*$E$10</f>
        <v>311.55714309667934</v>
      </c>
      <c r="BE15" s="46">
        <v>0</v>
      </c>
      <c r="BF15" s="1"/>
      <c r="BG15" s="46">
        <f t="shared" si="8"/>
        <v>298.33851827060977</v>
      </c>
      <c r="BH15" s="46">
        <f t="shared" si="9"/>
        <v>0</v>
      </c>
      <c r="BI15" s="46">
        <f t="shared" si="10"/>
        <v>298.33851827060977</v>
      </c>
      <c r="BJ15" s="46">
        <f>(AK15-AL15)*AN15*$G$10</f>
        <v>298.33851827060977</v>
      </c>
      <c r="BK15" s="46">
        <f t="shared" si="11"/>
        <v>0</v>
      </c>
      <c r="BL15" s="46">
        <f t="shared" si="12"/>
        <v>298.33851827060977</v>
      </c>
      <c r="BM15" s="24">
        <f t="shared" si="13"/>
        <v>4.4671494412991724</v>
      </c>
      <c r="BN15" s="45">
        <f t="shared" si="0"/>
        <v>0</v>
      </c>
      <c r="BO15" s="45">
        <f t="shared" si="0"/>
        <v>0</v>
      </c>
      <c r="BP15" s="45">
        <f t="shared" si="0"/>
        <v>0</v>
      </c>
      <c r="BQ15" s="45">
        <f>QaAssert(H15,AJ15)</f>
        <v>0</v>
      </c>
      <c r="BR15" s="41">
        <f>QaAssert(T15,AS15)</f>
        <v>1.2232544233325982E-3</v>
      </c>
      <c r="BS15" s="11">
        <f>QaAssert(L15,AW15)</f>
        <v>0</v>
      </c>
      <c r="BT15" s="3">
        <f>QaAssert(M15,BC15)</f>
        <v>0</v>
      </c>
      <c r="BU15" s="3">
        <f t="shared" si="1"/>
        <v>0</v>
      </c>
      <c r="BV15" s="3">
        <f t="shared" si="1"/>
        <v>0</v>
      </c>
      <c r="BW15" s="3">
        <f t="shared" si="1"/>
        <v>0</v>
      </c>
      <c r="BX15" s="3">
        <f t="shared" si="1"/>
        <v>0</v>
      </c>
      <c r="BY15" s="3">
        <f t="shared" si="1"/>
        <v>0</v>
      </c>
      <c r="BZ15" s="3">
        <f t="shared" si="1"/>
        <v>0</v>
      </c>
      <c r="CA15" s="3">
        <f t="shared" si="1"/>
        <v>0</v>
      </c>
      <c r="CB15" s="3">
        <f t="shared" si="1"/>
        <v>0</v>
      </c>
      <c r="CC15" s="3">
        <f t="shared" si="1"/>
        <v>0</v>
      </c>
      <c r="CD15" s="3">
        <f t="shared" si="2"/>
        <v>0</v>
      </c>
      <c r="CE15" s="3">
        <f t="shared" si="2"/>
        <v>0</v>
      </c>
      <c r="CF15" s="3">
        <f t="shared" si="2"/>
        <v>0</v>
      </c>
      <c r="CG15" s="3">
        <f>QaAssert(S15,BB15)</f>
        <v>0</v>
      </c>
      <c r="CH15" s="3">
        <f>QaAssert(R15,BA15)</f>
        <v>0</v>
      </c>
      <c r="CI15" s="22"/>
    </row>
    <row r="16" spans="2:87" x14ac:dyDescent="0.25">
      <c r="B16" s="19" t="s">
        <v>97</v>
      </c>
      <c r="C16" s="19" t="s">
        <v>105</v>
      </c>
      <c r="D16" s="19" t="s">
        <v>151</v>
      </c>
      <c r="E16" s="20">
        <v>40969</v>
      </c>
      <c r="F16" s="20">
        <v>40999</v>
      </c>
      <c r="G16" s="20">
        <v>40939</v>
      </c>
      <c r="H16" s="19">
        <v>80</v>
      </c>
      <c r="I16" s="19" t="s">
        <v>3</v>
      </c>
      <c r="J16" s="19">
        <v>5</v>
      </c>
      <c r="K16" s="19">
        <v>743</v>
      </c>
      <c r="L16" s="19">
        <v>2.7072207822760399</v>
      </c>
      <c r="M16" s="19">
        <v>-13.5361039113802</v>
      </c>
      <c r="N16" s="19">
        <v>25.657647078550099</v>
      </c>
      <c r="O16" s="19">
        <v>-0.176075734190795</v>
      </c>
      <c r="P16" s="19">
        <v>1.6739531723896201E-3</v>
      </c>
      <c r="Q16" s="19">
        <v>13.1929851781757</v>
      </c>
      <c r="R16" s="19">
        <v>-0.25588146859142302</v>
      </c>
      <c r="S16" s="19">
        <v>-7.4842374341708799</v>
      </c>
      <c r="T16" s="19">
        <v>3.0303272085148301</v>
      </c>
      <c r="U16" s="19">
        <v>128.28823539275001</v>
      </c>
      <c r="V16" s="19">
        <v>0</v>
      </c>
      <c r="W16" s="19">
        <v>0</v>
      </c>
      <c r="X16" s="19">
        <v>114.948723415305</v>
      </c>
      <c r="Y16" s="19">
        <v>0</v>
      </c>
      <c r="Z16" s="19">
        <v>114.948723415305</v>
      </c>
      <c r="AA16" s="19">
        <v>114.948723415305</v>
      </c>
      <c r="AB16" s="19">
        <v>0</v>
      </c>
      <c r="AC16" s="19">
        <v>114.948723415305</v>
      </c>
      <c r="AD16" s="37">
        <v>40856</v>
      </c>
      <c r="AE16" s="37">
        <v>40969</v>
      </c>
      <c r="AF16" s="37">
        <v>40999</v>
      </c>
      <c r="AG16" s="37">
        <v>40939</v>
      </c>
      <c r="AH16" s="33" t="s">
        <v>120</v>
      </c>
      <c r="AI16" s="7">
        <v>110.32</v>
      </c>
      <c r="AJ16" s="9">
        <v>80</v>
      </c>
      <c r="AK16" s="7">
        <v>35</v>
      </c>
      <c r="AL16" s="9">
        <v>3.66</v>
      </c>
      <c r="AM16" s="35">
        <v>4.1121659461830096E-3</v>
      </c>
      <c r="AN16" s="7">
        <v>5</v>
      </c>
      <c r="AO16" s="7"/>
      <c r="AP16" s="9" t="s">
        <v>175</v>
      </c>
      <c r="AQ16" s="26">
        <f t="shared" si="3"/>
        <v>35</v>
      </c>
      <c r="AR16" s="26">
        <v>3.0303272085148301</v>
      </c>
      <c r="AS16" s="29">
        <f>ImpliedVolatilityB76Future($E$9,AH16,AI16,AJ16,AG16,AQ16,AM16)</f>
        <v>3.0286300653383083</v>
      </c>
      <c r="AT16" s="26">
        <f t="shared" si="4"/>
        <v>35</v>
      </c>
      <c r="AU16" s="27">
        <f>B76Future($E$9,AH16,AI16,AJ16,AG16,AS16,AM16)</f>
        <v>35</v>
      </c>
      <c r="AV16" s="27">
        <f t="shared" si="5"/>
        <v>1.52</v>
      </c>
      <c r="AW16" s="1">
        <f t="shared" si="6"/>
        <v>2.7072207822760395</v>
      </c>
      <c r="AX16" s="30">
        <f>B76Delta($E$9,AH16,AI16,AJ16,AG16,AR16,AM16)</f>
        <v>-0.17607573417753414</v>
      </c>
      <c r="AY16" s="30">
        <f>B76Gamma($E$9,AH16,AI16,AJ16,AG16,AR16,AM16)</f>
        <v>1.6739531722112253E-3</v>
      </c>
      <c r="AZ16" s="30">
        <f>B76Vega($E$9,AH16,AI16,AJ16,AG16,AR16,AM16)</f>
        <v>13.19298517872345</v>
      </c>
      <c r="BA16" s="30">
        <f>B76Theta($E$9,AH16,AI16,AJ16,AG16,AR16,AM16)</f>
        <v>-0.25588146856399485</v>
      </c>
      <c r="BB16" s="30">
        <f>B76Rho($E$9,AH16,AI16,AJ16,AG16,AR16,AM16)</f>
        <v>-7.4842374360523714</v>
      </c>
      <c r="BC16" s="46">
        <f t="shared" si="7"/>
        <v>-13.536103911380197</v>
      </c>
      <c r="BD16" s="46">
        <f>AQ16*AN16*$E$10</f>
        <v>128.28823539275029</v>
      </c>
      <c r="BE16" s="46">
        <v>0</v>
      </c>
      <c r="BF16" s="1"/>
      <c r="BG16" s="46">
        <f t="shared" si="8"/>
        <v>114.948723415305</v>
      </c>
      <c r="BH16" s="46">
        <f t="shared" si="9"/>
        <v>0</v>
      </c>
      <c r="BI16" s="46">
        <f t="shared" si="10"/>
        <v>114.948723415305</v>
      </c>
      <c r="BJ16" s="46">
        <f>(AK16-AL16)*AN16*$G$10</f>
        <v>114.948723415305</v>
      </c>
      <c r="BK16" s="46">
        <f t="shared" si="11"/>
        <v>0</v>
      </c>
      <c r="BL16" s="46">
        <f t="shared" si="12"/>
        <v>114.948723415305</v>
      </c>
      <c r="BM16" s="24">
        <f t="shared" si="13"/>
        <v>-0.88037867088767063</v>
      </c>
      <c r="BN16" s="45">
        <f t="shared" ref="BN16:BN29" si="14">QaAssert(E16,AE16)</f>
        <v>0</v>
      </c>
      <c r="BO16" s="45">
        <f t="shared" ref="BO16:BO29" si="15">QaAssert(F16,AF16)</f>
        <v>0</v>
      </c>
      <c r="BP16" s="45">
        <f t="shared" ref="BP16:BP29" si="16">QaAssert(G16,AG16)</f>
        <v>0</v>
      </c>
      <c r="BQ16" s="45">
        <f t="shared" ref="BQ16:BQ29" si="17">QaAssert(H16,AJ16)</f>
        <v>0</v>
      </c>
      <c r="BR16" s="41">
        <f t="shared" ref="BR16:BR29" si="18">QaAssert(T16,AS16)</f>
        <v>5.6036661457770087E-4</v>
      </c>
      <c r="BS16" s="11">
        <f t="shared" ref="BS16:BS29" si="19">QaAssert(L16,AW16)</f>
        <v>0</v>
      </c>
      <c r="BT16" s="3">
        <f t="shared" ref="BT16:BT29" si="20">QaAssert(M16,BC16)</f>
        <v>0</v>
      </c>
      <c r="BU16" s="3">
        <f t="shared" ref="BU16:BU29" si="21">QaAssert(U16,BD16)</f>
        <v>0</v>
      </c>
      <c r="BV16" s="3">
        <f t="shared" ref="BV16:BV29" si="22">QaAssert(V16,BE16)</f>
        <v>0</v>
      </c>
      <c r="BW16" s="3">
        <f t="shared" ref="BW16:BW29" si="23">QaAssert(W16,BF16)</f>
        <v>0</v>
      </c>
      <c r="BX16" s="3">
        <f t="shared" ref="BX16:BX29" si="24">QaAssert(X16,BG16)</f>
        <v>0</v>
      </c>
      <c r="BY16" s="3">
        <f t="shared" ref="BY16:BY29" si="25">QaAssert(Y16,BH16)</f>
        <v>0</v>
      </c>
      <c r="BZ16" s="3">
        <f t="shared" ref="BZ16:BZ29" si="26">QaAssert(Z16,BI16)</f>
        <v>0</v>
      </c>
      <c r="CA16" s="3">
        <f t="shared" ref="CA16:CA29" si="27">QaAssert(AA16,BJ16)</f>
        <v>0</v>
      </c>
      <c r="CB16" s="3">
        <f t="shared" ref="CB16:CB29" si="28">QaAssert(AB16,BK16)</f>
        <v>0</v>
      </c>
      <c r="CC16" s="3">
        <f t="shared" ref="CC16:CC29" si="29">QaAssert(AC16,BL16)</f>
        <v>0</v>
      </c>
      <c r="CD16" s="3">
        <f t="shared" ref="CD16:CD29" si="30">QaAssert(O16,AX16)</f>
        <v>0</v>
      </c>
      <c r="CE16" s="3">
        <f t="shared" ref="CE16:CE29" si="31">QaAssert(P16,AY16)</f>
        <v>0</v>
      </c>
      <c r="CF16" s="3">
        <f t="shared" ref="CF16:CF29" si="32">QaAssert(Q16,AZ16)</f>
        <v>0</v>
      </c>
      <c r="CG16" s="3">
        <f t="shared" ref="CG16:CG29" si="33">QaAssert(S16,BB16)</f>
        <v>0</v>
      </c>
      <c r="CH16" s="3">
        <f t="shared" ref="CH16:CH29" si="34">QaAssert(R16,BA16)</f>
        <v>0</v>
      </c>
      <c r="CI16" s="22"/>
    </row>
    <row r="17" spans="2:87" x14ac:dyDescent="0.25">
      <c r="B17" s="19" t="s">
        <v>162</v>
      </c>
      <c r="C17" s="19" t="s">
        <v>163</v>
      </c>
      <c r="D17" s="19" t="s">
        <v>148</v>
      </c>
      <c r="E17" s="20">
        <v>40969</v>
      </c>
      <c r="F17" s="20">
        <v>40999</v>
      </c>
      <c r="G17" s="20">
        <v>40939</v>
      </c>
      <c r="H17" s="19">
        <v>130</v>
      </c>
      <c r="I17" s="19" t="s">
        <v>3</v>
      </c>
      <c r="J17" s="19">
        <v>5</v>
      </c>
      <c r="K17" s="19">
        <v>743</v>
      </c>
      <c r="L17" s="19">
        <v>2.7072207822760399</v>
      </c>
      <c r="M17" s="19">
        <v>-13.5361039113802</v>
      </c>
      <c r="N17" s="19">
        <v>2.3096759114324999E-2</v>
      </c>
      <c r="O17" s="19">
        <v>8.6332867566071194E-3</v>
      </c>
      <c r="P17" s="19">
        <v>2.0688196394173801E-3</v>
      </c>
      <c r="Q17" s="19">
        <v>1.0626967922733099</v>
      </c>
      <c r="R17" s="19">
        <v>-1.7011442729971001E-3</v>
      </c>
      <c r="S17" s="19">
        <v>-6.7329284662083896E-3</v>
      </c>
      <c r="T17" s="19">
        <v>0.249773860537087</v>
      </c>
      <c r="U17" s="19">
        <v>0.115483795571625</v>
      </c>
      <c r="V17" s="19">
        <v>0.115483795571625</v>
      </c>
      <c r="W17" s="19">
        <v>0</v>
      </c>
      <c r="X17" s="19">
        <v>-13.5361039113802</v>
      </c>
      <c r="Y17" s="19">
        <v>0.115483795571625</v>
      </c>
      <c r="Z17" s="19">
        <v>-13.4206201158086</v>
      </c>
      <c r="AA17" s="19">
        <v>-13.5361039113802</v>
      </c>
      <c r="AB17" s="19">
        <v>0.115483795571625</v>
      </c>
      <c r="AC17" s="19">
        <v>-13.4206201158086</v>
      </c>
      <c r="AD17" s="37">
        <v>40856</v>
      </c>
      <c r="AE17" s="37">
        <v>40969</v>
      </c>
      <c r="AF17" s="37">
        <v>40999</v>
      </c>
      <c r="AG17" s="37">
        <v>40939</v>
      </c>
      <c r="AH17" s="33" t="s">
        <v>68</v>
      </c>
      <c r="AI17" s="7">
        <v>98.099999999990004</v>
      </c>
      <c r="AJ17" s="9">
        <v>130</v>
      </c>
      <c r="AK17" s="7">
        <v>0.249773860537087</v>
      </c>
      <c r="AL17" s="9">
        <v>3.66</v>
      </c>
      <c r="AM17" s="35">
        <v>4.1121659461830096E-3</v>
      </c>
      <c r="AN17" s="7">
        <v>5</v>
      </c>
      <c r="AO17" s="7"/>
      <c r="AP17" s="9" t="s">
        <v>180</v>
      </c>
      <c r="AQ17" s="26" t="s">
        <v>181</v>
      </c>
      <c r="AR17" s="26"/>
      <c r="AS17" s="29">
        <f>AK17</f>
        <v>0.249773860537087</v>
      </c>
      <c r="AT17" s="26" t="str">
        <f t="shared" si="4"/>
        <v>n/a</v>
      </c>
      <c r="AU17" s="27">
        <f>B76Future($E$9,AH17,AI17,AJ17,AG17,AS17,AM17)</f>
        <v>3.1506652392182338E-2</v>
      </c>
      <c r="AV17" s="27">
        <f t="shared" si="5"/>
        <v>1.52</v>
      </c>
      <c r="AW17" s="1">
        <f t="shared" si="6"/>
        <v>2.7072207822760395</v>
      </c>
      <c r="AX17" s="30">
        <f>B76Delta($E$9,AH17,AI17,AJ17,AG17,AS17,AM17)</f>
        <v>8.633286779117802E-3</v>
      </c>
      <c r="AY17" s="30">
        <f>B76Gamma($E$9,AH17,AI17,AJ17,AG17,AS17,AM17)</f>
        <v>2.0688196401716236E-3</v>
      </c>
      <c r="AZ17" s="30">
        <f>B76Vega($E$9,AH17,AI17,AJ17,AG17,AS17,AM17)</f>
        <v>1.0626967928182154</v>
      </c>
      <c r="BA17" s="30">
        <f>B76Theta($E$9,AH17,AI17,AJ17,AG17,AS17,AM17)</f>
        <v>-1.7011442736176506E-3</v>
      </c>
      <c r="BB17" s="30">
        <f>B76Rho($E$9,AH17,AI17,AJ17,AG17,AS17,AM17)</f>
        <v>-6.7329284564115683E-3</v>
      </c>
      <c r="BC17" s="46">
        <f t="shared" si="7"/>
        <v>-13.536103911380197</v>
      </c>
      <c r="BD17" s="46">
        <f>AU17*AN17*$E$10</f>
        <v>0.11548379538645279</v>
      </c>
      <c r="BE17" s="46">
        <f>BD17</f>
        <v>0.11548379538645279</v>
      </c>
      <c r="BF17" s="1"/>
      <c r="BG17" s="46">
        <f>BC17</f>
        <v>-13.536103911380197</v>
      </c>
      <c r="BH17" s="46">
        <f t="shared" si="9"/>
        <v>0.11548379538645279</v>
      </c>
      <c r="BI17" s="46">
        <f t="shared" si="10"/>
        <v>-13.420620115993744</v>
      </c>
      <c r="BJ17" s="46">
        <f>BG17</f>
        <v>-13.536103911380197</v>
      </c>
      <c r="BK17" s="46">
        <f t="shared" si="11"/>
        <v>0.11548379538645279</v>
      </c>
      <c r="BL17" s="46">
        <f t="shared" si="12"/>
        <v>-13.420620115993744</v>
      </c>
      <c r="BM17" s="24">
        <f t="shared" si="13"/>
        <v>4.316643389558901E-2</v>
      </c>
      <c r="BN17" s="45">
        <f t="shared" si="14"/>
        <v>0</v>
      </c>
      <c r="BO17" s="45">
        <f t="shared" si="15"/>
        <v>0</v>
      </c>
      <c r="BP17" s="45">
        <f t="shared" si="16"/>
        <v>0</v>
      </c>
      <c r="BQ17" s="45">
        <f t="shared" si="17"/>
        <v>0</v>
      </c>
      <c r="BR17" s="41">
        <f t="shared" si="18"/>
        <v>0</v>
      </c>
      <c r="BS17" s="11">
        <f t="shared" si="19"/>
        <v>0</v>
      </c>
      <c r="BT17" s="3">
        <f t="shared" si="20"/>
        <v>0</v>
      </c>
      <c r="BU17" s="3">
        <f t="shared" si="21"/>
        <v>0</v>
      </c>
      <c r="BV17" s="3">
        <f t="shared" si="22"/>
        <v>0</v>
      </c>
      <c r="BW17" s="3">
        <f t="shared" si="23"/>
        <v>0</v>
      </c>
      <c r="BX17" s="3">
        <f t="shared" si="24"/>
        <v>0</v>
      </c>
      <c r="BY17" s="3">
        <f t="shared" si="25"/>
        <v>0</v>
      </c>
      <c r="BZ17" s="3">
        <f t="shared" si="26"/>
        <v>0</v>
      </c>
      <c r="CA17" s="3">
        <f t="shared" si="27"/>
        <v>0</v>
      </c>
      <c r="CB17" s="3">
        <f t="shared" si="28"/>
        <v>0</v>
      </c>
      <c r="CC17" s="3">
        <f t="shared" si="29"/>
        <v>0</v>
      </c>
      <c r="CD17" s="3">
        <f t="shared" si="30"/>
        <v>0</v>
      </c>
      <c r="CE17" s="3">
        <f t="shared" si="31"/>
        <v>0</v>
      </c>
      <c r="CF17" s="3">
        <f t="shared" si="32"/>
        <v>0</v>
      </c>
      <c r="CG17" s="3">
        <f t="shared" si="33"/>
        <v>0</v>
      </c>
      <c r="CH17" s="3">
        <f t="shared" si="34"/>
        <v>0</v>
      </c>
      <c r="CI17" s="22"/>
    </row>
    <row r="18" spans="2:87" x14ac:dyDescent="0.25">
      <c r="B18" s="19" t="s">
        <v>97</v>
      </c>
      <c r="C18" s="19" t="s">
        <v>110</v>
      </c>
      <c r="D18" s="19" t="s">
        <v>152</v>
      </c>
      <c r="E18" s="20">
        <v>41061</v>
      </c>
      <c r="F18" s="20">
        <v>41090</v>
      </c>
      <c r="G18" s="20">
        <v>41031</v>
      </c>
      <c r="H18" s="19">
        <v>130</v>
      </c>
      <c r="I18" s="19" t="s">
        <v>3</v>
      </c>
      <c r="J18" s="19">
        <v>-5</v>
      </c>
      <c r="K18" s="19">
        <v>720</v>
      </c>
      <c r="L18" s="19">
        <v>2.7072207822760399</v>
      </c>
      <c r="M18" s="19">
        <v>13.5361039113802</v>
      </c>
      <c r="N18" s="19">
        <v>27.123798340181501</v>
      </c>
      <c r="O18" s="19">
        <v>0.63251227745151195</v>
      </c>
      <c r="P18" s="19">
        <v>3.3478110061073499E-3</v>
      </c>
      <c r="Q18" s="19">
        <v>27.991294203626499</v>
      </c>
      <c r="R18" s="19">
        <v>-0.122922043351352</v>
      </c>
      <c r="S18" s="19">
        <v>-17.247761833946701</v>
      </c>
      <c r="T18" s="19">
        <v>1.5007541916490501</v>
      </c>
      <c r="U18" s="19">
        <v>-135.618991700908</v>
      </c>
      <c r="V18" s="19">
        <v>0</v>
      </c>
      <c r="W18" s="19">
        <v>0</v>
      </c>
      <c r="X18" s="19">
        <v>-122.284315209517</v>
      </c>
      <c r="Y18" s="19">
        <v>0</v>
      </c>
      <c r="Z18" s="19">
        <v>-122.284315209517</v>
      </c>
      <c r="AA18" s="19">
        <v>-122.284315209517</v>
      </c>
      <c r="AB18" s="19">
        <v>0</v>
      </c>
      <c r="AC18" s="19">
        <v>-122.284315209517</v>
      </c>
      <c r="AD18" s="37">
        <v>40856</v>
      </c>
      <c r="AE18" s="59">
        <v>41061</v>
      </c>
      <c r="AF18" s="59">
        <v>41090</v>
      </c>
      <c r="AG18" s="59">
        <v>41031</v>
      </c>
      <c r="AH18" s="43" t="s">
        <v>68</v>
      </c>
      <c r="AI18" s="7">
        <v>109.36999999950901</v>
      </c>
      <c r="AJ18" s="9">
        <v>130</v>
      </c>
      <c r="AK18" s="7">
        <v>37</v>
      </c>
      <c r="AL18" s="9">
        <v>3.66</v>
      </c>
      <c r="AM18" s="7">
        <v>6.2198611978125096E-3</v>
      </c>
      <c r="AN18" s="7">
        <v>-5</v>
      </c>
      <c r="AO18" s="7"/>
      <c r="AP18" s="9" t="s">
        <v>178</v>
      </c>
      <c r="AQ18" s="26">
        <f t="shared" ref="AQ18:AQ29" si="35">AK18</f>
        <v>37</v>
      </c>
      <c r="AR18" s="26">
        <v>1.5007541916490501</v>
      </c>
      <c r="AS18" s="29">
        <f>ImpliedVolatilityB76Future($E$9,AH18,AI18,AJ18,AG18,AQ18,AM18)</f>
        <v>1.4996125367929933</v>
      </c>
      <c r="AT18" s="26">
        <f t="shared" si="4"/>
        <v>37</v>
      </c>
      <c r="AU18" s="27">
        <f>B76Future($E$9,AH18,AI18,AJ18,AG18,AS18,AM18)</f>
        <v>37</v>
      </c>
      <c r="AV18" s="27">
        <f t="shared" si="5"/>
        <v>1.52</v>
      </c>
      <c r="AW18" s="1">
        <f>AL18*$C$10</f>
        <v>2.7072207822760395</v>
      </c>
      <c r="AX18" s="30">
        <f>B76Delta($E$9,AH18,AI18,AJ18,AG18,AR18,AM18)</f>
        <v>0.63251227746265148</v>
      </c>
      <c r="AY18" s="30">
        <f>B76Gamma($E$9,AH18,AI18,AJ18,AG18,AR18,AM18)</f>
        <v>3.34781100596611E-3</v>
      </c>
      <c r="AZ18" s="30">
        <f>B76Vega($E$9,AH18,AI18,AJ18,AG18,AR18,AM18)</f>
        <v>27.991294204351043</v>
      </c>
      <c r="BA18" s="30">
        <f>B76Theta($E$9,AH18,AI18,AJ18,AG18,AR18,AM18)</f>
        <v>-0.12292204334607858</v>
      </c>
      <c r="BB18" s="30">
        <f>B76Rho($E$9,AH18,AI18,AJ18,AG18,AR18,AM18)</f>
        <v>-17.247761836738047</v>
      </c>
      <c r="BC18" s="46">
        <f t="shared" si="7"/>
        <v>13.536103911380197</v>
      </c>
      <c r="BD18" s="46">
        <f>AQ18*AN18*$E$10</f>
        <v>-135.61899170090746</v>
      </c>
      <c r="BE18" s="46">
        <v>0</v>
      </c>
      <c r="BF18" s="1"/>
      <c r="BG18" s="46">
        <f>(AK18-AL18)*AN18*$G$10</f>
        <v>-122.28431520951722</v>
      </c>
      <c r="BH18" s="46">
        <f t="shared" si="9"/>
        <v>0</v>
      </c>
      <c r="BI18" s="46">
        <f t="shared" si="10"/>
        <v>-122.28431520951722</v>
      </c>
      <c r="BJ18" s="46">
        <f>(AK18-AL18)*AN18*$G$10</f>
        <v>-122.28431520951722</v>
      </c>
      <c r="BK18" s="46">
        <f t="shared" si="11"/>
        <v>0</v>
      </c>
      <c r="BL18" s="46">
        <f t="shared" si="12"/>
        <v>-122.28431520951722</v>
      </c>
      <c r="BM18" s="24">
        <f t="shared" si="13"/>
        <v>-3.1625613873132572</v>
      </c>
      <c r="BN18" s="45">
        <f t="shared" si="14"/>
        <v>0</v>
      </c>
      <c r="BO18" s="45">
        <f t="shared" si="15"/>
        <v>0</v>
      </c>
      <c r="BP18" s="45">
        <f t="shared" si="16"/>
        <v>0</v>
      </c>
      <c r="BQ18" s="45">
        <f t="shared" si="17"/>
        <v>0</v>
      </c>
      <c r="BR18" s="41">
        <f t="shared" si="18"/>
        <v>7.6129988783524283E-4</v>
      </c>
      <c r="BS18" s="11">
        <f t="shared" si="19"/>
        <v>0</v>
      </c>
      <c r="BT18" s="3">
        <f t="shared" si="20"/>
        <v>0</v>
      </c>
      <c r="BU18" s="3">
        <f t="shared" si="21"/>
        <v>0</v>
      </c>
      <c r="BV18" s="3">
        <f t="shared" si="22"/>
        <v>0</v>
      </c>
      <c r="BW18" s="3">
        <f t="shared" si="23"/>
        <v>0</v>
      </c>
      <c r="BX18" s="3">
        <f t="shared" si="24"/>
        <v>0</v>
      </c>
      <c r="BY18" s="3">
        <f t="shared" si="25"/>
        <v>0</v>
      </c>
      <c r="BZ18" s="3">
        <f t="shared" si="26"/>
        <v>0</v>
      </c>
      <c r="CA18" s="3">
        <f t="shared" si="27"/>
        <v>0</v>
      </c>
      <c r="CB18" s="3">
        <f t="shared" si="28"/>
        <v>0</v>
      </c>
      <c r="CC18" s="3">
        <f t="shared" si="29"/>
        <v>0</v>
      </c>
      <c r="CD18" s="3">
        <f t="shared" si="30"/>
        <v>0</v>
      </c>
      <c r="CE18" s="3">
        <f t="shared" si="31"/>
        <v>0</v>
      </c>
      <c r="CF18" s="3">
        <f t="shared" si="32"/>
        <v>0</v>
      </c>
      <c r="CG18" s="3">
        <f t="shared" si="33"/>
        <v>0</v>
      </c>
      <c r="CH18" s="3">
        <f t="shared" si="34"/>
        <v>0</v>
      </c>
      <c r="CI18" s="22"/>
    </row>
    <row r="19" spans="2:87" x14ac:dyDescent="0.25">
      <c r="B19" s="19" t="s">
        <v>97</v>
      </c>
      <c r="C19" s="19" t="s">
        <v>110</v>
      </c>
      <c r="D19" s="19" t="s">
        <v>152</v>
      </c>
      <c r="E19" s="20">
        <v>41061</v>
      </c>
      <c r="F19" s="20">
        <v>41090</v>
      </c>
      <c r="G19" s="20">
        <v>41031</v>
      </c>
      <c r="H19" s="19">
        <v>130</v>
      </c>
      <c r="I19" s="19" t="s">
        <v>3</v>
      </c>
      <c r="J19" s="19">
        <v>5</v>
      </c>
      <c r="K19" s="19">
        <v>720</v>
      </c>
      <c r="L19" s="19">
        <v>2.7072207822760399</v>
      </c>
      <c r="M19" s="19">
        <v>-13.5361039113802</v>
      </c>
      <c r="N19" s="19">
        <v>27.123798340181501</v>
      </c>
      <c r="O19" s="19">
        <v>0.63251227745151195</v>
      </c>
      <c r="P19" s="19">
        <v>3.3478110061073499E-3</v>
      </c>
      <c r="Q19" s="19">
        <v>27.991294203626499</v>
      </c>
      <c r="R19" s="19">
        <v>-0.122922043351352</v>
      </c>
      <c r="S19" s="19">
        <v>-17.247761833946701</v>
      </c>
      <c r="T19" s="19">
        <v>1.5007541916490501</v>
      </c>
      <c r="U19" s="19">
        <v>135.618991700908</v>
      </c>
      <c r="V19" s="19">
        <v>0</v>
      </c>
      <c r="W19" s="19">
        <v>0</v>
      </c>
      <c r="X19" s="19">
        <v>122.284315209517</v>
      </c>
      <c r="Y19" s="19">
        <v>0</v>
      </c>
      <c r="Z19" s="19">
        <v>122.284315209517</v>
      </c>
      <c r="AA19" s="19">
        <v>122.284315209517</v>
      </c>
      <c r="AB19" s="19">
        <v>0</v>
      </c>
      <c r="AC19" s="19">
        <v>122.284315209517</v>
      </c>
      <c r="AD19" s="37">
        <v>40856</v>
      </c>
      <c r="AE19" s="59">
        <v>41061</v>
      </c>
      <c r="AF19" s="59">
        <v>41090</v>
      </c>
      <c r="AG19" s="59">
        <v>41031</v>
      </c>
      <c r="AH19" s="43" t="s">
        <v>68</v>
      </c>
      <c r="AI19" s="7">
        <v>109.36999999950901</v>
      </c>
      <c r="AJ19" s="9">
        <v>130</v>
      </c>
      <c r="AK19" s="7">
        <v>37</v>
      </c>
      <c r="AL19" s="9">
        <v>3.66</v>
      </c>
      <c r="AM19" s="7">
        <v>6.2198611978125096E-3</v>
      </c>
      <c r="AN19" s="7">
        <v>5</v>
      </c>
      <c r="AO19" s="7"/>
      <c r="AP19" s="9" t="s">
        <v>179</v>
      </c>
      <c r="AQ19" s="26">
        <f t="shared" si="35"/>
        <v>37</v>
      </c>
      <c r="AR19" s="26">
        <v>1.5007541916490501</v>
      </c>
      <c r="AS19" s="29">
        <f>ImpliedVolatilityB76Future($E$9,AH19,AI19,AJ19,AG19,AQ19,AM19)</f>
        <v>1.4996125367929933</v>
      </c>
      <c r="AT19" s="26">
        <f t="shared" si="4"/>
        <v>37</v>
      </c>
      <c r="AU19" s="27">
        <f>B76Future($E$9,AH19,AI19,AJ19,AG19,AS19,AM19)</f>
        <v>37</v>
      </c>
      <c r="AV19" s="27">
        <f t="shared" si="5"/>
        <v>1.52</v>
      </c>
      <c r="AW19" s="1">
        <f>AL19*$C$10</f>
        <v>2.7072207822760395</v>
      </c>
      <c r="AX19" s="30">
        <f>B76Delta($E$9,AH19,AI19,AJ19,AG19,AR19,AM19)</f>
        <v>0.63251227746265148</v>
      </c>
      <c r="AY19" s="30">
        <f>B76Gamma($E$9,AH19,AI19,AJ19,AG19,AR19,AM19)</f>
        <v>3.34781100596611E-3</v>
      </c>
      <c r="AZ19" s="30">
        <f>B76Vega($E$9,AH19,AI19,AJ19,AG19,AR19,AM19)</f>
        <v>27.991294204351043</v>
      </c>
      <c r="BA19" s="30">
        <f>B76Theta($E$9,AH19,AI19,AJ19,AG19,AR19,AM19)</f>
        <v>-0.12292204334607858</v>
      </c>
      <c r="BB19" s="30">
        <f>B76Rho($E$9,AH19,AI19,AJ19,AG19,AR19,AM19)</f>
        <v>-17.247761836738047</v>
      </c>
      <c r="BC19" s="46">
        <f t="shared" si="7"/>
        <v>-13.536103911380197</v>
      </c>
      <c r="BD19" s="46">
        <f>AQ19*AN19*$E$10</f>
        <v>135.61899170090746</v>
      </c>
      <c r="BE19" s="46">
        <v>0</v>
      </c>
      <c r="BF19" s="1"/>
      <c r="BG19" s="46">
        <f>(AK19-AL19)*AN19*$G$10</f>
        <v>122.28431520951722</v>
      </c>
      <c r="BH19" s="46">
        <f t="shared" si="9"/>
        <v>0</v>
      </c>
      <c r="BI19" s="46">
        <f t="shared" si="10"/>
        <v>122.28431520951722</v>
      </c>
      <c r="BJ19" s="46">
        <f>(AK19-AL19)*AN19*$G$10</f>
        <v>122.28431520951722</v>
      </c>
      <c r="BK19" s="46">
        <f t="shared" si="11"/>
        <v>0</v>
      </c>
      <c r="BL19" s="46">
        <f t="shared" si="12"/>
        <v>122.28431520951722</v>
      </c>
      <c r="BM19" s="24">
        <f t="shared" si="13"/>
        <v>3.1625613873132572</v>
      </c>
      <c r="BN19" s="45">
        <f t="shared" si="14"/>
        <v>0</v>
      </c>
      <c r="BO19" s="45">
        <f t="shared" si="15"/>
        <v>0</v>
      </c>
      <c r="BP19" s="45">
        <f t="shared" si="16"/>
        <v>0</v>
      </c>
      <c r="BQ19" s="45">
        <f t="shared" si="17"/>
        <v>0</v>
      </c>
      <c r="BR19" s="41">
        <f t="shared" si="18"/>
        <v>7.6129988783524283E-4</v>
      </c>
      <c r="BS19" s="11">
        <f t="shared" si="19"/>
        <v>0</v>
      </c>
      <c r="BT19" s="3">
        <f t="shared" si="20"/>
        <v>0</v>
      </c>
      <c r="BU19" s="3">
        <f t="shared" si="21"/>
        <v>0</v>
      </c>
      <c r="BV19" s="3">
        <f t="shared" si="22"/>
        <v>0</v>
      </c>
      <c r="BW19" s="3">
        <f t="shared" si="23"/>
        <v>0</v>
      </c>
      <c r="BX19" s="3">
        <f t="shared" si="24"/>
        <v>0</v>
      </c>
      <c r="BY19" s="3">
        <f t="shared" si="25"/>
        <v>0</v>
      </c>
      <c r="BZ19" s="3">
        <f t="shared" si="26"/>
        <v>0</v>
      </c>
      <c r="CA19" s="3">
        <f t="shared" si="27"/>
        <v>0</v>
      </c>
      <c r="CB19" s="3">
        <f t="shared" si="28"/>
        <v>0</v>
      </c>
      <c r="CC19" s="3">
        <f t="shared" si="29"/>
        <v>0</v>
      </c>
      <c r="CD19" s="3">
        <f t="shared" si="30"/>
        <v>0</v>
      </c>
      <c r="CE19" s="3">
        <f t="shared" si="31"/>
        <v>0</v>
      </c>
      <c r="CF19" s="3">
        <f t="shared" si="32"/>
        <v>0</v>
      </c>
      <c r="CG19" s="3">
        <f t="shared" si="33"/>
        <v>0</v>
      </c>
      <c r="CH19" s="3">
        <f t="shared" si="34"/>
        <v>0</v>
      </c>
      <c r="CI19" s="22"/>
    </row>
    <row r="20" spans="2:87" x14ac:dyDescent="0.25">
      <c r="B20" s="19" t="s">
        <v>97</v>
      </c>
      <c r="C20" s="19" t="s">
        <v>112</v>
      </c>
      <c r="D20" s="19" t="s">
        <v>153</v>
      </c>
      <c r="E20" s="20">
        <v>40664</v>
      </c>
      <c r="F20" s="20">
        <v>40694</v>
      </c>
      <c r="G20" s="20">
        <v>40634</v>
      </c>
      <c r="H20" s="19">
        <v>130</v>
      </c>
      <c r="I20" s="19" t="s">
        <v>114</v>
      </c>
      <c r="J20" s="19">
        <v>5</v>
      </c>
      <c r="K20" s="19">
        <v>744</v>
      </c>
      <c r="L20" s="19">
        <v>2.6041666064798701</v>
      </c>
      <c r="M20" s="19">
        <v>-13.0208330323994</v>
      </c>
      <c r="N20" s="19">
        <v>0</v>
      </c>
      <c r="O20" s="19">
        <v>0</v>
      </c>
      <c r="P20" s="19">
        <v>0</v>
      </c>
      <c r="Q20" s="19">
        <v>0</v>
      </c>
      <c r="R20" s="19">
        <v>0</v>
      </c>
      <c r="S20" s="19">
        <v>0</v>
      </c>
      <c r="T20" s="19">
        <v>0</v>
      </c>
      <c r="U20" s="19">
        <v>0</v>
      </c>
      <c r="V20" s="19">
        <v>0</v>
      </c>
      <c r="W20" s="19">
        <v>0</v>
      </c>
      <c r="X20" s="19">
        <v>-12.9486592157324</v>
      </c>
      <c r="Y20" s="19">
        <v>0</v>
      </c>
      <c r="Z20" s="19">
        <v>-12.9486592157324</v>
      </c>
      <c r="AA20" s="19">
        <v>-12.9486592157324</v>
      </c>
      <c r="AB20" s="19">
        <v>0</v>
      </c>
      <c r="AC20" s="19">
        <v>-12.9486592157324</v>
      </c>
      <c r="AD20" s="59">
        <v>40631</v>
      </c>
      <c r="AE20" s="59">
        <v>40664</v>
      </c>
      <c r="AF20" s="59">
        <v>40694</v>
      </c>
      <c r="AG20" s="59">
        <v>40634</v>
      </c>
      <c r="AH20" s="43" t="s">
        <v>68</v>
      </c>
      <c r="AI20" s="7"/>
      <c r="AJ20" s="9">
        <v>130</v>
      </c>
      <c r="AK20" s="7">
        <v>62</v>
      </c>
      <c r="AL20" s="9">
        <v>3.66</v>
      </c>
      <c r="AM20" s="7"/>
      <c r="AN20" s="7">
        <v>5</v>
      </c>
      <c r="AO20" s="7"/>
      <c r="AP20" s="9" t="s">
        <v>176</v>
      </c>
      <c r="AQ20" s="26">
        <f t="shared" si="35"/>
        <v>62</v>
      </c>
      <c r="AR20" s="26"/>
      <c r="AS20" s="29"/>
      <c r="AT20" s="26">
        <f t="shared" si="4"/>
        <v>62</v>
      </c>
      <c r="AU20" s="27"/>
      <c r="AV20" s="27"/>
      <c r="AW20" s="1">
        <f>AL20*$C$33</f>
        <v>2.6041666064798705</v>
      </c>
      <c r="AX20" s="30">
        <v>0</v>
      </c>
      <c r="AY20" s="30">
        <v>0</v>
      </c>
      <c r="AZ20" s="30">
        <v>0</v>
      </c>
      <c r="BA20" s="30">
        <v>0</v>
      </c>
      <c r="BB20" s="30">
        <v>0</v>
      </c>
      <c r="BC20" s="46">
        <f>-AL20*AN20*$C$33</f>
        <v>-13.020833032399352</v>
      </c>
      <c r="BD20" s="1">
        <v>0</v>
      </c>
      <c r="BE20" s="1">
        <v>0</v>
      </c>
      <c r="BF20" s="1">
        <v>0</v>
      </c>
      <c r="BG20" s="46">
        <f>-AL20*AN20*$G$11</f>
        <v>-12.948659215732384</v>
      </c>
      <c r="BH20" s="1">
        <f t="shared" si="9"/>
        <v>0</v>
      </c>
      <c r="BI20" s="46">
        <f t="shared" si="10"/>
        <v>-12.948659215732384</v>
      </c>
      <c r="BJ20" s="46">
        <f>BG20</f>
        <v>-12.948659215732384</v>
      </c>
      <c r="BK20" s="1">
        <f t="shared" si="11"/>
        <v>0</v>
      </c>
      <c r="BL20" s="46">
        <f t="shared" si="12"/>
        <v>-12.948659215732384</v>
      </c>
      <c r="BM20" s="24">
        <v>0</v>
      </c>
      <c r="BN20" s="45">
        <f t="shared" si="14"/>
        <v>0</v>
      </c>
      <c r="BO20" s="45">
        <f t="shared" si="15"/>
        <v>0</v>
      </c>
      <c r="BP20" s="45">
        <f t="shared" si="16"/>
        <v>0</v>
      </c>
      <c r="BQ20" s="45">
        <f t="shared" si="17"/>
        <v>0</v>
      </c>
      <c r="BR20" s="41">
        <f t="shared" si="18"/>
        <v>0</v>
      </c>
      <c r="BS20" s="11">
        <f t="shared" si="19"/>
        <v>0</v>
      </c>
      <c r="BT20" s="3">
        <f t="shared" si="20"/>
        <v>0</v>
      </c>
      <c r="BU20" s="3">
        <f t="shared" si="21"/>
        <v>0</v>
      </c>
      <c r="BV20" s="3">
        <f t="shared" si="22"/>
        <v>0</v>
      </c>
      <c r="BW20" s="3">
        <f t="shared" si="23"/>
        <v>0</v>
      </c>
      <c r="BX20" s="3">
        <f t="shared" si="24"/>
        <v>0</v>
      </c>
      <c r="BY20" s="3">
        <f t="shared" si="25"/>
        <v>0</v>
      </c>
      <c r="BZ20" s="3">
        <f t="shared" si="26"/>
        <v>0</v>
      </c>
      <c r="CA20" s="3">
        <f t="shared" si="27"/>
        <v>0</v>
      </c>
      <c r="CB20" s="3">
        <f t="shared" si="28"/>
        <v>0</v>
      </c>
      <c r="CC20" s="3">
        <f t="shared" si="29"/>
        <v>0</v>
      </c>
      <c r="CD20" s="3">
        <f t="shared" si="30"/>
        <v>0</v>
      </c>
      <c r="CE20" s="3">
        <f t="shared" si="31"/>
        <v>0</v>
      </c>
      <c r="CF20" s="3">
        <f t="shared" si="32"/>
        <v>0</v>
      </c>
      <c r="CG20" s="3">
        <f t="shared" si="33"/>
        <v>0</v>
      </c>
      <c r="CH20" s="3">
        <f t="shared" si="34"/>
        <v>0</v>
      </c>
      <c r="CI20" s="22"/>
    </row>
    <row r="21" spans="2:87" x14ac:dyDescent="0.25">
      <c r="B21" s="19" t="s">
        <v>97</v>
      </c>
      <c r="C21" s="19" t="s">
        <v>112</v>
      </c>
      <c r="D21" s="19" t="s">
        <v>153</v>
      </c>
      <c r="E21" s="20">
        <v>40664</v>
      </c>
      <c r="F21" s="20">
        <v>40694</v>
      </c>
      <c r="G21" s="20">
        <v>40634</v>
      </c>
      <c r="H21" s="19">
        <v>130</v>
      </c>
      <c r="I21" s="19" t="s">
        <v>114</v>
      </c>
      <c r="J21" s="19">
        <v>-5</v>
      </c>
      <c r="K21" s="19">
        <v>744</v>
      </c>
      <c r="L21" s="19">
        <v>2.6041666064798701</v>
      </c>
      <c r="M21" s="19">
        <v>13.0208330323994</v>
      </c>
      <c r="N21" s="19">
        <v>0</v>
      </c>
      <c r="O21" s="19">
        <v>0</v>
      </c>
      <c r="P21" s="19">
        <v>0</v>
      </c>
      <c r="Q21" s="19">
        <v>0</v>
      </c>
      <c r="R21" s="19">
        <v>0</v>
      </c>
      <c r="S21" s="19">
        <v>0</v>
      </c>
      <c r="T21" s="19">
        <v>0</v>
      </c>
      <c r="U21" s="19">
        <v>0</v>
      </c>
      <c r="V21" s="19">
        <v>0</v>
      </c>
      <c r="W21" s="19">
        <v>0</v>
      </c>
      <c r="X21" s="19">
        <v>12.9486592157324</v>
      </c>
      <c r="Y21" s="19">
        <v>0</v>
      </c>
      <c r="Z21" s="19">
        <v>12.9486592157324</v>
      </c>
      <c r="AA21" s="19">
        <v>12.9486592157324</v>
      </c>
      <c r="AB21" s="19">
        <v>0</v>
      </c>
      <c r="AC21" s="19">
        <v>12.9486592157324</v>
      </c>
      <c r="AD21" s="59">
        <v>40631</v>
      </c>
      <c r="AE21" s="59">
        <v>40664</v>
      </c>
      <c r="AF21" s="59">
        <v>40694</v>
      </c>
      <c r="AG21" s="59">
        <v>40634</v>
      </c>
      <c r="AH21" s="43" t="s">
        <v>68</v>
      </c>
      <c r="AI21" s="7"/>
      <c r="AJ21" s="9">
        <v>130</v>
      </c>
      <c r="AK21" s="7">
        <v>62</v>
      </c>
      <c r="AL21" s="9">
        <v>3.66</v>
      </c>
      <c r="AM21" s="7"/>
      <c r="AN21" s="7">
        <v>-5</v>
      </c>
      <c r="AO21" s="7"/>
      <c r="AP21" s="9" t="s">
        <v>177</v>
      </c>
      <c r="AQ21" s="26">
        <f t="shared" si="35"/>
        <v>62</v>
      </c>
      <c r="AR21" s="26"/>
      <c r="AS21" s="29"/>
      <c r="AT21" s="26">
        <f t="shared" si="4"/>
        <v>62</v>
      </c>
      <c r="AU21" s="27"/>
      <c r="AV21" s="27"/>
      <c r="AW21" s="1">
        <f>AL21*$C$33</f>
        <v>2.6041666064798705</v>
      </c>
      <c r="AX21" s="30">
        <v>0</v>
      </c>
      <c r="AY21" s="30">
        <v>0</v>
      </c>
      <c r="AZ21" s="30">
        <v>0</v>
      </c>
      <c r="BA21" s="30">
        <v>0</v>
      </c>
      <c r="BB21" s="30">
        <v>0</v>
      </c>
      <c r="BC21" s="46">
        <f>-AL21*AN21*$C$33</f>
        <v>13.020833032399352</v>
      </c>
      <c r="BD21" s="1">
        <v>0</v>
      </c>
      <c r="BE21" s="1">
        <v>0</v>
      </c>
      <c r="BF21" s="1">
        <v>0</v>
      </c>
      <c r="BG21" s="46">
        <f t="shared" ref="BG21" si="36">-AL21*AN21*$G$11</f>
        <v>12.948659215732384</v>
      </c>
      <c r="BH21" s="1">
        <f t="shared" si="9"/>
        <v>0</v>
      </c>
      <c r="BI21" s="46">
        <f t="shared" si="10"/>
        <v>12.948659215732384</v>
      </c>
      <c r="BJ21" s="46">
        <f t="shared" ref="BJ21:BJ29" si="37">BG21</f>
        <v>12.948659215732384</v>
      </c>
      <c r="BK21" s="1">
        <f t="shared" si="11"/>
        <v>0</v>
      </c>
      <c r="BL21" s="46">
        <f t="shared" si="12"/>
        <v>12.948659215732384</v>
      </c>
      <c r="BM21" s="24">
        <v>0</v>
      </c>
      <c r="BN21" s="45">
        <f t="shared" si="14"/>
        <v>0</v>
      </c>
      <c r="BO21" s="45">
        <f t="shared" si="15"/>
        <v>0</v>
      </c>
      <c r="BP21" s="45">
        <f t="shared" si="16"/>
        <v>0</v>
      </c>
      <c r="BQ21" s="45">
        <f t="shared" si="17"/>
        <v>0</v>
      </c>
      <c r="BR21" s="41">
        <f t="shared" si="18"/>
        <v>0</v>
      </c>
      <c r="BS21" s="11">
        <f t="shared" si="19"/>
        <v>0</v>
      </c>
      <c r="BT21" s="3">
        <f t="shared" si="20"/>
        <v>0</v>
      </c>
      <c r="BU21" s="3">
        <f t="shared" si="21"/>
        <v>0</v>
      </c>
      <c r="BV21" s="3">
        <f t="shared" si="22"/>
        <v>0</v>
      </c>
      <c r="BW21" s="3">
        <f t="shared" si="23"/>
        <v>0</v>
      </c>
      <c r="BX21" s="3">
        <f t="shared" si="24"/>
        <v>0</v>
      </c>
      <c r="BY21" s="3">
        <f t="shared" si="25"/>
        <v>0</v>
      </c>
      <c r="BZ21" s="3">
        <f t="shared" si="26"/>
        <v>0</v>
      </c>
      <c r="CA21" s="3">
        <f t="shared" si="27"/>
        <v>0</v>
      </c>
      <c r="CB21" s="3">
        <f t="shared" si="28"/>
        <v>0</v>
      </c>
      <c r="CC21" s="3">
        <f t="shared" si="29"/>
        <v>0</v>
      </c>
      <c r="CD21" s="3">
        <f t="shared" si="30"/>
        <v>0</v>
      </c>
      <c r="CE21" s="3">
        <f t="shared" si="31"/>
        <v>0</v>
      </c>
      <c r="CF21" s="3">
        <f t="shared" si="32"/>
        <v>0</v>
      </c>
      <c r="CG21" s="3">
        <f t="shared" si="33"/>
        <v>0</v>
      </c>
      <c r="CH21" s="3">
        <f t="shared" si="34"/>
        <v>0</v>
      </c>
      <c r="CI21" s="22"/>
    </row>
    <row r="22" spans="2:87" x14ac:dyDescent="0.25">
      <c r="B22" s="5" t="s">
        <v>97</v>
      </c>
      <c r="C22" s="5" t="s">
        <v>115</v>
      </c>
      <c r="D22" s="5" t="s">
        <v>154</v>
      </c>
      <c r="E22" s="51">
        <v>40787</v>
      </c>
      <c r="F22" s="51">
        <v>40816</v>
      </c>
      <c r="G22" s="51">
        <v>40757</v>
      </c>
      <c r="H22" s="5">
        <v>130</v>
      </c>
      <c r="I22" s="5" t="s">
        <v>114</v>
      </c>
      <c r="J22" s="5">
        <v>5</v>
      </c>
      <c r="K22" s="5">
        <v>720</v>
      </c>
      <c r="L22" s="5">
        <v>2.5509670309775001</v>
      </c>
      <c r="M22" s="5">
        <v>-12.7548351548875</v>
      </c>
      <c r="N22" s="5">
        <v>0</v>
      </c>
      <c r="O22" s="5">
        <v>0</v>
      </c>
      <c r="P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-12.7721383037299</v>
      </c>
      <c r="Y22" s="5">
        <v>0</v>
      </c>
      <c r="Z22" s="5">
        <v>-12.7721383037299</v>
      </c>
      <c r="AA22" s="5">
        <v>-12.7721383037299</v>
      </c>
      <c r="AB22" s="5">
        <v>0</v>
      </c>
      <c r="AC22" s="5">
        <v>-12.7721383037299</v>
      </c>
      <c r="AD22" s="37">
        <v>40753</v>
      </c>
      <c r="AE22" s="37">
        <v>40787</v>
      </c>
      <c r="AF22" s="37">
        <v>40816</v>
      </c>
      <c r="AG22" s="37">
        <v>40757</v>
      </c>
      <c r="AH22" s="33" t="s">
        <v>68</v>
      </c>
      <c r="AI22" s="9"/>
      <c r="AJ22" s="9">
        <v>130</v>
      </c>
      <c r="AK22" s="9">
        <v>27</v>
      </c>
      <c r="AL22" s="9">
        <v>3.66</v>
      </c>
      <c r="AM22" s="35"/>
      <c r="AN22" s="7">
        <v>5</v>
      </c>
      <c r="AO22" s="7"/>
      <c r="AP22" s="9" t="s">
        <v>168</v>
      </c>
      <c r="AQ22" s="26">
        <f t="shared" si="35"/>
        <v>27</v>
      </c>
      <c r="AR22" s="26"/>
      <c r="AS22" s="29"/>
      <c r="AT22" s="26"/>
      <c r="AU22" s="27"/>
      <c r="AV22" s="27"/>
      <c r="AW22" s="1">
        <f>AL22*$C$32</f>
        <v>2.5509670309775005</v>
      </c>
      <c r="AX22" s="30">
        <v>0</v>
      </c>
      <c r="AY22" s="30">
        <v>0</v>
      </c>
      <c r="AZ22" s="30">
        <v>0</v>
      </c>
      <c r="BA22" s="30">
        <v>0</v>
      </c>
      <c r="BB22" s="30">
        <v>0</v>
      </c>
      <c r="BC22" s="46">
        <f>-AL22*AN22*C$32</f>
        <v>-12.754835154887502</v>
      </c>
      <c r="BD22" s="1">
        <v>0</v>
      </c>
      <c r="BE22" s="1">
        <v>0</v>
      </c>
      <c r="BF22" s="1">
        <v>0</v>
      </c>
      <c r="BG22" s="46">
        <f>-AL22*AN22*$J$10</f>
        <v>-12.77213830372993</v>
      </c>
      <c r="BH22" s="1">
        <f t="shared" si="9"/>
        <v>0</v>
      </c>
      <c r="BI22" s="46">
        <f t="shared" si="10"/>
        <v>-12.77213830372993</v>
      </c>
      <c r="BJ22" s="46">
        <f t="shared" si="37"/>
        <v>-12.77213830372993</v>
      </c>
      <c r="BK22" s="1">
        <f t="shared" si="11"/>
        <v>0</v>
      </c>
      <c r="BL22" s="46">
        <f t="shared" si="12"/>
        <v>-12.77213830372993</v>
      </c>
      <c r="BM22" s="24">
        <v>0</v>
      </c>
      <c r="BN22" s="45">
        <f t="shared" si="14"/>
        <v>0</v>
      </c>
      <c r="BO22" s="45">
        <f t="shared" si="15"/>
        <v>0</v>
      </c>
      <c r="BP22" s="45">
        <f t="shared" si="16"/>
        <v>0</v>
      </c>
      <c r="BQ22" s="45">
        <f t="shared" si="17"/>
        <v>0</v>
      </c>
      <c r="BR22" s="41">
        <f t="shared" si="18"/>
        <v>0</v>
      </c>
      <c r="BS22" s="11">
        <f t="shared" si="19"/>
        <v>0</v>
      </c>
      <c r="BT22" s="3">
        <f t="shared" si="20"/>
        <v>0</v>
      </c>
      <c r="BU22" s="3">
        <f t="shared" si="21"/>
        <v>0</v>
      </c>
      <c r="BV22" s="3">
        <f t="shared" si="22"/>
        <v>0</v>
      </c>
      <c r="BW22" s="3">
        <f t="shared" si="23"/>
        <v>0</v>
      </c>
      <c r="BX22" s="3">
        <f t="shared" si="24"/>
        <v>0</v>
      </c>
      <c r="BY22" s="3">
        <f t="shared" si="25"/>
        <v>0</v>
      </c>
      <c r="BZ22" s="3">
        <f t="shared" si="26"/>
        <v>0</v>
      </c>
      <c r="CA22" s="3">
        <f t="shared" si="27"/>
        <v>0</v>
      </c>
      <c r="CB22" s="3">
        <f t="shared" si="28"/>
        <v>0</v>
      </c>
      <c r="CC22" s="3">
        <f t="shared" si="29"/>
        <v>0</v>
      </c>
      <c r="CD22" s="3">
        <f t="shared" si="30"/>
        <v>0</v>
      </c>
      <c r="CE22" s="3">
        <f t="shared" si="31"/>
        <v>0</v>
      </c>
      <c r="CF22" s="3">
        <f t="shared" si="32"/>
        <v>0</v>
      </c>
      <c r="CG22" s="3">
        <f t="shared" si="33"/>
        <v>0</v>
      </c>
      <c r="CH22" s="3">
        <f t="shared" si="34"/>
        <v>0</v>
      </c>
    </row>
    <row r="23" spans="2:87" ht="15.75" customHeight="1" x14ac:dyDescent="0.25">
      <c r="B23" s="14" t="s">
        <v>97</v>
      </c>
      <c r="C23" s="14" t="s">
        <v>115</v>
      </c>
      <c r="D23" s="14" t="s">
        <v>155</v>
      </c>
      <c r="E23" s="15">
        <v>40787</v>
      </c>
      <c r="F23" s="15">
        <v>40816</v>
      </c>
      <c r="G23" s="15">
        <v>40757</v>
      </c>
      <c r="H23" s="14">
        <v>130</v>
      </c>
      <c r="I23" s="14" t="s">
        <v>114</v>
      </c>
      <c r="J23" s="14">
        <v>5</v>
      </c>
      <c r="K23" s="14">
        <v>720</v>
      </c>
      <c r="L23" s="14">
        <v>2.5509670309775001</v>
      </c>
      <c r="M23" s="14">
        <v>-12.7548351548875</v>
      </c>
      <c r="N23" s="14">
        <v>0</v>
      </c>
      <c r="O23" s="14">
        <v>0</v>
      </c>
      <c r="P23" s="14">
        <v>0</v>
      </c>
      <c r="Q23" s="14">
        <v>0</v>
      </c>
      <c r="R23" s="16">
        <v>0</v>
      </c>
      <c r="S23" s="14">
        <v>0</v>
      </c>
      <c r="T23" s="31">
        <v>0</v>
      </c>
      <c r="U23" s="14">
        <v>0</v>
      </c>
      <c r="V23" s="14">
        <v>0</v>
      </c>
      <c r="W23" s="14">
        <v>0</v>
      </c>
      <c r="X23" s="14">
        <v>-12.7721383037299</v>
      </c>
      <c r="Y23" s="14">
        <v>0</v>
      </c>
      <c r="Z23" s="14">
        <v>-12.7721383037299</v>
      </c>
      <c r="AA23" s="14">
        <v>-12.7721383037299</v>
      </c>
      <c r="AB23" s="14">
        <v>0</v>
      </c>
      <c r="AC23" s="14">
        <v>-12.7721383037299</v>
      </c>
      <c r="AD23" s="37">
        <v>40753</v>
      </c>
      <c r="AE23" s="37">
        <v>40787</v>
      </c>
      <c r="AF23" s="37">
        <v>40816</v>
      </c>
      <c r="AG23" s="37">
        <v>40757</v>
      </c>
      <c r="AH23" s="33" t="s">
        <v>120</v>
      </c>
      <c r="AI23" s="7"/>
      <c r="AJ23" s="9">
        <v>130</v>
      </c>
      <c r="AK23" s="7">
        <v>77</v>
      </c>
      <c r="AL23" s="9">
        <v>3.66</v>
      </c>
      <c r="AM23" s="7"/>
      <c r="AN23" s="7">
        <v>5</v>
      </c>
      <c r="AO23" s="7"/>
      <c r="AP23" s="9" t="s">
        <v>169</v>
      </c>
      <c r="AQ23" s="26">
        <f t="shared" si="35"/>
        <v>77</v>
      </c>
      <c r="AR23" s="26"/>
      <c r="AS23" s="29"/>
      <c r="AT23" s="26"/>
      <c r="AU23" s="27"/>
      <c r="AV23" s="27"/>
      <c r="AW23" s="1">
        <f t="shared" ref="AW23:AW25" si="38">AL23*$C$32</f>
        <v>2.5509670309775005</v>
      </c>
      <c r="AX23" s="30">
        <v>0</v>
      </c>
      <c r="AY23" s="30">
        <v>0</v>
      </c>
      <c r="AZ23" s="30">
        <v>0</v>
      </c>
      <c r="BA23" s="30">
        <v>0</v>
      </c>
      <c r="BB23" s="30">
        <v>0</v>
      </c>
      <c r="BC23" s="46">
        <f t="shared" ref="BC23:BC25" si="39">-AL23*AN23*C$32</f>
        <v>-12.754835154887502</v>
      </c>
      <c r="BD23" s="1">
        <v>0</v>
      </c>
      <c r="BE23" s="1">
        <v>0</v>
      </c>
      <c r="BF23" s="1">
        <v>0</v>
      </c>
      <c r="BG23" s="46">
        <f t="shared" ref="BG23:BG25" si="40">-AL23*AN23*$J$10</f>
        <v>-12.77213830372993</v>
      </c>
      <c r="BH23" s="1">
        <f t="shared" si="9"/>
        <v>0</v>
      </c>
      <c r="BI23" s="46">
        <f t="shared" si="10"/>
        <v>-12.77213830372993</v>
      </c>
      <c r="BJ23" s="46">
        <f t="shared" si="37"/>
        <v>-12.77213830372993</v>
      </c>
      <c r="BK23" s="1">
        <f t="shared" si="11"/>
        <v>0</v>
      </c>
      <c r="BL23" s="46">
        <f t="shared" si="12"/>
        <v>-12.77213830372993</v>
      </c>
      <c r="BM23" s="24">
        <v>0</v>
      </c>
      <c r="BN23" s="45">
        <f t="shared" si="14"/>
        <v>0</v>
      </c>
      <c r="BO23" s="45">
        <f t="shared" si="15"/>
        <v>0</v>
      </c>
      <c r="BP23" s="45">
        <f t="shared" si="16"/>
        <v>0</v>
      </c>
      <c r="BQ23" s="45">
        <f t="shared" si="17"/>
        <v>0</v>
      </c>
      <c r="BR23" s="41">
        <f t="shared" si="18"/>
        <v>0</v>
      </c>
      <c r="BS23" s="11">
        <f t="shared" si="19"/>
        <v>0</v>
      </c>
      <c r="BT23" s="3">
        <f t="shared" si="20"/>
        <v>0</v>
      </c>
      <c r="BU23" s="3">
        <f t="shared" si="21"/>
        <v>0</v>
      </c>
      <c r="BV23" s="3">
        <f t="shared" si="22"/>
        <v>0</v>
      </c>
      <c r="BW23" s="3">
        <f t="shared" si="23"/>
        <v>0</v>
      </c>
      <c r="BX23" s="3">
        <f t="shared" si="24"/>
        <v>0</v>
      </c>
      <c r="BY23" s="3">
        <f t="shared" si="25"/>
        <v>0</v>
      </c>
      <c r="BZ23" s="3">
        <f t="shared" si="26"/>
        <v>0</v>
      </c>
      <c r="CA23" s="3">
        <f t="shared" si="27"/>
        <v>0</v>
      </c>
      <c r="CB23" s="3">
        <f t="shared" si="28"/>
        <v>0</v>
      </c>
      <c r="CC23" s="3">
        <f t="shared" si="29"/>
        <v>0</v>
      </c>
      <c r="CD23" s="3">
        <f t="shared" si="30"/>
        <v>0</v>
      </c>
      <c r="CE23" s="3">
        <f t="shared" si="31"/>
        <v>0</v>
      </c>
      <c r="CF23" s="3">
        <f t="shared" si="32"/>
        <v>0</v>
      </c>
      <c r="CG23" s="3">
        <f t="shared" si="33"/>
        <v>0</v>
      </c>
      <c r="CH23" s="3">
        <f t="shared" si="34"/>
        <v>0</v>
      </c>
    </row>
    <row r="24" spans="2:87" ht="15" customHeight="1" x14ac:dyDescent="0.25">
      <c r="B24" s="14" t="s">
        <v>97</v>
      </c>
      <c r="C24" s="14" t="s">
        <v>115</v>
      </c>
      <c r="D24" s="14" t="s">
        <v>156</v>
      </c>
      <c r="E24" s="15">
        <v>40787</v>
      </c>
      <c r="F24" s="15">
        <v>40816</v>
      </c>
      <c r="G24" s="15">
        <v>40757</v>
      </c>
      <c r="H24" s="14">
        <v>80</v>
      </c>
      <c r="I24" s="14" t="s">
        <v>114</v>
      </c>
      <c r="J24" s="14">
        <v>5</v>
      </c>
      <c r="K24" s="14">
        <v>720</v>
      </c>
      <c r="L24" s="14">
        <v>2.5509670309775001</v>
      </c>
      <c r="M24" s="14">
        <v>-12.7548351548875</v>
      </c>
      <c r="N24" s="14">
        <v>0</v>
      </c>
      <c r="O24" s="14">
        <v>0</v>
      </c>
      <c r="P24" s="14">
        <v>0</v>
      </c>
      <c r="Q24" s="14">
        <v>0</v>
      </c>
      <c r="R24" s="16">
        <v>0</v>
      </c>
      <c r="S24" s="14">
        <v>0</v>
      </c>
      <c r="T24" s="31">
        <v>0</v>
      </c>
      <c r="U24" s="14">
        <v>0</v>
      </c>
      <c r="V24" s="14">
        <v>0</v>
      </c>
      <c r="W24" s="14">
        <v>0</v>
      </c>
      <c r="X24" s="14">
        <v>-12.7721383037299</v>
      </c>
      <c r="Y24" s="14">
        <v>0</v>
      </c>
      <c r="Z24" s="14">
        <v>-12.7721383037299</v>
      </c>
      <c r="AA24" s="14">
        <v>-12.7721383037299</v>
      </c>
      <c r="AB24" s="14">
        <v>0</v>
      </c>
      <c r="AC24" s="14">
        <v>-12.7721383037299</v>
      </c>
      <c r="AD24" s="37">
        <v>40753</v>
      </c>
      <c r="AE24" s="37">
        <v>40787</v>
      </c>
      <c r="AF24" s="37">
        <v>40816</v>
      </c>
      <c r="AG24" s="37">
        <v>40757</v>
      </c>
      <c r="AH24" s="43" t="s">
        <v>68</v>
      </c>
      <c r="AI24" s="7"/>
      <c r="AJ24" s="9">
        <v>80</v>
      </c>
      <c r="AK24" s="7">
        <v>55</v>
      </c>
      <c r="AL24" s="9">
        <v>3.66</v>
      </c>
      <c r="AM24" s="7"/>
      <c r="AN24" s="7">
        <v>5</v>
      </c>
      <c r="AO24" s="7"/>
      <c r="AP24" s="9" t="s">
        <v>170</v>
      </c>
      <c r="AQ24" s="26">
        <f t="shared" si="35"/>
        <v>55</v>
      </c>
      <c r="AR24" s="26"/>
      <c r="AS24" s="29"/>
      <c r="AT24" s="26"/>
      <c r="AU24" s="27"/>
      <c r="AV24" s="27"/>
      <c r="AW24" s="1">
        <f t="shared" si="38"/>
        <v>2.5509670309775005</v>
      </c>
      <c r="AX24" s="30">
        <v>0</v>
      </c>
      <c r="AY24" s="30">
        <v>0</v>
      </c>
      <c r="AZ24" s="30">
        <v>0</v>
      </c>
      <c r="BA24" s="30">
        <v>0</v>
      </c>
      <c r="BB24" s="30">
        <v>0</v>
      </c>
      <c r="BC24" s="46">
        <f t="shared" si="39"/>
        <v>-12.754835154887502</v>
      </c>
      <c r="BD24" s="1">
        <v>0</v>
      </c>
      <c r="BE24" s="1">
        <v>0</v>
      </c>
      <c r="BF24" s="1">
        <v>0</v>
      </c>
      <c r="BG24" s="46">
        <f t="shared" si="40"/>
        <v>-12.77213830372993</v>
      </c>
      <c r="BH24" s="1">
        <f t="shared" si="9"/>
        <v>0</v>
      </c>
      <c r="BI24" s="46">
        <f t="shared" si="10"/>
        <v>-12.77213830372993</v>
      </c>
      <c r="BJ24" s="46">
        <f t="shared" si="37"/>
        <v>-12.77213830372993</v>
      </c>
      <c r="BK24" s="1">
        <f t="shared" si="11"/>
        <v>0</v>
      </c>
      <c r="BL24" s="46">
        <f t="shared" si="12"/>
        <v>-12.77213830372993</v>
      </c>
      <c r="BM24" s="24">
        <v>0</v>
      </c>
      <c r="BN24" s="45">
        <f t="shared" si="14"/>
        <v>0</v>
      </c>
      <c r="BO24" s="45">
        <f t="shared" si="15"/>
        <v>0</v>
      </c>
      <c r="BP24" s="45">
        <f t="shared" si="16"/>
        <v>0</v>
      </c>
      <c r="BQ24" s="45">
        <f t="shared" si="17"/>
        <v>0</v>
      </c>
      <c r="BR24" s="41">
        <f t="shared" si="18"/>
        <v>0</v>
      </c>
      <c r="BS24" s="11">
        <f t="shared" si="19"/>
        <v>0</v>
      </c>
      <c r="BT24" s="3">
        <f t="shared" si="20"/>
        <v>0</v>
      </c>
      <c r="BU24" s="3">
        <f t="shared" si="21"/>
        <v>0</v>
      </c>
      <c r="BV24" s="3">
        <f t="shared" si="22"/>
        <v>0</v>
      </c>
      <c r="BW24" s="3">
        <f t="shared" si="23"/>
        <v>0</v>
      </c>
      <c r="BX24" s="3">
        <f t="shared" si="24"/>
        <v>0</v>
      </c>
      <c r="BY24" s="3">
        <f t="shared" si="25"/>
        <v>0</v>
      </c>
      <c r="BZ24" s="3">
        <f t="shared" si="26"/>
        <v>0</v>
      </c>
      <c r="CA24" s="3">
        <f t="shared" si="27"/>
        <v>0</v>
      </c>
      <c r="CB24" s="3">
        <f t="shared" si="28"/>
        <v>0</v>
      </c>
      <c r="CC24" s="3">
        <f t="shared" si="29"/>
        <v>0</v>
      </c>
      <c r="CD24" s="3">
        <f t="shared" si="30"/>
        <v>0</v>
      </c>
      <c r="CE24" s="3">
        <f t="shared" si="31"/>
        <v>0</v>
      </c>
      <c r="CF24" s="3">
        <f t="shared" si="32"/>
        <v>0</v>
      </c>
      <c r="CG24" s="3">
        <f t="shared" si="33"/>
        <v>0</v>
      </c>
      <c r="CH24" s="3">
        <f t="shared" si="34"/>
        <v>0</v>
      </c>
    </row>
    <row r="25" spans="2:87" x14ac:dyDescent="0.25">
      <c r="B25" s="5" t="s">
        <v>97</v>
      </c>
      <c r="C25" s="5" t="s">
        <v>115</v>
      </c>
      <c r="D25" s="5" t="s">
        <v>157</v>
      </c>
      <c r="E25" s="51">
        <v>40787</v>
      </c>
      <c r="F25" s="51">
        <v>40816</v>
      </c>
      <c r="G25" s="51">
        <v>40757</v>
      </c>
      <c r="H25" s="5">
        <v>80</v>
      </c>
      <c r="I25" s="5" t="s">
        <v>114</v>
      </c>
      <c r="J25" s="5">
        <v>5</v>
      </c>
      <c r="K25" s="5">
        <v>720</v>
      </c>
      <c r="L25" s="5">
        <v>2.5509670309775001</v>
      </c>
      <c r="M25" s="5">
        <v>-12.7548351548875</v>
      </c>
      <c r="N25" s="5">
        <v>0</v>
      </c>
      <c r="O25" s="5">
        <v>0</v>
      </c>
      <c r="P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-12.7721383037299</v>
      </c>
      <c r="Y25" s="5">
        <v>0</v>
      </c>
      <c r="Z25" s="5">
        <v>-12.7721383037299</v>
      </c>
      <c r="AA25" s="5">
        <v>-12.7721383037299</v>
      </c>
      <c r="AB25" s="5">
        <v>0</v>
      </c>
      <c r="AC25" s="5">
        <v>-12.7721383037299</v>
      </c>
      <c r="AD25" s="37">
        <v>40753</v>
      </c>
      <c r="AE25" s="37">
        <v>40787</v>
      </c>
      <c r="AF25" s="37">
        <v>40816</v>
      </c>
      <c r="AG25" s="37">
        <v>40757</v>
      </c>
      <c r="AH25" s="43" t="s">
        <v>120</v>
      </c>
      <c r="AI25" s="7"/>
      <c r="AJ25" s="9">
        <v>80</v>
      </c>
      <c r="AK25" s="7">
        <v>4</v>
      </c>
      <c r="AL25" s="9">
        <v>3.66</v>
      </c>
      <c r="AM25" s="7"/>
      <c r="AN25" s="7">
        <v>5</v>
      </c>
      <c r="AO25" s="7"/>
      <c r="AP25" s="9" t="s">
        <v>171</v>
      </c>
      <c r="AQ25" s="26">
        <f t="shared" si="35"/>
        <v>4</v>
      </c>
      <c r="AR25" s="26"/>
      <c r="AS25" s="29"/>
      <c r="AT25" s="26"/>
      <c r="AU25" s="27"/>
      <c r="AV25" s="27"/>
      <c r="AW25" s="1">
        <f t="shared" si="38"/>
        <v>2.5509670309775005</v>
      </c>
      <c r="AX25" s="30">
        <v>0</v>
      </c>
      <c r="AY25" s="30">
        <v>0</v>
      </c>
      <c r="AZ25" s="30">
        <v>0</v>
      </c>
      <c r="BA25" s="30">
        <v>0</v>
      </c>
      <c r="BB25" s="30">
        <v>0</v>
      </c>
      <c r="BC25" s="46">
        <f t="shared" si="39"/>
        <v>-12.754835154887502</v>
      </c>
      <c r="BD25" s="1">
        <v>0</v>
      </c>
      <c r="BE25" s="1">
        <v>0</v>
      </c>
      <c r="BF25" s="1">
        <v>0</v>
      </c>
      <c r="BG25" s="46">
        <f t="shared" si="40"/>
        <v>-12.77213830372993</v>
      </c>
      <c r="BH25" s="1">
        <f t="shared" si="9"/>
        <v>0</v>
      </c>
      <c r="BI25" s="46">
        <f t="shared" si="10"/>
        <v>-12.77213830372993</v>
      </c>
      <c r="BJ25" s="46">
        <f t="shared" si="37"/>
        <v>-12.77213830372993</v>
      </c>
      <c r="BK25" s="1">
        <f t="shared" si="11"/>
        <v>0</v>
      </c>
      <c r="BL25" s="46">
        <f t="shared" si="12"/>
        <v>-12.77213830372993</v>
      </c>
      <c r="BM25" s="24">
        <v>0</v>
      </c>
      <c r="BN25" s="45">
        <f t="shared" si="14"/>
        <v>0</v>
      </c>
      <c r="BO25" s="45">
        <f t="shared" si="15"/>
        <v>0</v>
      </c>
      <c r="BP25" s="45">
        <f t="shared" si="16"/>
        <v>0</v>
      </c>
      <c r="BQ25" s="45">
        <f t="shared" si="17"/>
        <v>0</v>
      </c>
      <c r="BR25" s="41">
        <f t="shared" si="18"/>
        <v>0</v>
      </c>
      <c r="BS25" s="11">
        <f t="shared" si="19"/>
        <v>0</v>
      </c>
      <c r="BT25" s="3">
        <f t="shared" si="20"/>
        <v>0</v>
      </c>
      <c r="BU25" s="3">
        <f t="shared" si="21"/>
        <v>0</v>
      </c>
      <c r="BV25" s="3">
        <f t="shared" si="22"/>
        <v>0</v>
      </c>
      <c r="BW25" s="3">
        <f t="shared" si="23"/>
        <v>0</v>
      </c>
      <c r="BX25" s="3">
        <f t="shared" si="24"/>
        <v>0</v>
      </c>
      <c r="BY25" s="3">
        <f t="shared" si="25"/>
        <v>0</v>
      </c>
      <c r="BZ25" s="3">
        <f t="shared" si="26"/>
        <v>0</v>
      </c>
      <c r="CA25" s="3">
        <f t="shared" si="27"/>
        <v>0</v>
      </c>
      <c r="CB25" s="3">
        <f t="shared" si="28"/>
        <v>0</v>
      </c>
      <c r="CC25" s="3">
        <f t="shared" si="29"/>
        <v>0</v>
      </c>
      <c r="CD25" s="3">
        <f t="shared" si="30"/>
        <v>0</v>
      </c>
      <c r="CE25" s="3">
        <f t="shared" si="31"/>
        <v>0</v>
      </c>
      <c r="CF25" s="3">
        <f t="shared" si="32"/>
        <v>0</v>
      </c>
      <c r="CG25" s="3">
        <f t="shared" si="33"/>
        <v>0</v>
      </c>
      <c r="CH25" s="3">
        <f t="shared" si="34"/>
        <v>0</v>
      </c>
    </row>
    <row r="26" spans="2:87" x14ac:dyDescent="0.25">
      <c r="B26" s="5" t="s">
        <v>97</v>
      </c>
      <c r="C26" s="5" t="s">
        <v>98</v>
      </c>
      <c r="D26" s="5" t="s">
        <v>158</v>
      </c>
      <c r="E26" s="51">
        <v>40848</v>
      </c>
      <c r="F26" s="51">
        <v>40877</v>
      </c>
      <c r="G26" s="51">
        <v>40816</v>
      </c>
      <c r="H26" s="5">
        <v>130</v>
      </c>
      <c r="I26" s="5" t="s">
        <v>114</v>
      </c>
      <c r="J26" s="5">
        <v>5</v>
      </c>
      <c r="K26" s="5">
        <v>720</v>
      </c>
      <c r="L26" s="5">
        <v>2.7199037919222202</v>
      </c>
      <c r="M26" s="5">
        <v>-13.5995189596111</v>
      </c>
      <c r="N26" s="5">
        <v>0</v>
      </c>
      <c r="O26" s="5">
        <v>0</v>
      </c>
      <c r="P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-13.5328914167705</v>
      </c>
      <c r="Y26" s="5">
        <v>0</v>
      </c>
      <c r="Z26" s="5">
        <v>-13.5328914167705</v>
      </c>
      <c r="AA26" s="5">
        <v>-13.5328914167705</v>
      </c>
      <c r="AB26" s="5">
        <v>0</v>
      </c>
      <c r="AC26" s="5">
        <v>-13.5328914167705</v>
      </c>
      <c r="AD26" s="59">
        <v>40808</v>
      </c>
      <c r="AE26" s="59">
        <v>40848</v>
      </c>
      <c r="AF26" s="59">
        <v>40877</v>
      </c>
      <c r="AG26" s="59">
        <v>40816</v>
      </c>
      <c r="AH26" s="43" t="s">
        <v>68</v>
      </c>
      <c r="AI26" s="7"/>
      <c r="AJ26" s="9">
        <v>130</v>
      </c>
      <c r="AK26" s="7">
        <v>5</v>
      </c>
      <c r="AL26" s="9">
        <v>3.66</v>
      </c>
      <c r="AM26" s="7"/>
      <c r="AN26" s="7">
        <v>5</v>
      </c>
      <c r="AO26" s="7"/>
      <c r="AP26" s="9" t="s">
        <v>164</v>
      </c>
      <c r="AQ26" s="26">
        <f t="shared" si="35"/>
        <v>5</v>
      </c>
      <c r="AR26" s="26"/>
      <c r="AS26" s="29"/>
      <c r="AT26" s="26"/>
      <c r="AU26" s="27"/>
      <c r="AV26" s="27"/>
      <c r="AW26" s="1">
        <f>AL26*$C$31</f>
        <v>2.719903791922218</v>
      </c>
      <c r="AX26" s="30">
        <v>0</v>
      </c>
      <c r="AY26" s="30">
        <v>0</v>
      </c>
      <c r="AZ26" s="30">
        <v>0</v>
      </c>
      <c r="BA26" s="30">
        <v>0</v>
      </c>
      <c r="BB26" s="30">
        <v>0</v>
      </c>
      <c r="BC26" s="46">
        <f>-AL26*AN26*C$31</f>
        <v>-13.599518959611089</v>
      </c>
      <c r="BD26" s="1">
        <v>0</v>
      </c>
      <c r="BE26" s="1">
        <v>0</v>
      </c>
      <c r="BF26" s="1">
        <v>0</v>
      </c>
      <c r="BG26" s="46">
        <f>-AL26*AN26*$J$11</f>
        <v>-13.532891416770505</v>
      </c>
      <c r="BH26" s="1">
        <f t="shared" si="9"/>
        <v>0</v>
      </c>
      <c r="BI26" s="46">
        <f t="shared" si="10"/>
        <v>-13.532891416770505</v>
      </c>
      <c r="BJ26" s="46">
        <f t="shared" si="37"/>
        <v>-13.532891416770505</v>
      </c>
      <c r="BK26" s="1">
        <f t="shared" si="11"/>
        <v>0</v>
      </c>
      <c r="BL26" s="46">
        <f t="shared" si="12"/>
        <v>-13.532891416770505</v>
      </c>
      <c r="BM26" s="24">
        <v>0</v>
      </c>
      <c r="BN26" s="45">
        <f t="shared" si="14"/>
        <v>0</v>
      </c>
      <c r="BO26" s="45">
        <f t="shared" si="15"/>
        <v>0</v>
      </c>
      <c r="BP26" s="45">
        <f t="shared" si="16"/>
        <v>0</v>
      </c>
      <c r="BQ26" s="45">
        <f t="shared" si="17"/>
        <v>0</v>
      </c>
      <c r="BR26" s="41">
        <f t="shared" si="18"/>
        <v>0</v>
      </c>
      <c r="BS26" s="11">
        <f t="shared" si="19"/>
        <v>0</v>
      </c>
      <c r="BT26" s="3">
        <f t="shared" si="20"/>
        <v>0</v>
      </c>
      <c r="BU26" s="3">
        <f t="shared" si="21"/>
        <v>0</v>
      </c>
      <c r="BV26" s="3">
        <f t="shared" si="22"/>
        <v>0</v>
      </c>
      <c r="BW26" s="3">
        <f t="shared" si="23"/>
        <v>0</v>
      </c>
      <c r="BX26" s="3">
        <f t="shared" si="24"/>
        <v>0</v>
      </c>
      <c r="BY26" s="3">
        <f t="shared" si="25"/>
        <v>0</v>
      </c>
      <c r="BZ26" s="3">
        <f t="shared" si="26"/>
        <v>0</v>
      </c>
      <c r="CA26" s="3">
        <f t="shared" si="27"/>
        <v>0</v>
      </c>
      <c r="CB26" s="3">
        <f t="shared" si="28"/>
        <v>0</v>
      </c>
      <c r="CC26" s="3">
        <f t="shared" si="29"/>
        <v>0</v>
      </c>
      <c r="CD26" s="3">
        <f t="shared" si="30"/>
        <v>0</v>
      </c>
      <c r="CE26" s="3">
        <f t="shared" si="31"/>
        <v>0</v>
      </c>
      <c r="CF26" s="3">
        <f t="shared" si="32"/>
        <v>0</v>
      </c>
      <c r="CG26" s="3">
        <f t="shared" si="33"/>
        <v>0</v>
      </c>
      <c r="CH26" s="3">
        <f t="shared" si="34"/>
        <v>0</v>
      </c>
    </row>
    <row r="27" spans="2:87" x14ac:dyDescent="0.25">
      <c r="B27" s="5" t="s">
        <v>97</v>
      </c>
      <c r="C27" s="5" t="s">
        <v>98</v>
      </c>
      <c r="D27" s="5" t="s">
        <v>159</v>
      </c>
      <c r="E27" s="51">
        <v>40848</v>
      </c>
      <c r="F27" s="51">
        <v>40877</v>
      </c>
      <c r="G27" s="51">
        <v>40816</v>
      </c>
      <c r="H27" s="5">
        <v>130</v>
      </c>
      <c r="I27" s="5" t="s">
        <v>114</v>
      </c>
      <c r="J27" s="5">
        <v>5</v>
      </c>
      <c r="K27" s="5">
        <v>720</v>
      </c>
      <c r="L27" s="5">
        <v>2.7199037919222202</v>
      </c>
      <c r="M27" s="5">
        <v>-13.5995189596111</v>
      </c>
      <c r="N27" s="5">
        <v>0</v>
      </c>
      <c r="O27" s="5">
        <v>0</v>
      </c>
      <c r="P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-13.5328914167705</v>
      </c>
      <c r="Y27" s="5">
        <v>0</v>
      </c>
      <c r="Z27" s="5">
        <v>-13.5328914167705</v>
      </c>
      <c r="AA27" s="5">
        <v>-13.5328914167705</v>
      </c>
      <c r="AB27" s="5">
        <v>0</v>
      </c>
      <c r="AC27" s="5">
        <v>-13.5328914167705</v>
      </c>
      <c r="AD27" s="59">
        <v>40808</v>
      </c>
      <c r="AE27" s="59">
        <v>40848</v>
      </c>
      <c r="AF27" s="59">
        <v>40877</v>
      </c>
      <c r="AG27" s="59">
        <v>40816</v>
      </c>
      <c r="AH27" s="43" t="s">
        <v>120</v>
      </c>
      <c r="AI27" s="7"/>
      <c r="AJ27" s="9">
        <v>130</v>
      </c>
      <c r="AK27" s="7">
        <v>55</v>
      </c>
      <c r="AL27" s="9">
        <v>3.66</v>
      </c>
      <c r="AM27" s="7"/>
      <c r="AN27" s="7">
        <v>5</v>
      </c>
      <c r="AO27" s="7"/>
      <c r="AP27" s="9" t="s">
        <v>165</v>
      </c>
      <c r="AQ27" s="26">
        <f t="shared" si="35"/>
        <v>55</v>
      </c>
      <c r="AR27" s="26"/>
      <c r="AS27" s="29"/>
      <c r="AT27" s="26"/>
      <c r="AU27" s="27"/>
      <c r="AV27" s="27"/>
      <c r="AW27" s="1">
        <f t="shared" ref="AW27:AW29" si="41">AL27*$C$31</f>
        <v>2.719903791922218</v>
      </c>
      <c r="AX27" s="30">
        <v>0</v>
      </c>
      <c r="AY27" s="30">
        <v>0</v>
      </c>
      <c r="AZ27" s="30">
        <v>0</v>
      </c>
      <c r="BA27" s="30">
        <v>0</v>
      </c>
      <c r="BB27" s="30">
        <v>0</v>
      </c>
      <c r="BC27" s="46">
        <f t="shared" ref="BC27:BC29" si="42">-AL27*AN27*C$31</f>
        <v>-13.599518959611089</v>
      </c>
      <c r="BD27" s="1">
        <v>0</v>
      </c>
      <c r="BE27" s="1">
        <v>0</v>
      </c>
      <c r="BF27" s="1">
        <v>0</v>
      </c>
      <c r="BG27" s="46">
        <f t="shared" ref="BG27:BG29" si="43">-AL27*AN27*$J$11</f>
        <v>-13.532891416770505</v>
      </c>
      <c r="BH27" s="1">
        <f t="shared" si="9"/>
        <v>0</v>
      </c>
      <c r="BI27" s="46">
        <f t="shared" si="10"/>
        <v>-13.532891416770505</v>
      </c>
      <c r="BJ27" s="46">
        <f t="shared" si="37"/>
        <v>-13.532891416770505</v>
      </c>
      <c r="BK27" s="1">
        <f t="shared" si="11"/>
        <v>0</v>
      </c>
      <c r="BL27" s="46">
        <f t="shared" si="12"/>
        <v>-13.532891416770505</v>
      </c>
      <c r="BM27" s="24">
        <v>0</v>
      </c>
      <c r="BN27" s="45">
        <f t="shared" si="14"/>
        <v>0</v>
      </c>
      <c r="BO27" s="45">
        <f t="shared" si="15"/>
        <v>0</v>
      </c>
      <c r="BP27" s="45">
        <f t="shared" si="16"/>
        <v>0</v>
      </c>
      <c r="BQ27" s="45">
        <f t="shared" si="17"/>
        <v>0</v>
      </c>
      <c r="BR27" s="41">
        <f t="shared" si="18"/>
        <v>0</v>
      </c>
      <c r="BS27" s="11">
        <f t="shared" si="19"/>
        <v>0</v>
      </c>
      <c r="BT27" s="3">
        <f t="shared" si="20"/>
        <v>0</v>
      </c>
      <c r="BU27" s="3">
        <f t="shared" si="21"/>
        <v>0</v>
      </c>
      <c r="BV27" s="3">
        <f t="shared" si="22"/>
        <v>0</v>
      </c>
      <c r="BW27" s="3">
        <f t="shared" si="23"/>
        <v>0</v>
      </c>
      <c r="BX27" s="3">
        <f t="shared" si="24"/>
        <v>0</v>
      </c>
      <c r="BY27" s="3">
        <f t="shared" si="25"/>
        <v>0</v>
      </c>
      <c r="BZ27" s="3">
        <f t="shared" si="26"/>
        <v>0</v>
      </c>
      <c r="CA27" s="3">
        <f t="shared" si="27"/>
        <v>0</v>
      </c>
      <c r="CB27" s="3">
        <f t="shared" si="28"/>
        <v>0</v>
      </c>
      <c r="CC27" s="3">
        <f t="shared" si="29"/>
        <v>0</v>
      </c>
      <c r="CD27" s="3">
        <f t="shared" si="30"/>
        <v>0</v>
      </c>
      <c r="CE27" s="3">
        <f t="shared" si="31"/>
        <v>0</v>
      </c>
      <c r="CF27" s="3">
        <f t="shared" si="32"/>
        <v>0</v>
      </c>
      <c r="CG27" s="3">
        <f t="shared" si="33"/>
        <v>0</v>
      </c>
      <c r="CH27" s="3">
        <f t="shared" si="34"/>
        <v>0</v>
      </c>
    </row>
    <row r="28" spans="2:87" x14ac:dyDescent="0.25">
      <c r="B28" s="5" t="s">
        <v>97</v>
      </c>
      <c r="C28" s="5" t="s">
        <v>98</v>
      </c>
      <c r="D28" s="5" t="s">
        <v>160</v>
      </c>
      <c r="E28" s="51">
        <v>40848</v>
      </c>
      <c r="F28" s="51">
        <v>40877</v>
      </c>
      <c r="G28" s="51">
        <v>40816</v>
      </c>
      <c r="H28" s="5">
        <v>80</v>
      </c>
      <c r="I28" s="5" t="s">
        <v>114</v>
      </c>
      <c r="J28" s="5">
        <v>5</v>
      </c>
      <c r="K28" s="5">
        <v>720</v>
      </c>
      <c r="L28" s="5">
        <v>2.7199037919222202</v>
      </c>
      <c r="M28" s="5">
        <v>-13.5995189596111</v>
      </c>
      <c r="N28" s="5">
        <v>0</v>
      </c>
      <c r="O28" s="5">
        <v>0</v>
      </c>
      <c r="P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-13.5328914167705</v>
      </c>
      <c r="Y28" s="5">
        <v>0</v>
      </c>
      <c r="Z28" s="5">
        <v>-13.5328914167705</v>
      </c>
      <c r="AA28" s="5">
        <v>-13.5328914167705</v>
      </c>
      <c r="AB28" s="5">
        <v>0</v>
      </c>
      <c r="AC28" s="5">
        <v>-13.5328914167705</v>
      </c>
      <c r="AD28" s="59">
        <v>40808</v>
      </c>
      <c r="AE28" s="59">
        <v>40848</v>
      </c>
      <c r="AF28" s="59">
        <v>40877</v>
      </c>
      <c r="AG28" s="59">
        <v>40816</v>
      </c>
      <c r="AH28" s="43" t="s">
        <v>68</v>
      </c>
      <c r="AI28" s="7"/>
      <c r="AJ28" s="9">
        <v>80</v>
      </c>
      <c r="AK28" s="7">
        <v>92</v>
      </c>
      <c r="AL28" s="9">
        <v>3.66</v>
      </c>
      <c r="AM28" s="7"/>
      <c r="AN28" s="7">
        <v>5</v>
      </c>
      <c r="AO28" s="7"/>
      <c r="AP28" s="9" t="s">
        <v>166</v>
      </c>
      <c r="AQ28" s="26">
        <f t="shared" si="35"/>
        <v>92</v>
      </c>
      <c r="AR28" s="26"/>
      <c r="AS28" s="29"/>
      <c r="AT28" s="26"/>
      <c r="AU28" s="27"/>
      <c r="AV28" s="27"/>
      <c r="AW28" s="1">
        <f t="shared" si="41"/>
        <v>2.719903791922218</v>
      </c>
      <c r="AX28" s="30">
        <v>0</v>
      </c>
      <c r="AY28" s="30">
        <v>0</v>
      </c>
      <c r="AZ28" s="30">
        <v>0</v>
      </c>
      <c r="BA28" s="30">
        <v>0</v>
      </c>
      <c r="BB28" s="30">
        <v>0</v>
      </c>
      <c r="BC28" s="46">
        <f t="shared" si="42"/>
        <v>-13.599518959611089</v>
      </c>
      <c r="BD28" s="1">
        <v>0</v>
      </c>
      <c r="BE28" s="1">
        <v>0</v>
      </c>
      <c r="BF28" s="1">
        <v>0</v>
      </c>
      <c r="BG28" s="46">
        <f t="shared" si="43"/>
        <v>-13.532891416770505</v>
      </c>
      <c r="BH28" s="1">
        <f t="shared" si="9"/>
        <v>0</v>
      </c>
      <c r="BI28" s="46">
        <f t="shared" si="10"/>
        <v>-13.532891416770505</v>
      </c>
      <c r="BJ28" s="46">
        <f t="shared" si="37"/>
        <v>-13.532891416770505</v>
      </c>
      <c r="BK28" s="1">
        <f t="shared" si="11"/>
        <v>0</v>
      </c>
      <c r="BL28" s="46">
        <f t="shared" si="12"/>
        <v>-13.532891416770505</v>
      </c>
      <c r="BM28" s="24">
        <v>0</v>
      </c>
      <c r="BN28" s="45">
        <f t="shared" si="14"/>
        <v>0</v>
      </c>
      <c r="BO28" s="45">
        <f t="shared" si="15"/>
        <v>0</v>
      </c>
      <c r="BP28" s="45">
        <f t="shared" si="16"/>
        <v>0</v>
      </c>
      <c r="BQ28" s="45">
        <f t="shared" si="17"/>
        <v>0</v>
      </c>
      <c r="BR28" s="41">
        <f t="shared" si="18"/>
        <v>0</v>
      </c>
      <c r="BS28" s="11">
        <f t="shared" si="19"/>
        <v>0</v>
      </c>
      <c r="BT28" s="3">
        <f t="shared" si="20"/>
        <v>0</v>
      </c>
      <c r="BU28" s="3">
        <f t="shared" si="21"/>
        <v>0</v>
      </c>
      <c r="BV28" s="3">
        <f t="shared" si="22"/>
        <v>0</v>
      </c>
      <c r="BW28" s="3">
        <f t="shared" si="23"/>
        <v>0</v>
      </c>
      <c r="BX28" s="3">
        <f t="shared" si="24"/>
        <v>0</v>
      </c>
      <c r="BY28" s="3">
        <f t="shared" si="25"/>
        <v>0</v>
      </c>
      <c r="BZ28" s="3">
        <f t="shared" si="26"/>
        <v>0</v>
      </c>
      <c r="CA28" s="3">
        <f t="shared" si="27"/>
        <v>0</v>
      </c>
      <c r="CB28" s="3">
        <f t="shared" si="28"/>
        <v>0</v>
      </c>
      <c r="CC28" s="3">
        <f t="shared" si="29"/>
        <v>0</v>
      </c>
      <c r="CD28" s="3">
        <f t="shared" si="30"/>
        <v>0</v>
      </c>
      <c r="CE28" s="3">
        <f t="shared" si="31"/>
        <v>0</v>
      </c>
      <c r="CF28" s="3">
        <f t="shared" si="32"/>
        <v>0</v>
      </c>
      <c r="CG28" s="3">
        <f t="shared" si="33"/>
        <v>0</v>
      </c>
      <c r="CH28" s="3">
        <f t="shared" si="34"/>
        <v>0</v>
      </c>
    </row>
    <row r="29" spans="2:87" x14ac:dyDescent="0.25">
      <c r="B29" s="5" t="s">
        <v>97</v>
      </c>
      <c r="C29" s="5" t="s">
        <v>98</v>
      </c>
      <c r="D29" s="5" t="s">
        <v>161</v>
      </c>
      <c r="E29" s="51">
        <v>40848</v>
      </c>
      <c r="F29" s="51">
        <v>40877</v>
      </c>
      <c r="G29" s="51">
        <v>40816</v>
      </c>
      <c r="H29" s="5">
        <v>80</v>
      </c>
      <c r="I29" s="5" t="s">
        <v>114</v>
      </c>
      <c r="J29" s="5">
        <v>5</v>
      </c>
      <c r="K29" s="5">
        <v>720</v>
      </c>
      <c r="L29" s="5">
        <v>2.7199037919222202</v>
      </c>
      <c r="M29" s="5">
        <v>-13.5995189596111</v>
      </c>
      <c r="N29" s="5">
        <v>0</v>
      </c>
      <c r="O29" s="5">
        <v>0</v>
      </c>
      <c r="P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-13.5328914167705</v>
      </c>
      <c r="Y29" s="5">
        <v>0</v>
      </c>
      <c r="Z29" s="5">
        <v>-13.5328914167705</v>
      </c>
      <c r="AA29" s="5">
        <v>-13.5328914167705</v>
      </c>
      <c r="AB29" s="5">
        <v>0</v>
      </c>
      <c r="AC29" s="5">
        <v>-13.5328914167705</v>
      </c>
      <c r="AD29" s="59">
        <v>40808</v>
      </c>
      <c r="AE29" s="59">
        <v>40848</v>
      </c>
      <c r="AF29" s="59">
        <v>40877</v>
      </c>
      <c r="AG29" s="59">
        <v>40816</v>
      </c>
      <c r="AH29" s="43" t="s">
        <v>120</v>
      </c>
      <c r="AI29" s="7"/>
      <c r="AJ29" s="9">
        <v>80</v>
      </c>
      <c r="AK29" s="7">
        <v>3</v>
      </c>
      <c r="AL29" s="9">
        <v>3.66</v>
      </c>
      <c r="AM29" s="7"/>
      <c r="AN29" s="7">
        <v>5</v>
      </c>
      <c r="AO29" s="7"/>
      <c r="AP29" s="9" t="s">
        <v>167</v>
      </c>
      <c r="AQ29" s="26">
        <f t="shared" si="35"/>
        <v>3</v>
      </c>
      <c r="AR29" s="26"/>
      <c r="AS29" s="29"/>
      <c r="AT29" s="26"/>
      <c r="AU29" s="27"/>
      <c r="AV29" s="27"/>
      <c r="AW29" s="1">
        <f t="shared" si="41"/>
        <v>2.719903791922218</v>
      </c>
      <c r="AX29" s="30">
        <v>0</v>
      </c>
      <c r="AY29" s="30">
        <v>0</v>
      </c>
      <c r="AZ29" s="30">
        <v>0</v>
      </c>
      <c r="BA29" s="30">
        <v>0</v>
      </c>
      <c r="BB29" s="30">
        <v>0</v>
      </c>
      <c r="BC29" s="46">
        <f t="shared" si="42"/>
        <v>-13.599518959611089</v>
      </c>
      <c r="BD29" s="1">
        <v>0</v>
      </c>
      <c r="BE29" s="1">
        <v>0</v>
      </c>
      <c r="BF29" s="1">
        <v>0</v>
      </c>
      <c r="BG29" s="46">
        <f t="shared" si="43"/>
        <v>-13.532891416770505</v>
      </c>
      <c r="BH29" s="1">
        <f t="shared" si="9"/>
        <v>0</v>
      </c>
      <c r="BI29" s="46">
        <f t="shared" si="10"/>
        <v>-13.532891416770505</v>
      </c>
      <c r="BJ29" s="46">
        <f t="shared" si="37"/>
        <v>-13.532891416770505</v>
      </c>
      <c r="BK29" s="1">
        <f t="shared" si="11"/>
        <v>0</v>
      </c>
      <c r="BL29" s="46">
        <f t="shared" si="12"/>
        <v>-13.532891416770505</v>
      </c>
      <c r="BM29" s="24">
        <v>0</v>
      </c>
      <c r="BN29" s="45">
        <f t="shared" si="14"/>
        <v>0</v>
      </c>
      <c r="BO29" s="45">
        <f t="shared" si="15"/>
        <v>0</v>
      </c>
      <c r="BP29" s="45">
        <f t="shared" si="16"/>
        <v>0</v>
      </c>
      <c r="BQ29" s="45">
        <f t="shared" si="17"/>
        <v>0</v>
      </c>
      <c r="BR29" s="41">
        <f t="shared" si="18"/>
        <v>0</v>
      </c>
      <c r="BS29" s="11">
        <f t="shared" si="19"/>
        <v>0</v>
      </c>
      <c r="BT29" s="3">
        <f t="shared" si="20"/>
        <v>0</v>
      </c>
      <c r="BU29" s="3">
        <f t="shared" si="21"/>
        <v>0</v>
      </c>
      <c r="BV29" s="3">
        <f t="shared" si="22"/>
        <v>0</v>
      </c>
      <c r="BW29" s="3">
        <f t="shared" si="23"/>
        <v>0</v>
      </c>
      <c r="BX29" s="3">
        <f t="shared" si="24"/>
        <v>0</v>
      </c>
      <c r="BY29" s="3">
        <f t="shared" si="25"/>
        <v>0</v>
      </c>
      <c r="BZ29" s="3">
        <f t="shared" si="26"/>
        <v>0</v>
      </c>
      <c r="CA29" s="3">
        <f t="shared" si="27"/>
        <v>0</v>
      </c>
      <c r="CB29" s="3">
        <f t="shared" si="28"/>
        <v>0</v>
      </c>
      <c r="CC29" s="3">
        <f t="shared" si="29"/>
        <v>0</v>
      </c>
      <c r="CD29" s="3">
        <f t="shared" si="30"/>
        <v>0</v>
      </c>
      <c r="CE29" s="3">
        <f t="shared" si="31"/>
        <v>0</v>
      </c>
      <c r="CF29" s="3">
        <f t="shared" si="32"/>
        <v>0</v>
      </c>
      <c r="CG29" s="3">
        <f t="shared" si="33"/>
        <v>0</v>
      </c>
      <c r="CH29" s="3">
        <f t="shared" si="34"/>
        <v>0</v>
      </c>
    </row>
    <row r="31" spans="2:87" x14ac:dyDescent="0.25">
      <c r="B31" s="5" t="s">
        <v>184</v>
      </c>
      <c r="C31" s="60">
        <v>0.74314311254705401</v>
      </c>
    </row>
    <row r="32" spans="2:87" x14ac:dyDescent="0.25">
      <c r="B32" s="5" t="s">
        <v>186</v>
      </c>
      <c r="C32" s="60">
        <v>0.69698552758948096</v>
      </c>
    </row>
    <row r="33" spans="2:3" x14ac:dyDescent="0.25">
      <c r="B33" s="5" t="s">
        <v>187</v>
      </c>
      <c r="C33" s="60">
        <v>0.71152093073220501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1:CI29"/>
  <sheetViews>
    <sheetView tabSelected="1" topLeftCell="AN7" workbookViewId="0">
      <selection activeCell="AN13" sqref="AN13"/>
    </sheetView>
  </sheetViews>
  <sheetFormatPr baseColWidth="10" defaultColWidth="11.42578125" defaultRowHeight="15" x14ac:dyDescent="0.25"/>
  <cols>
    <col min="1" max="1" width="11.42578125" style="32"/>
    <col min="2" max="2" width="15.140625" style="32" bestFit="1" customWidth="1"/>
    <col min="3" max="4" width="19" style="32" bestFit="1" customWidth="1"/>
    <col min="5" max="5" width="21.85546875" style="23" bestFit="1" customWidth="1"/>
    <col min="6" max="6" width="22.85546875" style="23" customWidth="1"/>
    <col min="7" max="7" width="19.7109375" style="23" bestFit="1" customWidth="1"/>
    <col min="8" max="19" width="11.42578125" style="32"/>
    <col min="20" max="20" width="14" style="32" customWidth="1"/>
    <col min="21" max="28" width="11.42578125" style="32"/>
    <col min="29" max="29" width="12" style="32" bestFit="1" customWidth="1"/>
    <col min="30" max="32" width="12" style="32" customWidth="1"/>
    <col min="33" max="33" width="15.7109375" style="32" customWidth="1"/>
    <col min="34" max="34" width="12" style="32" customWidth="1"/>
    <col min="35" max="35" width="19.42578125" style="32" bestFit="1" customWidth="1"/>
    <col min="36" max="36" width="19.42578125" style="32" customWidth="1"/>
    <col min="37" max="37" width="15.42578125" style="32" bestFit="1" customWidth="1"/>
    <col min="38" max="38" width="15.42578125" style="32" customWidth="1"/>
    <col min="39" max="39" width="19.42578125" style="32" bestFit="1" customWidth="1"/>
    <col min="40" max="40" width="13.140625" style="32" bestFit="1" customWidth="1"/>
    <col min="41" max="41" width="9.140625" style="32" bestFit="1" customWidth="1"/>
    <col min="42" max="42" width="22" style="32" bestFit="1" customWidth="1"/>
    <col min="43" max="43" width="16.5703125" style="32" bestFit="1" customWidth="1"/>
    <col min="44" max="45" width="16.5703125" style="32" customWidth="1"/>
    <col min="46" max="46" width="11.42578125" style="32"/>
    <col min="47" max="47" width="29.85546875" style="32" customWidth="1"/>
    <col min="48" max="48" width="16.42578125" style="32" bestFit="1" customWidth="1"/>
    <col min="49" max="49" width="13.5703125" style="32" bestFit="1" customWidth="1"/>
    <col min="50" max="50" width="13.28515625" style="32" bestFit="1" customWidth="1"/>
    <col min="51" max="51" width="12.5703125" style="32" customWidth="1"/>
    <col min="52" max="52" width="13.7109375" style="32" bestFit="1" customWidth="1"/>
    <col min="53" max="53" width="13.42578125" style="32" bestFit="1" customWidth="1"/>
    <col min="54" max="54" width="15.5703125" style="32" customWidth="1"/>
    <col min="55" max="55" width="16.42578125" style="32" bestFit="1" customWidth="1"/>
    <col min="56" max="56" width="17.42578125" style="32" customWidth="1"/>
    <col min="57" max="57" width="11.42578125" style="32"/>
    <col min="58" max="58" width="14" style="32" customWidth="1"/>
    <col min="59" max="59" width="17" style="32" customWidth="1"/>
    <col min="60" max="64" width="11.42578125" style="32"/>
    <col min="65" max="65" width="13.28515625" style="32" bestFit="1" customWidth="1"/>
    <col min="66" max="68" width="13.28515625" style="32" customWidth="1"/>
    <col min="69" max="69" width="10.42578125" style="32" bestFit="1" customWidth="1"/>
    <col min="70" max="70" width="13.5703125" style="32" bestFit="1" customWidth="1"/>
    <col min="71" max="71" width="14.28515625" style="32" bestFit="1" customWidth="1"/>
    <col min="72" max="72" width="15" style="32" bestFit="1" customWidth="1"/>
    <col min="73" max="73" width="12.7109375" style="32" bestFit="1" customWidth="1"/>
    <col min="74" max="76" width="11.42578125" style="32"/>
    <col min="77" max="77" width="14.85546875" style="32" bestFit="1" customWidth="1"/>
    <col min="78" max="78" width="17.140625" style="32" bestFit="1" customWidth="1"/>
    <col min="79" max="16384" width="11.42578125" style="32"/>
  </cols>
  <sheetData>
    <row r="1" spans="2:87" x14ac:dyDescent="0.25">
      <c r="AP1" s="34"/>
    </row>
    <row r="2" spans="2:87" ht="13.5" customHeight="1" x14ac:dyDescent="0.25">
      <c r="AP2" s="34"/>
    </row>
    <row r="3" spans="2:87" x14ac:dyDescent="0.25">
      <c r="D3" s="5" t="s">
        <v>67</v>
      </c>
      <c r="AI3" s="13"/>
      <c r="AJ3" s="13"/>
      <c r="AP3" s="34"/>
    </row>
    <row r="4" spans="2:87" x14ac:dyDescent="0.25">
      <c r="D4" s="7" t="s">
        <v>63</v>
      </c>
      <c r="AP4" s="21"/>
    </row>
    <row r="5" spans="2:87" x14ac:dyDescent="0.25">
      <c r="D5" s="2" t="s">
        <v>65</v>
      </c>
      <c r="AP5" s="21"/>
    </row>
    <row r="6" spans="2:87" x14ac:dyDescent="0.25">
      <c r="D6" s="4" t="s">
        <v>66</v>
      </c>
    </row>
    <row r="7" spans="2:87" x14ac:dyDescent="0.25">
      <c r="D7" s="21"/>
    </row>
    <row r="8" spans="2:87" ht="93" customHeight="1" x14ac:dyDescent="0.25">
      <c r="D8" s="32" t="s">
        <v>62</v>
      </c>
      <c r="E8" s="50" t="s">
        <v>147</v>
      </c>
      <c r="AI8" s="22"/>
      <c r="AJ8" s="22"/>
    </row>
    <row r="9" spans="2:87" x14ac:dyDescent="0.25">
      <c r="D9" s="32" t="s">
        <v>64</v>
      </c>
      <c r="E9" s="23">
        <v>40862</v>
      </c>
    </row>
    <row r="10" spans="2:87" x14ac:dyDescent="0.25">
      <c r="D10" s="21" t="s">
        <v>195</v>
      </c>
      <c r="E10" s="61">
        <v>0.73308947727552498</v>
      </c>
    </row>
    <row r="11" spans="2:87" x14ac:dyDescent="0.25">
      <c r="D11" s="21" t="s">
        <v>194</v>
      </c>
      <c r="E11" s="61">
        <v>0.73306873580489795</v>
      </c>
      <c r="F11" s="23" t="s">
        <v>196</v>
      </c>
      <c r="G11" s="61">
        <v>1.73307563081571</v>
      </c>
    </row>
    <row r="12" spans="2:87" x14ac:dyDescent="0.25">
      <c r="B12" s="14" t="s">
        <v>8</v>
      </c>
      <c r="C12" s="14" t="s">
        <v>17</v>
      </c>
      <c r="D12" s="14" t="s">
        <v>9</v>
      </c>
      <c r="E12" s="28" t="s">
        <v>10</v>
      </c>
      <c r="F12" s="28" t="s">
        <v>11</v>
      </c>
      <c r="G12" s="28" t="s">
        <v>1</v>
      </c>
      <c r="H12" s="14" t="s">
        <v>2</v>
      </c>
      <c r="I12" s="14" t="s">
        <v>12</v>
      </c>
      <c r="J12" s="14" t="s">
        <v>13</v>
      </c>
      <c r="K12" s="14" t="s">
        <v>0</v>
      </c>
      <c r="L12" s="14" t="s">
        <v>14</v>
      </c>
      <c r="M12" s="14" t="s">
        <v>15</v>
      </c>
      <c r="N12" s="14" t="s">
        <v>16</v>
      </c>
      <c r="O12" s="14" t="s">
        <v>18</v>
      </c>
      <c r="P12" s="14" t="s">
        <v>19</v>
      </c>
      <c r="Q12" s="14" t="s">
        <v>20</v>
      </c>
      <c r="R12" s="14" t="s">
        <v>6</v>
      </c>
      <c r="S12" s="14" t="s">
        <v>7</v>
      </c>
      <c r="T12" s="14" t="s">
        <v>4</v>
      </c>
      <c r="U12" s="14" t="s">
        <v>21</v>
      </c>
      <c r="V12" s="14" t="s">
        <v>22</v>
      </c>
      <c r="W12" s="14" t="s">
        <v>23</v>
      </c>
      <c r="X12" s="14" t="s">
        <v>24</v>
      </c>
      <c r="Y12" s="14" t="s">
        <v>25</v>
      </c>
      <c r="Z12" s="14" t="s">
        <v>26</v>
      </c>
      <c r="AA12" s="14" t="s">
        <v>27</v>
      </c>
      <c r="AB12" s="14" t="s">
        <v>28</v>
      </c>
      <c r="AC12" s="14" t="s">
        <v>29</v>
      </c>
      <c r="AD12" s="36" t="s">
        <v>88</v>
      </c>
      <c r="AE12" s="36" t="s">
        <v>10</v>
      </c>
      <c r="AF12" s="36" t="s">
        <v>11</v>
      </c>
      <c r="AG12" s="36" t="s">
        <v>84</v>
      </c>
      <c r="AH12" s="36" t="s">
        <v>31</v>
      </c>
      <c r="AI12" s="36" t="s">
        <v>32</v>
      </c>
      <c r="AJ12" s="36" t="s">
        <v>2</v>
      </c>
      <c r="AK12" s="36" t="s">
        <v>83</v>
      </c>
      <c r="AL12" s="36" t="s">
        <v>87</v>
      </c>
      <c r="AM12" s="6" t="s">
        <v>5</v>
      </c>
      <c r="AN12" s="36" t="s">
        <v>86</v>
      </c>
      <c r="AO12" s="36" t="s">
        <v>78</v>
      </c>
      <c r="AP12" s="36" t="s">
        <v>89</v>
      </c>
      <c r="AQ12" s="39" t="s">
        <v>83</v>
      </c>
      <c r="AR12" s="39" t="s">
        <v>193</v>
      </c>
      <c r="AS12" s="8" t="s">
        <v>94</v>
      </c>
      <c r="AT12" s="1" t="s">
        <v>30</v>
      </c>
      <c r="AU12" s="1" t="s">
        <v>74</v>
      </c>
      <c r="AV12" s="1" t="s">
        <v>85</v>
      </c>
      <c r="AW12" s="1" t="s">
        <v>71</v>
      </c>
      <c r="AX12" s="30" t="s">
        <v>33</v>
      </c>
      <c r="AY12" s="30" t="s">
        <v>34</v>
      </c>
      <c r="AZ12" s="30" t="s">
        <v>35</v>
      </c>
      <c r="BA12" s="30" t="s">
        <v>36</v>
      </c>
      <c r="BB12" s="30" t="s">
        <v>37</v>
      </c>
      <c r="BC12" s="10" t="s">
        <v>38</v>
      </c>
      <c r="BD12" s="10" t="s">
        <v>39</v>
      </c>
      <c r="BE12" s="10" t="s">
        <v>40</v>
      </c>
      <c r="BF12" s="10" t="s">
        <v>41</v>
      </c>
      <c r="BG12" s="10" t="s">
        <v>42</v>
      </c>
      <c r="BH12" s="10" t="s">
        <v>43</v>
      </c>
      <c r="BI12" s="10" t="s">
        <v>44</v>
      </c>
      <c r="BJ12" s="10" t="s">
        <v>45</v>
      </c>
      <c r="BK12" s="10" t="s">
        <v>46</v>
      </c>
      <c r="BL12" s="10" t="s">
        <v>47</v>
      </c>
      <c r="BM12" s="10" t="s">
        <v>72</v>
      </c>
      <c r="BN12" s="44" t="s">
        <v>90</v>
      </c>
      <c r="BO12" s="44" t="s">
        <v>91</v>
      </c>
      <c r="BP12" s="44" t="s">
        <v>92</v>
      </c>
      <c r="BQ12" s="44" t="s">
        <v>93</v>
      </c>
      <c r="BR12" s="11" t="s">
        <v>73</v>
      </c>
      <c r="BS12" s="11" t="s">
        <v>57</v>
      </c>
      <c r="BT12" s="11" t="s">
        <v>48</v>
      </c>
      <c r="BU12" s="11" t="s">
        <v>49</v>
      </c>
      <c r="BV12" s="11" t="s">
        <v>50</v>
      </c>
      <c r="BW12" s="11" t="s">
        <v>58</v>
      </c>
      <c r="BX12" s="11" t="s">
        <v>51</v>
      </c>
      <c r="BY12" s="11" t="s">
        <v>52</v>
      </c>
      <c r="BZ12" s="11" t="s">
        <v>53</v>
      </c>
      <c r="CA12" s="11" t="s">
        <v>54</v>
      </c>
      <c r="CB12" s="11" t="s">
        <v>55</v>
      </c>
      <c r="CC12" s="11" t="s">
        <v>56</v>
      </c>
      <c r="CD12" s="11" t="s">
        <v>69</v>
      </c>
      <c r="CE12" s="11" t="s">
        <v>59</v>
      </c>
      <c r="CF12" s="11" t="s">
        <v>70</v>
      </c>
      <c r="CG12" s="11" t="s">
        <v>60</v>
      </c>
      <c r="CH12" s="11" t="s">
        <v>61</v>
      </c>
    </row>
    <row r="13" spans="2:87" x14ac:dyDescent="0.25">
      <c r="B13" s="14" t="s">
        <v>97</v>
      </c>
      <c r="C13" s="14" t="s">
        <v>105</v>
      </c>
      <c r="D13" s="14" t="s">
        <v>148</v>
      </c>
      <c r="E13" s="15">
        <v>40969</v>
      </c>
      <c r="F13" s="15">
        <v>40999</v>
      </c>
      <c r="G13" s="15">
        <v>40939</v>
      </c>
      <c r="H13" s="14">
        <v>130</v>
      </c>
      <c r="I13" s="14" t="s">
        <v>3</v>
      </c>
      <c r="J13" s="14">
        <v>5</v>
      </c>
      <c r="K13" s="14">
        <v>743</v>
      </c>
      <c r="L13" s="14">
        <v>2.6831074868284199</v>
      </c>
      <c r="M13" s="14">
        <v>-13.415537434142101</v>
      </c>
      <c r="N13" s="14">
        <v>18.3268907703929</v>
      </c>
      <c r="O13" s="14">
        <v>0.55394471893633901</v>
      </c>
      <c r="P13" s="14">
        <v>4.9305363650158102E-3</v>
      </c>
      <c r="Q13" s="14">
        <v>20.137978200836301</v>
      </c>
      <c r="R13" s="14">
        <v>-0.20244102419947699</v>
      </c>
      <c r="S13" s="14">
        <v>-5.3458838815506304</v>
      </c>
      <c r="T13" s="14">
        <v>1.57040422719391</v>
      </c>
      <c r="U13" s="14">
        <v>91.634453851964594</v>
      </c>
      <c r="V13" s="14">
        <v>0</v>
      </c>
      <c r="W13" s="14">
        <v>0</v>
      </c>
      <c r="X13" s="14">
        <v>78.220647225298507</v>
      </c>
      <c r="Y13" s="14">
        <v>0</v>
      </c>
      <c r="Z13" s="14">
        <v>78.220647225298507</v>
      </c>
      <c r="AA13" s="14">
        <v>78.220647225298507</v>
      </c>
      <c r="AB13" s="14">
        <v>0</v>
      </c>
      <c r="AC13" s="14">
        <v>78.220647225298507</v>
      </c>
      <c r="AD13" s="37">
        <v>40856</v>
      </c>
      <c r="AE13" s="37">
        <v>40969</v>
      </c>
      <c r="AF13" s="37">
        <v>40999</v>
      </c>
      <c r="AG13" s="37">
        <v>40939</v>
      </c>
      <c r="AH13" s="33" t="s">
        <v>68</v>
      </c>
      <c r="AI13" s="9">
        <v>110.32</v>
      </c>
      <c r="AJ13" s="9">
        <v>130</v>
      </c>
      <c r="AK13" s="9">
        <v>25</v>
      </c>
      <c r="AL13" s="9">
        <v>3.66</v>
      </c>
      <c r="AM13" s="35">
        <v>4.1121659461830096E-3</v>
      </c>
      <c r="AN13" s="7">
        <v>5</v>
      </c>
      <c r="AO13" s="7"/>
      <c r="AP13" s="9" t="s">
        <v>172</v>
      </c>
      <c r="AQ13" s="26">
        <f>AK13</f>
        <v>25</v>
      </c>
      <c r="AR13" s="26">
        <v>1.57040422719391</v>
      </c>
      <c r="AS13" s="29">
        <f>ImpliedVolatilityB76Future($E$9,AH13,AI13,AJ13,AG13,AQ13,AM13)</f>
        <v>1.5696099683633082</v>
      </c>
      <c r="AT13" s="26">
        <f>AQ13</f>
        <v>25</v>
      </c>
      <c r="AU13" s="27">
        <f>B76Future($E$9,AH13,AI13,AJ13,AG13,AS13,AM13)</f>
        <v>25.000000000000014</v>
      </c>
      <c r="AV13" s="27">
        <f>1.52</f>
        <v>1.52</v>
      </c>
      <c r="AW13" s="1">
        <f>AL13*$E$10</f>
        <v>2.6831074868284217</v>
      </c>
      <c r="AX13" s="30">
        <f>B76Delta($E$9,AH13,AI13,AJ13,AG13,AR13,AM13)</f>
        <v>0.55394471895345387</v>
      </c>
      <c r="AY13" s="30">
        <f>B76Gamma($E$9,AH13,AI13,AJ13,AG13,AR13,AM13)</f>
        <v>4.9305363646207322E-3</v>
      </c>
      <c r="AZ13" s="30">
        <f>B76Vega($E$9,AH13,AI13,AJ13,AG13,AR13,AM13)</f>
        <v>20.137978202204888</v>
      </c>
      <c r="BA13" s="30">
        <f>B76Theta($E$9,AH13,AI13,AJ13,AG13,AR13,AM13)</f>
        <v>-0.2024410241831445</v>
      </c>
      <c r="BB13" s="30">
        <f>B76Rho($E$9,AH13,AI13,AJ13,AG13,AR13,AM13)</f>
        <v>-5.3458838828766613</v>
      </c>
      <c r="BC13" s="46">
        <f>-AL13*AN13*$E$10</f>
        <v>-13.415537434142108</v>
      </c>
      <c r="BD13" s="46">
        <f>AQ13*AN13*$G$11</f>
        <v>216.63445385196374</v>
      </c>
      <c r="BE13" s="46">
        <v>0</v>
      </c>
      <c r="BF13" s="1"/>
      <c r="BG13" s="46">
        <f>(AK13-AL13)*AN13*$E$10</f>
        <v>78.220647225298521</v>
      </c>
      <c r="BH13" s="46">
        <f>BE13</f>
        <v>0</v>
      </c>
      <c r="BI13" s="46">
        <f>BG13+BH13</f>
        <v>78.220647225298521</v>
      </c>
      <c r="BJ13" s="46">
        <f>(AK13-AL13)*AN13*$E$10</f>
        <v>78.220647225298521</v>
      </c>
      <c r="BK13" s="46">
        <f>BE13</f>
        <v>0</v>
      </c>
      <c r="BL13" s="46">
        <f>BJ13+BK13</f>
        <v>78.220647225298521</v>
      </c>
      <c r="BM13" s="24">
        <f>AX13*AN13</f>
        <v>2.7697235947672691</v>
      </c>
      <c r="BN13" s="45">
        <f>QaAssert(E13,AE13)</f>
        <v>0</v>
      </c>
      <c r="BO13" s="45">
        <f>QaAssert(F13,AF13)</f>
        <v>0</v>
      </c>
      <c r="BP13" s="45">
        <f>QaAssert(G13,AG13)</f>
        <v>0</v>
      </c>
      <c r="BQ13" s="45">
        <f>QaAssert(H13,AJ13)</f>
        <v>0</v>
      </c>
      <c r="BR13" s="41">
        <f>QaAssert(T13,AS13)</f>
        <v>5.0602305452351892E-4</v>
      </c>
      <c r="BS13" s="11">
        <f>QaAssert(L13,AW13)</f>
        <v>0</v>
      </c>
      <c r="BT13" s="3">
        <f>QaAssert(M13,BC13)</f>
        <v>0</v>
      </c>
      <c r="BU13" s="3">
        <f>QaAssert(U13,BD13)</f>
        <v>-0.57700886344430413</v>
      </c>
      <c r="BV13" s="3">
        <f>QaAssert(V13,BE13)</f>
        <v>0</v>
      </c>
      <c r="BW13" s="3">
        <f>QaAssert(W13,BF13)</f>
        <v>0</v>
      </c>
      <c r="BX13" s="3">
        <f>QaAssert(X13,BG13)</f>
        <v>0</v>
      </c>
      <c r="BY13" s="3">
        <f>QaAssert(Y13,BH13)</f>
        <v>0</v>
      </c>
      <c r="BZ13" s="3">
        <f>QaAssert(Z13,BI13)</f>
        <v>0</v>
      </c>
      <c r="CA13" s="3">
        <f>QaAssert(AA13,BJ13)</f>
        <v>0</v>
      </c>
      <c r="CB13" s="3">
        <f>QaAssert(AB13,BK13)</f>
        <v>0</v>
      </c>
      <c r="CC13" s="3">
        <f>QaAssert(AC13,BL13)</f>
        <v>0</v>
      </c>
      <c r="CD13" s="3">
        <f>QaAssert(O13,AX13)</f>
        <v>0</v>
      </c>
      <c r="CE13" s="3">
        <f>QaAssert(P13,AY13)</f>
        <v>0</v>
      </c>
      <c r="CF13" s="3">
        <f>QaAssert(Q13,AZ13)</f>
        <v>0</v>
      </c>
      <c r="CG13" s="3">
        <f>QaAssert(S13,BB13)</f>
        <v>0</v>
      </c>
      <c r="CH13" s="3">
        <f>QaAssert(R13,BA13)</f>
        <v>0</v>
      </c>
      <c r="CI13" s="22"/>
    </row>
    <row r="14" spans="2:87" x14ac:dyDescent="0.25">
      <c r="B14" s="14" t="s">
        <v>97</v>
      </c>
      <c r="C14" s="14" t="s">
        <v>105</v>
      </c>
      <c r="D14" s="14" t="s">
        <v>149</v>
      </c>
      <c r="E14" s="15">
        <v>40969</v>
      </c>
      <c r="F14" s="15">
        <v>40999</v>
      </c>
      <c r="G14" s="15">
        <v>40939</v>
      </c>
      <c r="H14" s="14">
        <v>130</v>
      </c>
      <c r="I14" s="14" t="s">
        <v>3</v>
      </c>
      <c r="J14" s="14">
        <v>5</v>
      </c>
      <c r="K14" s="14">
        <v>743</v>
      </c>
      <c r="L14" s="14">
        <v>2.6831074868284199</v>
      </c>
      <c r="M14" s="14">
        <v>-13.415537434142101</v>
      </c>
      <c r="N14" s="14">
        <v>32.988403386707297</v>
      </c>
      <c r="O14" s="14">
        <v>-0.44261266443689101</v>
      </c>
      <c r="P14" s="14">
        <v>4.8720923153573303E-3</v>
      </c>
      <c r="Q14" s="14">
        <v>20.1196552576966</v>
      </c>
      <c r="R14" s="14">
        <v>-0.20427419566726401</v>
      </c>
      <c r="S14" s="14">
        <v>-9.6225909867911401</v>
      </c>
      <c r="T14" s="14">
        <v>1.5877962863744299</v>
      </c>
      <c r="U14" s="14">
        <v>164.942016933536</v>
      </c>
      <c r="V14" s="14">
        <v>0</v>
      </c>
      <c r="W14" s="14">
        <v>0</v>
      </c>
      <c r="X14" s="14">
        <v>151.529594952851</v>
      </c>
      <c r="Y14" s="14">
        <v>0</v>
      </c>
      <c r="Z14" s="14">
        <v>151.529594952851</v>
      </c>
      <c r="AA14" s="14">
        <v>151.529594952851</v>
      </c>
      <c r="AB14" s="14">
        <v>0</v>
      </c>
      <c r="AC14" s="17">
        <v>151.529594952851</v>
      </c>
      <c r="AD14" s="37">
        <v>40856</v>
      </c>
      <c r="AE14" s="37">
        <v>40969</v>
      </c>
      <c r="AF14" s="37">
        <v>40999</v>
      </c>
      <c r="AG14" s="37">
        <v>40939</v>
      </c>
      <c r="AH14" s="33" t="s">
        <v>120</v>
      </c>
      <c r="AI14" s="9">
        <v>110.32</v>
      </c>
      <c r="AJ14" s="9">
        <v>130</v>
      </c>
      <c r="AK14" s="9">
        <v>45</v>
      </c>
      <c r="AL14" s="9">
        <v>3.66</v>
      </c>
      <c r="AM14" s="35">
        <v>4.1121659461830096E-3</v>
      </c>
      <c r="AN14" s="7">
        <v>5</v>
      </c>
      <c r="AO14" s="7"/>
      <c r="AP14" s="9" t="s">
        <v>173</v>
      </c>
      <c r="AQ14" s="26">
        <f t="shared" ref="AQ14:AQ16" si="0">AK14</f>
        <v>45</v>
      </c>
      <c r="AR14" s="26">
        <v>1.5877962863744299</v>
      </c>
      <c r="AS14" s="29">
        <f>ImpliedVolatilityB76Future($E$9,AH14,AI14,AJ14,AG14,AQ14,AM14)</f>
        <v>1.5863653439662564</v>
      </c>
      <c r="AT14" s="26">
        <f t="shared" ref="AT14:AT21" si="1">AQ14</f>
        <v>45</v>
      </c>
      <c r="AU14" s="27">
        <f>B76Future($E$9,AH14,AI14,AJ14,AG14,AS14,AM14)</f>
        <v>44.999999999999986</v>
      </c>
      <c r="AV14" s="27">
        <f t="shared" ref="AV14:AV19" si="2">1.52</f>
        <v>1.52</v>
      </c>
      <c r="AW14" s="1">
        <f t="shared" ref="AW14:AW29" si="3">AL14*$E$10</f>
        <v>2.6831074868284217</v>
      </c>
      <c r="AX14" s="30">
        <f>B76Delta($E$9,AH14,AI14,AJ14,AG14,AR14,AM14)</f>
        <v>-0.44261266441960728</v>
      </c>
      <c r="AY14" s="30">
        <f>B76Gamma($E$9,AH14,AI14,AJ14,AG14,AR14,AM14)</f>
        <v>4.8720923149654753E-3</v>
      </c>
      <c r="AZ14" s="30">
        <f>B76Vega($E$9,AH14,AI14,AJ14,AG14,AR14,AM14)</f>
        <v>20.119655259057911</v>
      </c>
      <c r="BA14" s="30">
        <f>B76Theta($E$9,AH14,AI14,AJ14,AG14,AR14,AM14)</f>
        <v>-0.20427419565070415</v>
      </c>
      <c r="BB14" s="30">
        <f>B76Rho($E$9,AH14,AI14,AJ14,AG14,AR14,AM14)</f>
        <v>-9.6225909887614787</v>
      </c>
      <c r="BC14" s="46">
        <f t="shared" ref="BC14:BC29" si="4">-AL14*AN14*$E$10</f>
        <v>-13.415537434142108</v>
      </c>
      <c r="BD14" s="46">
        <f t="shared" ref="BD14:BD16" si="5">AQ14*AN14*$G$11</f>
        <v>389.94201693353477</v>
      </c>
      <c r="BE14" s="46">
        <v>0</v>
      </c>
      <c r="BF14" s="1"/>
      <c r="BG14" s="46">
        <f t="shared" ref="BG14:BG16" si="6">(AK14-AL14)*AN14*$E$10</f>
        <v>151.52959495285103</v>
      </c>
      <c r="BH14" s="46">
        <f t="shared" ref="BH14:BH29" si="7">BE14</f>
        <v>0</v>
      </c>
      <c r="BI14" s="46">
        <f t="shared" ref="BI14:BI29" si="8">BG14+BH14</f>
        <v>151.52959495285103</v>
      </c>
      <c r="BJ14" s="46">
        <f t="shared" ref="BJ14:BJ16" si="9">(AK14-AL14)*AN14*$E$10</f>
        <v>151.52959495285103</v>
      </c>
      <c r="BK14" s="46">
        <f t="shared" ref="BK14:BK29" si="10">BE14</f>
        <v>0</v>
      </c>
      <c r="BL14" s="46">
        <f t="shared" ref="BL14:BL29" si="11">BJ14+BK14</f>
        <v>151.52959495285103</v>
      </c>
      <c r="BM14" s="24">
        <f t="shared" ref="BM14:BM19" si="12">AX14*AN14</f>
        <v>-2.2130633220980362</v>
      </c>
      <c r="BN14" s="45">
        <f>QaAssert(E14,AE14)</f>
        <v>0</v>
      </c>
      <c r="BO14" s="45">
        <f>QaAssert(F14,AF14)</f>
        <v>0</v>
      </c>
      <c r="BP14" s="45">
        <f>QaAssert(G14,AG14)</f>
        <v>0</v>
      </c>
      <c r="BQ14" s="45">
        <f>QaAssert(H14,AJ14)</f>
        <v>0</v>
      </c>
      <c r="BR14" s="41">
        <f>QaAssert(T14,AS14)</f>
        <v>9.0202576198228357E-4</v>
      </c>
      <c r="BS14" s="11">
        <f>QaAssert(L14,AW14)</f>
        <v>0</v>
      </c>
      <c r="BT14" s="3">
        <f>QaAssert(M14,BC14)</f>
        <v>0</v>
      </c>
      <c r="BU14" s="3">
        <f>QaAssert(U14,BD14)</f>
        <v>-0.57700886344430491</v>
      </c>
      <c r="BV14" s="3">
        <f>QaAssert(V14,BE14)</f>
        <v>0</v>
      </c>
      <c r="BW14" s="3">
        <f>QaAssert(W14,BF14)</f>
        <v>0</v>
      </c>
      <c r="BX14" s="3">
        <f>QaAssert(X14,BG14)</f>
        <v>0</v>
      </c>
      <c r="BY14" s="3">
        <f>QaAssert(Y14,BH14)</f>
        <v>0</v>
      </c>
      <c r="BZ14" s="3">
        <f>QaAssert(Z14,BI14)</f>
        <v>0</v>
      </c>
      <c r="CA14" s="3">
        <f>QaAssert(AA14,BJ14)</f>
        <v>0</v>
      </c>
      <c r="CB14" s="3">
        <f>QaAssert(AB14,BK14)</f>
        <v>0</v>
      </c>
      <c r="CC14" s="3">
        <f>QaAssert(AC14,BL14)</f>
        <v>0</v>
      </c>
      <c r="CD14" s="3">
        <f>QaAssert(O14,AX14)</f>
        <v>0</v>
      </c>
      <c r="CE14" s="3">
        <f>QaAssert(P14,AY14)</f>
        <v>0</v>
      </c>
      <c r="CF14" s="3">
        <f>QaAssert(Q14,AZ14)</f>
        <v>0</v>
      </c>
      <c r="CG14" s="3">
        <f>QaAssert(S14,BB14)</f>
        <v>0</v>
      </c>
      <c r="CH14" s="3">
        <f>QaAssert(R14,BA14)</f>
        <v>0</v>
      </c>
      <c r="CI14" s="22"/>
    </row>
    <row r="15" spans="2:87" x14ac:dyDescent="0.25">
      <c r="B15" s="17" t="s">
        <v>97</v>
      </c>
      <c r="C15" s="17" t="s">
        <v>105</v>
      </c>
      <c r="D15" s="17" t="s">
        <v>150</v>
      </c>
      <c r="E15" s="15">
        <v>40969</v>
      </c>
      <c r="F15" s="15">
        <v>40999</v>
      </c>
      <c r="G15" s="15">
        <v>40939</v>
      </c>
      <c r="H15" s="14">
        <v>80</v>
      </c>
      <c r="I15" s="18" t="s">
        <v>3</v>
      </c>
      <c r="J15" s="14">
        <v>5</v>
      </c>
      <c r="K15" s="14">
        <v>743</v>
      </c>
      <c r="L15" s="14">
        <v>2.6831074868284199</v>
      </c>
      <c r="M15" s="14">
        <v>-13.415537434142101</v>
      </c>
      <c r="N15" s="14">
        <v>62.311428619335899</v>
      </c>
      <c r="O15" s="14">
        <v>0.89342988814407598</v>
      </c>
      <c r="P15" s="14">
        <v>7.5008495199453196E-4</v>
      </c>
      <c r="Q15" s="14">
        <v>9.3151867085986009</v>
      </c>
      <c r="R15" s="14">
        <v>-0.28416842341621201</v>
      </c>
      <c r="S15" s="14">
        <v>-18.176005197272101</v>
      </c>
      <c r="T15" s="14">
        <v>4.7749724119338204</v>
      </c>
      <c r="U15" s="14">
        <v>311.55714309668002</v>
      </c>
      <c r="V15" s="14">
        <v>0</v>
      </c>
      <c r="W15" s="14">
        <v>0</v>
      </c>
      <c r="X15" s="14">
        <v>298.14749040795601</v>
      </c>
      <c r="Y15" s="14">
        <v>0</v>
      </c>
      <c r="Z15" s="14">
        <v>298.14749040795601</v>
      </c>
      <c r="AA15" s="14">
        <v>298.14749040795601</v>
      </c>
      <c r="AB15" s="14">
        <v>0</v>
      </c>
      <c r="AC15" s="14">
        <v>298.14749040795601</v>
      </c>
      <c r="AD15" s="37">
        <v>40856</v>
      </c>
      <c r="AE15" s="37">
        <v>40969</v>
      </c>
      <c r="AF15" s="37">
        <v>40999</v>
      </c>
      <c r="AG15" s="37">
        <v>40939</v>
      </c>
      <c r="AH15" s="33" t="s">
        <v>68</v>
      </c>
      <c r="AI15" s="7">
        <v>110.32</v>
      </c>
      <c r="AJ15" s="9">
        <v>80</v>
      </c>
      <c r="AK15" s="7">
        <v>85</v>
      </c>
      <c r="AL15" s="9">
        <v>3.66</v>
      </c>
      <c r="AM15" s="35">
        <v>4.1121659461830096E-3</v>
      </c>
      <c r="AN15" s="7">
        <v>5</v>
      </c>
      <c r="AO15" s="7"/>
      <c r="AP15" s="9" t="s">
        <v>174</v>
      </c>
      <c r="AQ15" s="26">
        <f t="shared" si="0"/>
        <v>85</v>
      </c>
      <c r="AR15" s="26">
        <v>4.7749724119338097</v>
      </c>
      <c r="AS15" s="29">
        <f>ImpliedVolatilityB76Future($E$9,AH15,AI15,AJ15,AG15,AQ15,AM15)</f>
        <v>4.7691385421166901</v>
      </c>
      <c r="AT15" s="26">
        <f t="shared" si="1"/>
        <v>85</v>
      </c>
      <c r="AU15" s="27">
        <f>B76Future($E$9,AH15,AI15,AJ15,AG15,AS15,AM15)</f>
        <v>85.000000000000028</v>
      </c>
      <c r="AV15" s="27">
        <f t="shared" si="2"/>
        <v>1.52</v>
      </c>
      <c r="AW15" s="1">
        <f t="shared" si="3"/>
        <v>2.6831074868284217</v>
      </c>
      <c r="AX15" s="30">
        <f>B76Delta($E$9,AH15,AI15,AJ15,AG15,AR15,AM15)</f>
        <v>0.89342988825983438</v>
      </c>
      <c r="AY15" s="30">
        <f>B76Gamma($E$9,AH15,AI15,AJ15,AG15,AR15,AM15)</f>
        <v>7.5008495187234943E-4</v>
      </c>
      <c r="AZ15" s="30">
        <f>B76Vega($E$9,AH15,AI15,AJ15,AG15,AR15,AM15)</f>
        <v>9.3151867084607183</v>
      </c>
      <c r="BA15" s="30">
        <f>B76Theta($E$9,AH15,AI15,AJ15,AG15,AR15,AM15)</f>
        <v>-0.28416842336951109</v>
      </c>
      <c r="BB15" s="30">
        <f>B76Rho($E$9,AH15,AI15,AJ15,AG15,AR15,AM15)</f>
        <v>-18.176005203227351</v>
      </c>
      <c r="BC15" s="46">
        <f t="shared" si="4"/>
        <v>-13.415537434142108</v>
      </c>
      <c r="BD15" s="46">
        <f t="shared" si="5"/>
        <v>736.55714309667678</v>
      </c>
      <c r="BE15" s="46">
        <v>0</v>
      </c>
      <c r="BF15" s="1"/>
      <c r="BG15" s="46">
        <f t="shared" si="6"/>
        <v>298.14749040795607</v>
      </c>
      <c r="BH15" s="46">
        <f t="shared" si="7"/>
        <v>0</v>
      </c>
      <c r="BI15" s="46">
        <f t="shared" si="8"/>
        <v>298.14749040795607</v>
      </c>
      <c r="BJ15" s="46">
        <f t="shared" si="9"/>
        <v>298.14749040795607</v>
      </c>
      <c r="BK15" s="46">
        <f t="shared" si="10"/>
        <v>0</v>
      </c>
      <c r="BL15" s="46">
        <f t="shared" si="11"/>
        <v>298.14749040795607</v>
      </c>
      <c r="BM15" s="24">
        <f t="shared" si="12"/>
        <v>4.4671494412991724</v>
      </c>
      <c r="BN15" s="45">
        <f>QaAssert(E15,AE15)</f>
        <v>0</v>
      </c>
      <c r="BO15" s="45">
        <f>QaAssert(F15,AF15)</f>
        <v>0</v>
      </c>
      <c r="BP15" s="45">
        <f>QaAssert(G15,AG15)</f>
        <v>0</v>
      </c>
      <c r="BQ15" s="45">
        <f>QaAssert(H15,AJ15)</f>
        <v>0</v>
      </c>
      <c r="BR15" s="41">
        <f>QaAssert(T15,AS15)</f>
        <v>1.2232544233325982E-3</v>
      </c>
      <c r="BS15" s="11">
        <f>QaAssert(L15,AW15)</f>
        <v>0</v>
      </c>
      <c r="BT15" s="3">
        <f>QaAssert(M15,BC15)</f>
        <v>0</v>
      </c>
      <c r="BU15" s="3">
        <f>QaAssert(U15,BD15)</f>
        <v>-0.57700886344430358</v>
      </c>
      <c r="BV15" s="3">
        <f>QaAssert(V15,BE15)</f>
        <v>0</v>
      </c>
      <c r="BW15" s="3">
        <f>QaAssert(W15,BF15)</f>
        <v>0</v>
      </c>
      <c r="BX15" s="3">
        <f>QaAssert(X15,BG15)</f>
        <v>0</v>
      </c>
      <c r="BY15" s="3">
        <f>QaAssert(Y15,BH15)</f>
        <v>0</v>
      </c>
      <c r="BZ15" s="3">
        <f>QaAssert(Z15,BI15)</f>
        <v>0</v>
      </c>
      <c r="CA15" s="3">
        <f>QaAssert(AA15,BJ15)</f>
        <v>0</v>
      </c>
      <c r="CB15" s="3">
        <f>QaAssert(AB15,BK15)</f>
        <v>0</v>
      </c>
      <c r="CC15" s="3">
        <f>QaAssert(AC15,BL15)</f>
        <v>0</v>
      </c>
      <c r="CD15" s="3">
        <f>QaAssert(O15,AX15)</f>
        <v>0</v>
      </c>
      <c r="CE15" s="3">
        <f>QaAssert(P15,AY15)</f>
        <v>0</v>
      </c>
      <c r="CF15" s="3">
        <f>QaAssert(Q15,AZ15)</f>
        <v>0</v>
      </c>
      <c r="CG15" s="3">
        <f>QaAssert(S15,BB15)</f>
        <v>0</v>
      </c>
      <c r="CH15" s="3">
        <f>QaAssert(R15,BA15)</f>
        <v>0</v>
      </c>
      <c r="CI15" s="22"/>
    </row>
    <row r="16" spans="2:87" x14ac:dyDescent="0.25">
      <c r="B16" s="19" t="s">
        <v>97</v>
      </c>
      <c r="C16" s="19" t="s">
        <v>105</v>
      </c>
      <c r="D16" s="19" t="s">
        <v>151</v>
      </c>
      <c r="E16" s="20">
        <v>40969</v>
      </c>
      <c r="F16" s="20">
        <v>40999</v>
      </c>
      <c r="G16" s="20">
        <v>40939</v>
      </c>
      <c r="H16" s="19">
        <v>80</v>
      </c>
      <c r="I16" s="19" t="s">
        <v>3</v>
      </c>
      <c r="J16" s="19">
        <v>5</v>
      </c>
      <c r="K16" s="19">
        <v>743</v>
      </c>
      <c r="L16" s="19">
        <v>2.6831074868284199</v>
      </c>
      <c r="M16" s="19">
        <v>-13.415537434142101</v>
      </c>
      <c r="N16" s="19">
        <v>25.657647078550099</v>
      </c>
      <c r="O16" s="19">
        <v>-0.176075734190795</v>
      </c>
      <c r="P16" s="19">
        <v>1.6739531723896201E-3</v>
      </c>
      <c r="Q16" s="19">
        <v>13.1929851781757</v>
      </c>
      <c r="R16" s="19">
        <v>-0.25588146859142302</v>
      </c>
      <c r="S16" s="19">
        <v>-7.4842374341708799</v>
      </c>
      <c r="T16" s="19">
        <v>3.0303272085148301</v>
      </c>
      <c r="U16" s="19">
        <v>128.28823539275001</v>
      </c>
      <c r="V16" s="19">
        <v>0</v>
      </c>
      <c r="W16" s="19">
        <v>0</v>
      </c>
      <c r="X16" s="19">
        <v>114.87512108907499</v>
      </c>
      <c r="Y16" s="19">
        <v>0</v>
      </c>
      <c r="Z16" s="19">
        <v>114.87512108907499</v>
      </c>
      <c r="AA16" s="19">
        <v>114.87512108907499</v>
      </c>
      <c r="AB16" s="19">
        <v>0</v>
      </c>
      <c r="AC16" s="19">
        <v>114.87512108907499</v>
      </c>
      <c r="AD16" s="37">
        <v>40856</v>
      </c>
      <c r="AE16" s="37">
        <v>40969</v>
      </c>
      <c r="AF16" s="37">
        <v>40999</v>
      </c>
      <c r="AG16" s="37">
        <v>40939</v>
      </c>
      <c r="AH16" s="33" t="s">
        <v>120</v>
      </c>
      <c r="AI16" s="7">
        <v>110.32</v>
      </c>
      <c r="AJ16" s="9">
        <v>80</v>
      </c>
      <c r="AK16" s="7">
        <v>35</v>
      </c>
      <c r="AL16" s="9">
        <v>3.66</v>
      </c>
      <c r="AM16" s="35">
        <v>4.1121659461830096E-3</v>
      </c>
      <c r="AN16" s="7">
        <v>5</v>
      </c>
      <c r="AO16" s="7"/>
      <c r="AP16" s="9" t="s">
        <v>175</v>
      </c>
      <c r="AQ16" s="26">
        <f t="shared" si="0"/>
        <v>35</v>
      </c>
      <c r="AR16" s="26">
        <v>3.0303272085148301</v>
      </c>
      <c r="AS16" s="29">
        <f>ImpliedVolatilityB76Future($E$9,AH16,AI16,AJ16,AG16,AQ16,AM16)</f>
        <v>3.0286300653383083</v>
      </c>
      <c r="AT16" s="26">
        <f t="shared" si="1"/>
        <v>35</v>
      </c>
      <c r="AU16" s="27">
        <f>B76Future($E$9,AH16,AI16,AJ16,AG16,AS16,AM16)</f>
        <v>35</v>
      </c>
      <c r="AV16" s="27">
        <f t="shared" si="2"/>
        <v>1.52</v>
      </c>
      <c r="AW16" s="1">
        <f t="shared" si="3"/>
        <v>2.6831074868284217</v>
      </c>
      <c r="AX16" s="30">
        <f>B76Delta($E$9,AH16,AI16,AJ16,AG16,AR16,AM16)</f>
        <v>-0.17607573417753414</v>
      </c>
      <c r="AY16" s="30">
        <f>B76Gamma($E$9,AH16,AI16,AJ16,AG16,AR16,AM16)</f>
        <v>1.6739531722112253E-3</v>
      </c>
      <c r="AZ16" s="30">
        <f>B76Vega($E$9,AH16,AI16,AJ16,AG16,AR16,AM16)</f>
        <v>13.19298517872345</v>
      </c>
      <c r="BA16" s="30">
        <f>B76Theta($E$9,AH16,AI16,AJ16,AG16,AR16,AM16)</f>
        <v>-0.25588146856399485</v>
      </c>
      <c r="BB16" s="30">
        <f>B76Rho($E$9,AH16,AI16,AJ16,AG16,AR16,AM16)</f>
        <v>-7.4842374360523714</v>
      </c>
      <c r="BC16" s="46">
        <f t="shared" si="4"/>
        <v>-13.415537434142108</v>
      </c>
      <c r="BD16" s="46">
        <f t="shared" si="5"/>
        <v>303.28823539274924</v>
      </c>
      <c r="BE16" s="46">
        <v>0</v>
      </c>
      <c r="BF16" s="1"/>
      <c r="BG16" s="46">
        <f t="shared" si="6"/>
        <v>114.87512108907475</v>
      </c>
      <c r="BH16" s="46">
        <f t="shared" si="7"/>
        <v>0</v>
      </c>
      <c r="BI16" s="46">
        <f t="shared" si="8"/>
        <v>114.87512108907475</v>
      </c>
      <c r="BJ16" s="46">
        <f t="shared" si="9"/>
        <v>114.87512108907475</v>
      </c>
      <c r="BK16" s="46">
        <f t="shared" si="10"/>
        <v>0</v>
      </c>
      <c r="BL16" s="46">
        <f t="shared" si="11"/>
        <v>114.87512108907475</v>
      </c>
      <c r="BM16" s="24">
        <f t="shared" si="12"/>
        <v>-0.88037867088767063</v>
      </c>
      <c r="BN16" s="45">
        <f t="shared" ref="BN16:BN29" si="13">QaAssert(E16,AE16)</f>
        <v>0</v>
      </c>
      <c r="BO16" s="45">
        <f t="shared" ref="BO16:BO29" si="14">QaAssert(F16,AF16)</f>
        <v>0</v>
      </c>
      <c r="BP16" s="45">
        <f t="shared" ref="BP16:BP29" si="15">QaAssert(G16,AG16)</f>
        <v>0</v>
      </c>
      <c r="BQ16" s="45">
        <f t="shared" ref="BQ16:BQ29" si="16">QaAssert(H16,AJ16)</f>
        <v>0</v>
      </c>
      <c r="BR16" s="41">
        <f t="shared" ref="BR16:BR29" si="17">QaAssert(T16,AS16)</f>
        <v>5.6036661457770087E-4</v>
      </c>
      <c r="BS16" s="11">
        <f t="shared" ref="BS16:BS29" si="18">QaAssert(L16,AW16)</f>
        <v>0</v>
      </c>
      <c r="BT16" s="3">
        <f t="shared" ref="BT16:BT29" si="19">QaAssert(M16,BC16)</f>
        <v>0</v>
      </c>
      <c r="BU16" s="3">
        <f t="shared" ref="BU16:BU29" si="20">QaAssert(U16,BD16)</f>
        <v>-0.57700886344430558</v>
      </c>
      <c r="BV16" s="3">
        <f t="shared" ref="BV16:BV29" si="21">QaAssert(V16,BE16)</f>
        <v>0</v>
      </c>
      <c r="BW16" s="3">
        <f t="shared" ref="BW16:BW29" si="22">QaAssert(W16,BF16)</f>
        <v>0</v>
      </c>
      <c r="BX16" s="3">
        <f t="shared" ref="BX16:BX29" si="23">QaAssert(X16,BG16)</f>
        <v>0</v>
      </c>
      <c r="BY16" s="3">
        <f t="shared" ref="BY16:BY29" si="24">QaAssert(Y16,BH16)</f>
        <v>0</v>
      </c>
      <c r="BZ16" s="3">
        <f t="shared" ref="BZ16:BZ29" si="25">QaAssert(Z16,BI16)</f>
        <v>0</v>
      </c>
      <c r="CA16" s="3">
        <f t="shared" ref="CA16:CA29" si="26">QaAssert(AA16,BJ16)</f>
        <v>0</v>
      </c>
      <c r="CB16" s="3">
        <f t="shared" ref="CB16:CB29" si="27">QaAssert(AB16,BK16)</f>
        <v>0</v>
      </c>
      <c r="CC16" s="3">
        <f t="shared" ref="CC16:CC29" si="28">QaAssert(AC16,BL16)</f>
        <v>0</v>
      </c>
      <c r="CD16" s="3">
        <f t="shared" ref="CD16:CD29" si="29">QaAssert(O16,AX16)</f>
        <v>0</v>
      </c>
      <c r="CE16" s="3">
        <f t="shared" ref="CE16:CE29" si="30">QaAssert(P16,AY16)</f>
        <v>0</v>
      </c>
      <c r="CF16" s="3">
        <f t="shared" ref="CF16:CF29" si="31">QaAssert(Q16,AZ16)</f>
        <v>0</v>
      </c>
      <c r="CG16" s="3">
        <f t="shared" ref="CG16:CG29" si="32">QaAssert(S16,BB16)</f>
        <v>0</v>
      </c>
      <c r="CH16" s="3">
        <f t="shared" ref="CH16:CH29" si="33">QaAssert(R16,BA16)</f>
        <v>0</v>
      </c>
      <c r="CI16" s="22"/>
    </row>
    <row r="17" spans="2:87" x14ac:dyDescent="0.25">
      <c r="B17" s="19" t="s">
        <v>162</v>
      </c>
      <c r="C17" s="19" t="s">
        <v>163</v>
      </c>
      <c r="D17" s="19" t="s">
        <v>148</v>
      </c>
      <c r="E17" s="20">
        <v>40969</v>
      </c>
      <c r="F17" s="20">
        <v>40999</v>
      </c>
      <c r="G17" s="20">
        <v>40939</v>
      </c>
      <c r="H17" s="19">
        <v>130</v>
      </c>
      <c r="I17" s="19" t="s">
        <v>3</v>
      </c>
      <c r="J17" s="19">
        <v>5</v>
      </c>
      <c r="K17" s="19">
        <v>743</v>
      </c>
      <c r="L17" s="19">
        <v>2.6831074868284199</v>
      </c>
      <c r="M17" s="19">
        <v>-13.415537434142101</v>
      </c>
      <c r="N17" s="19">
        <v>2.3096759114324999E-2</v>
      </c>
      <c r="O17" s="19">
        <v>8.6332867566071194E-3</v>
      </c>
      <c r="P17" s="19">
        <v>2.0688196394173801E-3</v>
      </c>
      <c r="Q17" s="19">
        <v>1.0626967922733099</v>
      </c>
      <c r="R17" s="19">
        <v>-1.7011442729971001E-3</v>
      </c>
      <c r="S17" s="19">
        <v>-6.7329284662083896E-3</v>
      </c>
      <c r="T17" s="19">
        <v>0.249773860537087</v>
      </c>
      <c r="U17" s="19">
        <v>0.115483795571625</v>
      </c>
      <c r="V17" s="19">
        <v>0.115483795571625</v>
      </c>
      <c r="W17" s="19">
        <v>0</v>
      </c>
      <c r="X17" s="19">
        <v>-13.415537434142101</v>
      </c>
      <c r="Y17" s="19">
        <v>0.115483795571625</v>
      </c>
      <c r="Z17" s="19">
        <v>-13.3000536385705</v>
      </c>
      <c r="AA17" s="19">
        <v>-13.415537434142101</v>
      </c>
      <c r="AB17" s="19">
        <v>0.115483795571625</v>
      </c>
      <c r="AC17" s="19">
        <v>-13.3000536385705</v>
      </c>
      <c r="AD17" s="37">
        <v>40856</v>
      </c>
      <c r="AE17" s="37">
        <v>40969</v>
      </c>
      <c r="AF17" s="37">
        <v>40999</v>
      </c>
      <c r="AG17" s="37">
        <v>40939</v>
      </c>
      <c r="AH17" s="33" t="s">
        <v>68</v>
      </c>
      <c r="AI17" s="7">
        <v>98.099999999990004</v>
      </c>
      <c r="AJ17" s="9">
        <v>130</v>
      </c>
      <c r="AK17" s="7">
        <v>0.249773860537087</v>
      </c>
      <c r="AL17" s="9">
        <v>3.66</v>
      </c>
      <c r="AM17" s="35">
        <v>4.1121659461830096E-3</v>
      </c>
      <c r="AN17" s="7">
        <v>5</v>
      </c>
      <c r="AO17" s="7"/>
      <c r="AP17" s="9" t="s">
        <v>180</v>
      </c>
      <c r="AQ17" s="26" t="s">
        <v>181</v>
      </c>
      <c r="AR17" s="26"/>
      <c r="AS17" s="29">
        <f>AK17</f>
        <v>0.249773860537087</v>
      </c>
      <c r="AT17" s="26" t="str">
        <f t="shared" si="1"/>
        <v>n/a</v>
      </c>
      <c r="AU17" s="27">
        <f>B76Future($E$9,AH17,AI17,AJ17,AG17,AS17,AM17)</f>
        <v>3.1506652392182338E-2</v>
      </c>
      <c r="AV17" s="27">
        <f t="shared" si="2"/>
        <v>1.52</v>
      </c>
      <c r="AW17" s="1">
        <f t="shared" si="3"/>
        <v>2.6831074868284217</v>
      </c>
      <c r="AX17" s="30">
        <f>B76Delta($E$9,AH17,AI17,AJ17,AG17,AS17,AM17)</f>
        <v>8.633286779117802E-3</v>
      </c>
      <c r="AY17" s="30">
        <f>B76Gamma($E$9,AH17,AI17,AJ17,AG17,AS17,AM17)</f>
        <v>2.0688196401716236E-3</v>
      </c>
      <c r="AZ17" s="30">
        <f>B76Vega($E$9,AH17,AI17,AJ17,AG17,AS17,AM17)</f>
        <v>1.0626967928182154</v>
      </c>
      <c r="BA17" s="30">
        <f>B76Theta($E$9,AH17,AI17,AJ17,AG17,AS17,AM17)</f>
        <v>-1.7011442736176506E-3</v>
      </c>
      <c r="BB17" s="30">
        <f>B76Rho($E$9,AH17,AI17,AJ17,AG17,AS17,AM17)</f>
        <v>-6.7329284564115683E-3</v>
      </c>
      <c r="BC17" s="46">
        <f t="shared" si="4"/>
        <v>-13.415537434142108</v>
      </c>
      <c r="BD17" s="46">
        <f>AU17*AN17*$G$11</f>
        <v>0.27301705734736353</v>
      </c>
      <c r="BE17" s="46">
        <f>BD17</f>
        <v>0.27301705734736353</v>
      </c>
      <c r="BF17" s="1"/>
      <c r="BG17" s="46">
        <f>BC17</f>
        <v>-13.415537434142108</v>
      </c>
      <c r="BH17" s="46">
        <f t="shared" si="7"/>
        <v>0.27301705734736353</v>
      </c>
      <c r="BI17" s="46">
        <f t="shared" si="8"/>
        <v>-13.142520376794744</v>
      </c>
      <c r="BJ17" s="46">
        <f>BG17</f>
        <v>-13.415537434142108</v>
      </c>
      <c r="BK17" s="46">
        <f t="shared" si="10"/>
        <v>0.27301705734736353</v>
      </c>
      <c r="BL17" s="46">
        <f t="shared" si="11"/>
        <v>-13.142520376794744</v>
      </c>
      <c r="BM17" s="24">
        <f t="shared" si="12"/>
        <v>4.316643389558901E-2</v>
      </c>
      <c r="BN17" s="45">
        <f t="shared" si="13"/>
        <v>0</v>
      </c>
      <c r="BO17" s="45">
        <f t="shared" si="14"/>
        <v>0</v>
      </c>
      <c r="BP17" s="45">
        <f t="shared" si="15"/>
        <v>0</v>
      </c>
      <c r="BQ17" s="45">
        <f t="shared" si="16"/>
        <v>0</v>
      </c>
      <c r="BR17" s="41">
        <f t="shared" si="17"/>
        <v>0</v>
      </c>
      <c r="BS17" s="11">
        <f t="shared" si="18"/>
        <v>0</v>
      </c>
      <c r="BT17" s="3">
        <f t="shared" si="19"/>
        <v>0</v>
      </c>
      <c r="BU17" s="3">
        <f t="shared" si="20"/>
        <v>-0.57700886276606045</v>
      </c>
      <c r="BV17" s="3">
        <f t="shared" si="21"/>
        <v>-0.57700886276606045</v>
      </c>
      <c r="BW17" s="3">
        <f t="shared" si="22"/>
        <v>0</v>
      </c>
      <c r="BX17" s="3">
        <f t="shared" si="23"/>
        <v>0</v>
      </c>
      <c r="BY17" s="3">
        <f t="shared" si="24"/>
        <v>-0.57700886276606045</v>
      </c>
      <c r="BZ17" s="3">
        <f t="shared" si="25"/>
        <v>1.1986533576459735E-2</v>
      </c>
      <c r="CA17" s="3">
        <f t="shared" si="26"/>
        <v>0</v>
      </c>
      <c r="CB17" s="3">
        <f t="shared" si="27"/>
        <v>-0.57700886276606045</v>
      </c>
      <c r="CC17" s="3">
        <f t="shared" si="28"/>
        <v>1.1986533576459735E-2</v>
      </c>
      <c r="CD17" s="3">
        <f t="shared" si="29"/>
        <v>0</v>
      </c>
      <c r="CE17" s="3">
        <f t="shared" si="30"/>
        <v>0</v>
      </c>
      <c r="CF17" s="3">
        <f t="shared" si="31"/>
        <v>0</v>
      </c>
      <c r="CG17" s="3">
        <f t="shared" si="32"/>
        <v>0</v>
      </c>
      <c r="CH17" s="3">
        <f t="shared" si="33"/>
        <v>0</v>
      </c>
      <c r="CI17" s="22"/>
    </row>
    <row r="18" spans="2:87" x14ac:dyDescent="0.25">
      <c r="B18" s="19" t="s">
        <v>97</v>
      </c>
      <c r="C18" s="19" t="s">
        <v>110</v>
      </c>
      <c r="D18" s="19" t="s">
        <v>152</v>
      </c>
      <c r="E18" s="20">
        <v>41061</v>
      </c>
      <c r="F18" s="20">
        <v>41090</v>
      </c>
      <c r="G18" s="20">
        <v>41031</v>
      </c>
      <c r="H18" s="19">
        <v>130</v>
      </c>
      <c r="I18" s="19" t="s">
        <v>3</v>
      </c>
      <c r="J18" s="19">
        <v>-5</v>
      </c>
      <c r="K18" s="19">
        <v>720</v>
      </c>
      <c r="L18" s="19">
        <v>2.6831074868284199</v>
      </c>
      <c r="M18" s="19">
        <v>13.415537434142101</v>
      </c>
      <c r="N18" s="19">
        <v>27.123798340181501</v>
      </c>
      <c r="O18" s="19">
        <v>0.63251227745151195</v>
      </c>
      <c r="P18" s="19">
        <v>3.3478110061073499E-3</v>
      </c>
      <c r="Q18" s="19">
        <v>27.991294203626499</v>
      </c>
      <c r="R18" s="19">
        <v>-0.122922043351352</v>
      </c>
      <c r="S18" s="19">
        <v>-17.247761833946701</v>
      </c>
      <c r="T18" s="19">
        <v>1.5007541916490501</v>
      </c>
      <c r="U18" s="19">
        <v>-135.618991700908</v>
      </c>
      <c r="V18" s="19">
        <v>0</v>
      </c>
      <c r="W18" s="19">
        <v>0</v>
      </c>
      <c r="X18" s="19">
        <v>-122.20601586183</v>
      </c>
      <c r="Y18" s="19">
        <v>0</v>
      </c>
      <c r="Z18" s="19">
        <v>-122.20601586183</v>
      </c>
      <c r="AA18" s="19">
        <v>-122.20601586183</v>
      </c>
      <c r="AB18" s="19">
        <v>0</v>
      </c>
      <c r="AC18" s="19">
        <v>-122.20601586183</v>
      </c>
      <c r="AD18" s="43"/>
      <c r="AE18" s="59">
        <v>41061</v>
      </c>
      <c r="AF18" s="59">
        <v>41090</v>
      </c>
      <c r="AG18" s="59">
        <v>41031</v>
      </c>
      <c r="AH18" s="43" t="s">
        <v>68</v>
      </c>
      <c r="AI18" s="7">
        <v>109.36999999950901</v>
      </c>
      <c r="AJ18" s="9">
        <v>130</v>
      </c>
      <c r="AK18" s="7">
        <v>37</v>
      </c>
      <c r="AL18" s="9">
        <v>3.66</v>
      </c>
      <c r="AM18" s="7">
        <v>6.2198611978125096E-3</v>
      </c>
      <c r="AN18" s="7">
        <v>-5</v>
      </c>
      <c r="AO18" s="7"/>
      <c r="AP18" s="9" t="s">
        <v>178</v>
      </c>
      <c r="AQ18" s="26">
        <f t="shared" ref="AQ18:AQ29" si="34">AK18</f>
        <v>37</v>
      </c>
      <c r="AR18" s="26">
        <v>1.5007541916490501</v>
      </c>
      <c r="AS18" s="29">
        <f>ImpliedVolatilityB76Future($E$9,AH18,AI18,AJ18,AG18,AQ18,AM18)</f>
        <v>1.4996125367929933</v>
      </c>
      <c r="AT18" s="26">
        <f t="shared" si="1"/>
        <v>37</v>
      </c>
      <c r="AU18" s="27">
        <f>B76Future($E$9,AH18,AI18,AJ18,AG18,AS18,AM18)</f>
        <v>37</v>
      </c>
      <c r="AV18" s="27">
        <f t="shared" si="2"/>
        <v>1.52</v>
      </c>
      <c r="AW18" s="1">
        <f t="shared" si="3"/>
        <v>2.6831074868284217</v>
      </c>
      <c r="AX18" s="30">
        <f>B76Delta($E$9,AH18,AI18,AJ18,AG18,AR18,AM18)</f>
        <v>0.63251227746265148</v>
      </c>
      <c r="AY18" s="30">
        <f>B76Gamma($E$9,AH18,AI18,AJ18,AG18,AR18,AM18)</f>
        <v>3.34781100596611E-3</v>
      </c>
      <c r="AZ18" s="30">
        <f>B76Vega($E$9,AH18,AI18,AJ18,AG18,AR18,AM18)</f>
        <v>27.991294204351043</v>
      </c>
      <c r="BA18" s="30">
        <f>B76Theta($E$9,AH18,AI18,AJ18,AG18,AR18,AM18)</f>
        <v>-0.12292204334607858</v>
      </c>
      <c r="BB18" s="30">
        <f>B76Rho($E$9,AH18,AI18,AJ18,AG18,AR18,AM18)</f>
        <v>-17.247761836738047</v>
      </c>
      <c r="BC18" s="46">
        <f t="shared" si="4"/>
        <v>13.415537434142108</v>
      </c>
      <c r="BD18" s="46">
        <f>AQ18*AN18*$G$11</f>
        <v>-320.61899170090635</v>
      </c>
      <c r="BE18" s="46">
        <v>0</v>
      </c>
      <c r="BF18" s="1"/>
      <c r="BG18" s="46">
        <f>(AK18-AL18)*AN18*$E$10</f>
        <v>-122.20601586183002</v>
      </c>
      <c r="BH18" s="46">
        <f t="shared" si="7"/>
        <v>0</v>
      </c>
      <c r="BI18" s="46">
        <f t="shared" si="8"/>
        <v>-122.20601586183002</v>
      </c>
      <c r="BJ18" s="46">
        <f>(AK18-AL18)*AN18*$E$10</f>
        <v>-122.20601586183002</v>
      </c>
      <c r="BK18" s="46">
        <f t="shared" si="10"/>
        <v>0</v>
      </c>
      <c r="BL18" s="46">
        <f t="shared" si="11"/>
        <v>-122.20601586183002</v>
      </c>
      <c r="BM18" s="24">
        <f t="shared" si="12"/>
        <v>-3.1625613873132572</v>
      </c>
      <c r="BN18" s="45">
        <f t="shared" si="13"/>
        <v>0</v>
      </c>
      <c r="BO18" s="45">
        <f t="shared" si="14"/>
        <v>0</v>
      </c>
      <c r="BP18" s="45">
        <f t="shared" si="15"/>
        <v>0</v>
      </c>
      <c r="BQ18" s="45">
        <f t="shared" si="16"/>
        <v>0</v>
      </c>
      <c r="BR18" s="41">
        <f t="shared" si="17"/>
        <v>7.6129988783524283E-4</v>
      </c>
      <c r="BS18" s="11">
        <f t="shared" si="18"/>
        <v>0</v>
      </c>
      <c r="BT18" s="3">
        <f t="shared" si="19"/>
        <v>0</v>
      </c>
      <c r="BU18" s="3">
        <f t="shared" si="20"/>
        <v>-0.57700886344430291</v>
      </c>
      <c r="BV18" s="3">
        <f t="shared" si="21"/>
        <v>0</v>
      </c>
      <c r="BW18" s="3">
        <f t="shared" si="22"/>
        <v>0</v>
      </c>
      <c r="BX18" s="3">
        <f t="shared" si="23"/>
        <v>0</v>
      </c>
      <c r="BY18" s="3">
        <f t="shared" si="24"/>
        <v>0</v>
      </c>
      <c r="BZ18" s="3">
        <f t="shared" si="25"/>
        <v>0</v>
      </c>
      <c r="CA18" s="3">
        <f t="shared" si="26"/>
        <v>0</v>
      </c>
      <c r="CB18" s="3">
        <f t="shared" si="27"/>
        <v>0</v>
      </c>
      <c r="CC18" s="3">
        <f t="shared" si="28"/>
        <v>0</v>
      </c>
      <c r="CD18" s="3">
        <f t="shared" si="29"/>
        <v>0</v>
      </c>
      <c r="CE18" s="3">
        <f t="shared" si="30"/>
        <v>0</v>
      </c>
      <c r="CF18" s="3">
        <f t="shared" si="31"/>
        <v>0</v>
      </c>
      <c r="CG18" s="3">
        <f t="shared" si="32"/>
        <v>0</v>
      </c>
      <c r="CH18" s="3">
        <f t="shared" si="33"/>
        <v>0</v>
      </c>
      <c r="CI18" s="22"/>
    </row>
    <row r="19" spans="2:87" x14ac:dyDescent="0.25">
      <c r="B19" s="19" t="s">
        <v>97</v>
      </c>
      <c r="C19" s="19" t="s">
        <v>110</v>
      </c>
      <c r="D19" s="19" t="s">
        <v>152</v>
      </c>
      <c r="E19" s="20">
        <v>41061</v>
      </c>
      <c r="F19" s="20">
        <v>41090</v>
      </c>
      <c r="G19" s="20">
        <v>41031</v>
      </c>
      <c r="H19" s="19">
        <v>130</v>
      </c>
      <c r="I19" s="19" t="s">
        <v>3</v>
      </c>
      <c r="J19" s="19">
        <v>5</v>
      </c>
      <c r="K19" s="19">
        <v>720</v>
      </c>
      <c r="L19" s="19">
        <v>2.6831074868284199</v>
      </c>
      <c r="M19" s="19">
        <v>-13.415537434142101</v>
      </c>
      <c r="N19" s="19">
        <v>27.123798340181501</v>
      </c>
      <c r="O19" s="19">
        <v>0.63251227745151195</v>
      </c>
      <c r="P19" s="19">
        <v>3.3478110061073499E-3</v>
      </c>
      <c r="Q19" s="19">
        <v>27.991294203626499</v>
      </c>
      <c r="R19" s="19">
        <v>-0.122922043351352</v>
      </c>
      <c r="S19" s="19">
        <v>-17.247761833946701</v>
      </c>
      <c r="T19" s="19">
        <v>1.5007541916490501</v>
      </c>
      <c r="U19" s="19">
        <v>135.618991700908</v>
      </c>
      <c r="V19" s="19">
        <v>0</v>
      </c>
      <c r="W19" s="19">
        <v>0</v>
      </c>
      <c r="X19" s="19">
        <v>122.20601586183</v>
      </c>
      <c r="Y19" s="19">
        <v>0</v>
      </c>
      <c r="Z19" s="19">
        <v>122.20601586183</v>
      </c>
      <c r="AA19" s="19">
        <v>122.20601586183</v>
      </c>
      <c r="AB19" s="19">
        <v>0</v>
      </c>
      <c r="AC19" s="19">
        <v>122.20601586183</v>
      </c>
      <c r="AD19" s="43"/>
      <c r="AE19" s="59">
        <v>41061</v>
      </c>
      <c r="AF19" s="59">
        <v>41090</v>
      </c>
      <c r="AG19" s="59">
        <v>41031</v>
      </c>
      <c r="AH19" s="43" t="s">
        <v>68</v>
      </c>
      <c r="AI19" s="7">
        <v>109.36999999950901</v>
      </c>
      <c r="AJ19" s="9">
        <v>130</v>
      </c>
      <c r="AK19" s="7">
        <v>37</v>
      </c>
      <c r="AL19" s="9">
        <v>3.66</v>
      </c>
      <c r="AM19" s="7">
        <v>6.2198611978125096E-3</v>
      </c>
      <c r="AN19" s="7">
        <v>5</v>
      </c>
      <c r="AO19" s="7"/>
      <c r="AP19" s="9" t="s">
        <v>179</v>
      </c>
      <c r="AQ19" s="26">
        <f t="shared" si="34"/>
        <v>37</v>
      </c>
      <c r="AR19" s="26">
        <v>1.5007541916490501</v>
      </c>
      <c r="AS19" s="29">
        <f>ImpliedVolatilityB76Future($E$9,AH19,AI19,AJ19,AG19,AQ19,AM19)</f>
        <v>1.4996125367929933</v>
      </c>
      <c r="AT19" s="26">
        <f t="shared" si="1"/>
        <v>37</v>
      </c>
      <c r="AU19" s="27">
        <f>B76Future($E$9,AH19,AI19,AJ19,AG19,AS19,AM19)</f>
        <v>37</v>
      </c>
      <c r="AV19" s="27">
        <f t="shared" si="2"/>
        <v>1.52</v>
      </c>
      <c r="AW19" s="1">
        <f t="shared" si="3"/>
        <v>2.6831074868284217</v>
      </c>
      <c r="AX19" s="30">
        <f>B76Delta($E$9,AH19,AI19,AJ19,AG19,AR19,AM19)</f>
        <v>0.63251227746265148</v>
      </c>
      <c r="AY19" s="30">
        <f>B76Gamma($E$9,AH19,AI19,AJ19,AG19,AR19,AM19)</f>
        <v>3.34781100596611E-3</v>
      </c>
      <c r="AZ19" s="30">
        <f>B76Vega($E$9,AH19,AI19,AJ19,AG19,AR19,AM19)</f>
        <v>27.991294204351043</v>
      </c>
      <c r="BA19" s="30">
        <f>B76Theta($E$9,AH19,AI19,AJ19,AG19,AR19,AM19)</f>
        <v>-0.12292204334607858</v>
      </c>
      <c r="BB19" s="30">
        <f>B76Rho($E$9,AH19,AI19,AJ19,AG19,AR19,AM19)</f>
        <v>-17.247761836738047</v>
      </c>
      <c r="BC19" s="46">
        <f t="shared" si="4"/>
        <v>-13.415537434142108</v>
      </c>
      <c r="BD19" s="46">
        <f>AQ19*AN19*$G$11</f>
        <v>320.61899170090635</v>
      </c>
      <c r="BE19" s="46">
        <v>0</v>
      </c>
      <c r="BF19" s="1"/>
      <c r="BG19" s="46">
        <f>(AK19-AL19)*AN19*$E$10</f>
        <v>122.20601586183002</v>
      </c>
      <c r="BH19" s="46">
        <f t="shared" si="7"/>
        <v>0</v>
      </c>
      <c r="BI19" s="46">
        <f t="shared" si="8"/>
        <v>122.20601586183002</v>
      </c>
      <c r="BJ19" s="46">
        <f>(AK19-AL19)*AN19*$E$10</f>
        <v>122.20601586183002</v>
      </c>
      <c r="BK19" s="46">
        <f t="shared" si="10"/>
        <v>0</v>
      </c>
      <c r="BL19" s="46">
        <f t="shared" si="11"/>
        <v>122.20601586183002</v>
      </c>
      <c r="BM19" s="24">
        <f t="shared" si="12"/>
        <v>3.1625613873132572</v>
      </c>
      <c r="BN19" s="45">
        <f t="shared" si="13"/>
        <v>0</v>
      </c>
      <c r="BO19" s="45">
        <f t="shared" si="14"/>
        <v>0</v>
      </c>
      <c r="BP19" s="45">
        <f t="shared" si="15"/>
        <v>0</v>
      </c>
      <c r="BQ19" s="45">
        <f t="shared" si="16"/>
        <v>0</v>
      </c>
      <c r="BR19" s="41">
        <f t="shared" si="17"/>
        <v>7.6129988783524283E-4</v>
      </c>
      <c r="BS19" s="11">
        <f t="shared" si="18"/>
        <v>0</v>
      </c>
      <c r="BT19" s="3">
        <f t="shared" si="19"/>
        <v>0</v>
      </c>
      <c r="BU19" s="3">
        <f t="shared" si="20"/>
        <v>-0.57700886344430291</v>
      </c>
      <c r="BV19" s="3">
        <f t="shared" si="21"/>
        <v>0</v>
      </c>
      <c r="BW19" s="3">
        <f t="shared" si="22"/>
        <v>0</v>
      </c>
      <c r="BX19" s="3">
        <f t="shared" si="23"/>
        <v>0</v>
      </c>
      <c r="BY19" s="3">
        <f t="shared" si="24"/>
        <v>0</v>
      </c>
      <c r="BZ19" s="3">
        <f t="shared" si="25"/>
        <v>0</v>
      </c>
      <c r="CA19" s="3">
        <f t="shared" si="26"/>
        <v>0</v>
      </c>
      <c r="CB19" s="3">
        <f t="shared" si="27"/>
        <v>0</v>
      </c>
      <c r="CC19" s="3">
        <f t="shared" si="28"/>
        <v>0</v>
      </c>
      <c r="CD19" s="3">
        <f t="shared" si="29"/>
        <v>0</v>
      </c>
      <c r="CE19" s="3">
        <f t="shared" si="30"/>
        <v>0</v>
      </c>
      <c r="CF19" s="3">
        <f t="shared" si="31"/>
        <v>0</v>
      </c>
      <c r="CG19" s="3">
        <f t="shared" si="32"/>
        <v>0</v>
      </c>
      <c r="CH19" s="3">
        <f t="shared" si="33"/>
        <v>0</v>
      </c>
      <c r="CI19" s="22"/>
    </row>
    <row r="20" spans="2:87" x14ac:dyDescent="0.25">
      <c r="B20" s="19" t="s">
        <v>97</v>
      </c>
      <c r="C20" s="19" t="s">
        <v>112</v>
      </c>
      <c r="D20" s="19" t="s">
        <v>153</v>
      </c>
      <c r="E20" s="20">
        <v>40664</v>
      </c>
      <c r="F20" s="20">
        <v>40694</v>
      </c>
      <c r="G20" s="20">
        <v>40634</v>
      </c>
      <c r="H20" s="19">
        <v>130</v>
      </c>
      <c r="I20" s="19" t="s">
        <v>114</v>
      </c>
      <c r="J20" s="19">
        <v>5</v>
      </c>
      <c r="K20" s="19">
        <v>744</v>
      </c>
      <c r="L20" s="19">
        <v>2.6831074868284199</v>
      </c>
      <c r="M20" s="19">
        <v>-13.415537434142101</v>
      </c>
      <c r="N20" s="19">
        <v>0</v>
      </c>
      <c r="O20" s="19">
        <v>0</v>
      </c>
      <c r="P20" s="19">
        <v>0</v>
      </c>
      <c r="Q20" s="19">
        <v>0</v>
      </c>
      <c r="R20" s="19">
        <v>0</v>
      </c>
      <c r="S20" s="19">
        <v>0</v>
      </c>
      <c r="T20" s="19">
        <v>0</v>
      </c>
      <c r="U20" s="19">
        <v>0</v>
      </c>
      <c r="V20" s="19">
        <v>0</v>
      </c>
      <c r="W20" s="19">
        <v>0</v>
      </c>
      <c r="X20" s="19">
        <v>-13.415537434142101</v>
      </c>
      <c r="Y20" s="19">
        <v>0</v>
      </c>
      <c r="Z20" s="19">
        <v>-13.415537434142101</v>
      </c>
      <c r="AA20" s="19">
        <v>-13.415537434142101</v>
      </c>
      <c r="AB20" s="19">
        <v>0</v>
      </c>
      <c r="AC20" s="19">
        <v>-13.415537434142101</v>
      </c>
      <c r="AD20" s="43"/>
      <c r="AE20" s="59">
        <v>40664</v>
      </c>
      <c r="AF20" s="59">
        <v>40694</v>
      </c>
      <c r="AG20" s="59">
        <v>40634</v>
      </c>
      <c r="AH20" s="43" t="s">
        <v>68</v>
      </c>
      <c r="AI20" s="7"/>
      <c r="AJ20" s="9">
        <v>130</v>
      </c>
      <c r="AK20" s="7">
        <v>62</v>
      </c>
      <c r="AL20" s="9">
        <v>3.66</v>
      </c>
      <c r="AM20" s="7"/>
      <c r="AN20" s="7">
        <v>5</v>
      </c>
      <c r="AO20" s="7"/>
      <c r="AP20" s="9" t="s">
        <v>176</v>
      </c>
      <c r="AQ20" s="26">
        <f t="shared" si="34"/>
        <v>62</v>
      </c>
      <c r="AR20" s="26"/>
      <c r="AS20" s="29"/>
      <c r="AT20" s="26">
        <f t="shared" si="1"/>
        <v>62</v>
      </c>
      <c r="AU20" s="27"/>
      <c r="AV20" s="27"/>
      <c r="AW20" s="1">
        <f t="shared" si="3"/>
        <v>2.6831074868284217</v>
      </c>
      <c r="AX20" s="30">
        <v>0</v>
      </c>
      <c r="AY20" s="30">
        <v>0</v>
      </c>
      <c r="AZ20" s="30">
        <v>0</v>
      </c>
      <c r="BA20" s="30">
        <v>0</v>
      </c>
      <c r="BB20" s="30">
        <v>0</v>
      </c>
      <c r="BC20" s="46">
        <f t="shared" si="4"/>
        <v>-13.415537434142108</v>
      </c>
      <c r="BD20" s="1">
        <v>0</v>
      </c>
      <c r="BE20" s="1">
        <v>0</v>
      </c>
      <c r="BF20" s="1">
        <v>0</v>
      </c>
      <c r="BG20" s="46">
        <f>BC20</f>
        <v>-13.415537434142108</v>
      </c>
      <c r="BH20" s="1">
        <f t="shared" si="7"/>
        <v>0</v>
      </c>
      <c r="BI20" s="46">
        <f t="shared" si="8"/>
        <v>-13.415537434142108</v>
      </c>
      <c r="BJ20" s="46">
        <f>BC20</f>
        <v>-13.415537434142108</v>
      </c>
      <c r="BK20" s="1">
        <f t="shared" si="10"/>
        <v>0</v>
      </c>
      <c r="BL20" s="46">
        <f t="shared" si="11"/>
        <v>-13.415537434142108</v>
      </c>
      <c r="BM20" s="24">
        <v>0</v>
      </c>
      <c r="BN20" s="45">
        <f t="shared" si="13"/>
        <v>0</v>
      </c>
      <c r="BO20" s="45">
        <f t="shared" si="14"/>
        <v>0</v>
      </c>
      <c r="BP20" s="45">
        <f t="shared" si="15"/>
        <v>0</v>
      </c>
      <c r="BQ20" s="45">
        <f t="shared" si="16"/>
        <v>0</v>
      </c>
      <c r="BR20" s="41">
        <f t="shared" si="17"/>
        <v>0</v>
      </c>
      <c r="BS20" s="11">
        <f t="shared" si="18"/>
        <v>0</v>
      </c>
      <c r="BT20" s="3">
        <f t="shared" si="19"/>
        <v>0</v>
      </c>
      <c r="BU20" s="3">
        <f t="shared" si="20"/>
        <v>0</v>
      </c>
      <c r="BV20" s="3">
        <f t="shared" si="21"/>
        <v>0</v>
      </c>
      <c r="BW20" s="3">
        <f t="shared" si="22"/>
        <v>0</v>
      </c>
      <c r="BX20" s="3">
        <f t="shared" si="23"/>
        <v>0</v>
      </c>
      <c r="BY20" s="3">
        <f t="shared" si="24"/>
        <v>0</v>
      </c>
      <c r="BZ20" s="3">
        <f t="shared" si="25"/>
        <v>0</v>
      </c>
      <c r="CA20" s="3">
        <f t="shared" si="26"/>
        <v>0</v>
      </c>
      <c r="CB20" s="3">
        <f t="shared" si="27"/>
        <v>0</v>
      </c>
      <c r="CC20" s="3">
        <f t="shared" si="28"/>
        <v>0</v>
      </c>
      <c r="CD20" s="3">
        <f t="shared" si="29"/>
        <v>0</v>
      </c>
      <c r="CE20" s="3">
        <f t="shared" si="30"/>
        <v>0</v>
      </c>
      <c r="CF20" s="3">
        <f t="shared" si="31"/>
        <v>0</v>
      </c>
      <c r="CG20" s="3">
        <f t="shared" si="32"/>
        <v>0</v>
      </c>
      <c r="CH20" s="3">
        <f t="shared" si="33"/>
        <v>0</v>
      </c>
      <c r="CI20" s="22"/>
    </row>
    <row r="21" spans="2:87" x14ac:dyDescent="0.25">
      <c r="B21" s="19" t="s">
        <v>97</v>
      </c>
      <c r="C21" s="19" t="s">
        <v>112</v>
      </c>
      <c r="D21" s="19" t="s">
        <v>153</v>
      </c>
      <c r="E21" s="20">
        <v>40664</v>
      </c>
      <c r="F21" s="20">
        <v>40694</v>
      </c>
      <c r="G21" s="20">
        <v>40634</v>
      </c>
      <c r="H21" s="19">
        <v>130</v>
      </c>
      <c r="I21" s="19" t="s">
        <v>114</v>
      </c>
      <c r="J21" s="19">
        <v>-5</v>
      </c>
      <c r="K21" s="19">
        <v>744</v>
      </c>
      <c r="L21" s="19">
        <v>2.6831074868284199</v>
      </c>
      <c r="M21" s="19">
        <v>13.415537434142101</v>
      </c>
      <c r="N21" s="19">
        <v>0</v>
      </c>
      <c r="O21" s="19">
        <v>0</v>
      </c>
      <c r="P21" s="19">
        <v>0</v>
      </c>
      <c r="Q21" s="19">
        <v>0</v>
      </c>
      <c r="R21" s="19">
        <v>0</v>
      </c>
      <c r="S21" s="19">
        <v>0</v>
      </c>
      <c r="T21" s="19">
        <v>0</v>
      </c>
      <c r="U21" s="19">
        <v>0</v>
      </c>
      <c r="V21" s="19">
        <v>0</v>
      </c>
      <c r="W21" s="19">
        <v>0</v>
      </c>
      <c r="X21" s="19">
        <v>13.415537434142101</v>
      </c>
      <c r="Y21" s="19">
        <v>0</v>
      </c>
      <c r="Z21" s="19">
        <v>13.415537434142101</v>
      </c>
      <c r="AA21" s="19">
        <v>13.415537434142101</v>
      </c>
      <c r="AB21" s="19">
        <v>0</v>
      </c>
      <c r="AC21" s="19">
        <v>13.415537434142101</v>
      </c>
      <c r="AD21" s="43"/>
      <c r="AE21" s="59">
        <v>40664</v>
      </c>
      <c r="AF21" s="59">
        <v>40694</v>
      </c>
      <c r="AG21" s="59">
        <v>40634</v>
      </c>
      <c r="AH21" s="43" t="s">
        <v>68</v>
      </c>
      <c r="AI21" s="7"/>
      <c r="AJ21" s="9">
        <v>130</v>
      </c>
      <c r="AK21" s="7">
        <v>62</v>
      </c>
      <c r="AL21" s="9">
        <v>3.66</v>
      </c>
      <c r="AM21" s="7"/>
      <c r="AN21" s="7">
        <v>-5</v>
      </c>
      <c r="AO21" s="7"/>
      <c r="AP21" s="9" t="s">
        <v>177</v>
      </c>
      <c r="AQ21" s="26">
        <f t="shared" si="34"/>
        <v>62</v>
      </c>
      <c r="AR21" s="26"/>
      <c r="AS21" s="29"/>
      <c r="AT21" s="26">
        <f t="shared" si="1"/>
        <v>62</v>
      </c>
      <c r="AU21" s="27"/>
      <c r="AV21" s="27"/>
      <c r="AW21" s="1">
        <f t="shared" si="3"/>
        <v>2.6831074868284217</v>
      </c>
      <c r="AX21" s="30">
        <v>0</v>
      </c>
      <c r="AY21" s="30">
        <v>0</v>
      </c>
      <c r="AZ21" s="30">
        <v>0</v>
      </c>
      <c r="BA21" s="30">
        <v>0</v>
      </c>
      <c r="BB21" s="30">
        <v>0</v>
      </c>
      <c r="BC21" s="46">
        <f t="shared" si="4"/>
        <v>13.415537434142108</v>
      </c>
      <c r="BD21" s="1">
        <v>0</v>
      </c>
      <c r="BE21" s="1">
        <v>0</v>
      </c>
      <c r="BF21" s="1">
        <v>0</v>
      </c>
      <c r="BG21" s="46">
        <f t="shared" ref="BG21:BG29" si="35">BC21</f>
        <v>13.415537434142108</v>
      </c>
      <c r="BH21" s="1">
        <f t="shared" si="7"/>
        <v>0</v>
      </c>
      <c r="BI21" s="46">
        <f t="shared" si="8"/>
        <v>13.415537434142108</v>
      </c>
      <c r="BJ21" s="46">
        <f t="shared" ref="BJ21:BJ29" si="36">BC21</f>
        <v>13.415537434142108</v>
      </c>
      <c r="BK21" s="1">
        <f t="shared" si="10"/>
        <v>0</v>
      </c>
      <c r="BL21" s="46">
        <f t="shared" si="11"/>
        <v>13.415537434142108</v>
      </c>
      <c r="BM21" s="24">
        <v>0</v>
      </c>
      <c r="BN21" s="45">
        <f t="shared" si="13"/>
        <v>0</v>
      </c>
      <c r="BO21" s="45">
        <f t="shared" si="14"/>
        <v>0</v>
      </c>
      <c r="BP21" s="45">
        <f t="shared" si="15"/>
        <v>0</v>
      </c>
      <c r="BQ21" s="45">
        <f t="shared" si="16"/>
        <v>0</v>
      </c>
      <c r="BR21" s="41">
        <f t="shared" si="17"/>
        <v>0</v>
      </c>
      <c r="BS21" s="11">
        <f t="shared" si="18"/>
        <v>0</v>
      </c>
      <c r="BT21" s="3">
        <f t="shared" si="19"/>
        <v>0</v>
      </c>
      <c r="BU21" s="3">
        <f t="shared" si="20"/>
        <v>0</v>
      </c>
      <c r="BV21" s="3">
        <f t="shared" si="21"/>
        <v>0</v>
      </c>
      <c r="BW21" s="3">
        <f t="shared" si="22"/>
        <v>0</v>
      </c>
      <c r="BX21" s="3">
        <f t="shared" si="23"/>
        <v>0</v>
      </c>
      <c r="BY21" s="3">
        <f t="shared" si="24"/>
        <v>0</v>
      </c>
      <c r="BZ21" s="3">
        <f t="shared" si="25"/>
        <v>0</v>
      </c>
      <c r="CA21" s="3">
        <f t="shared" si="26"/>
        <v>0</v>
      </c>
      <c r="CB21" s="3">
        <f t="shared" si="27"/>
        <v>0</v>
      </c>
      <c r="CC21" s="3">
        <f t="shared" si="28"/>
        <v>0</v>
      </c>
      <c r="CD21" s="3">
        <f t="shared" si="29"/>
        <v>0</v>
      </c>
      <c r="CE21" s="3">
        <f t="shared" si="30"/>
        <v>0</v>
      </c>
      <c r="CF21" s="3">
        <f t="shared" si="31"/>
        <v>0</v>
      </c>
      <c r="CG21" s="3">
        <f t="shared" si="32"/>
        <v>0</v>
      </c>
      <c r="CH21" s="3">
        <f t="shared" si="33"/>
        <v>0</v>
      </c>
      <c r="CI21" s="22"/>
    </row>
    <row r="22" spans="2:87" x14ac:dyDescent="0.25">
      <c r="B22" s="5" t="s">
        <v>97</v>
      </c>
      <c r="C22" s="5" t="s">
        <v>115</v>
      </c>
      <c r="D22" s="5" t="s">
        <v>154</v>
      </c>
      <c r="E22" s="51">
        <v>40787</v>
      </c>
      <c r="F22" s="51">
        <v>40816</v>
      </c>
      <c r="G22" s="51">
        <v>40757</v>
      </c>
      <c r="H22" s="5">
        <v>130</v>
      </c>
      <c r="I22" s="5" t="s">
        <v>114</v>
      </c>
      <c r="J22" s="5">
        <v>5</v>
      </c>
      <c r="K22" s="5">
        <v>720</v>
      </c>
      <c r="L22" s="5">
        <v>2.6831074868284199</v>
      </c>
      <c r="M22" s="5">
        <v>-13.415537434142101</v>
      </c>
      <c r="N22" s="5">
        <v>0</v>
      </c>
      <c r="O22" s="5">
        <v>0</v>
      </c>
      <c r="P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-13.415537434142101</v>
      </c>
      <c r="Y22" s="5">
        <v>0</v>
      </c>
      <c r="Z22" s="5">
        <v>-13.415537434142101</v>
      </c>
      <c r="AA22" s="5">
        <v>-13.415537434142101</v>
      </c>
      <c r="AB22" s="5">
        <v>0</v>
      </c>
      <c r="AC22" s="5">
        <v>-13.415537434142101</v>
      </c>
      <c r="AD22" s="37"/>
      <c r="AE22" s="37">
        <v>40787</v>
      </c>
      <c r="AF22" s="37">
        <v>40816</v>
      </c>
      <c r="AG22" s="37">
        <v>40757</v>
      </c>
      <c r="AH22" s="33" t="s">
        <v>68</v>
      </c>
      <c r="AI22" s="9"/>
      <c r="AJ22" s="9">
        <v>130</v>
      </c>
      <c r="AK22" s="9">
        <v>27</v>
      </c>
      <c r="AL22" s="9">
        <v>3.66</v>
      </c>
      <c r="AM22" s="35"/>
      <c r="AN22" s="7">
        <v>5</v>
      </c>
      <c r="AO22" s="7"/>
      <c r="AP22" s="9" t="s">
        <v>168</v>
      </c>
      <c r="AQ22" s="26">
        <f t="shared" si="34"/>
        <v>27</v>
      </c>
      <c r="AR22" s="26"/>
      <c r="AS22" s="29"/>
      <c r="AT22" s="26"/>
      <c r="AU22" s="27"/>
      <c r="AV22" s="27"/>
      <c r="AW22" s="1">
        <f t="shared" si="3"/>
        <v>2.6831074868284217</v>
      </c>
      <c r="AX22" s="30">
        <v>0</v>
      </c>
      <c r="AY22" s="30">
        <v>0</v>
      </c>
      <c r="AZ22" s="30">
        <v>0</v>
      </c>
      <c r="BA22" s="30">
        <v>0</v>
      </c>
      <c r="BB22" s="30">
        <v>0</v>
      </c>
      <c r="BC22" s="46">
        <f t="shared" si="4"/>
        <v>-13.415537434142108</v>
      </c>
      <c r="BD22" s="1">
        <v>0</v>
      </c>
      <c r="BE22" s="1">
        <v>0</v>
      </c>
      <c r="BF22" s="1">
        <v>0</v>
      </c>
      <c r="BG22" s="46">
        <f t="shared" si="35"/>
        <v>-13.415537434142108</v>
      </c>
      <c r="BH22" s="1">
        <f t="shared" si="7"/>
        <v>0</v>
      </c>
      <c r="BI22" s="46">
        <f t="shared" si="8"/>
        <v>-13.415537434142108</v>
      </c>
      <c r="BJ22" s="46">
        <f t="shared" si="36"/>
        <v>-13.415537434142108</v>
      </c>
      <c r="BK22" s="1">
        <f t="shared" si="10"/>
        <v>0</v>
      </c>
      <c r="BL22" s="46">
        <f t="shared" si="11"/>
        <v>-13.415537434142108</v>
      </c>
      <c r="BM22" s="24">
        <v>0</v>
      </c>
      <c r="BN22" s="45">
        <f t="shared" si="13"/>
        <v>0</v>
      </c>
      <c r="BO22" s="45">
        <f t="shared" si="14"/>
        <v>0</v>
      </c>
      <c r="BP22" s="45">
        <f t="shared" si="15"/>
        <v>0</v>
      </c>
      <c r="BQ22" s="45">
        <f t="shared" si="16"/>
        <v>0</v>
      </c>
      <c r="BR22" s="41">
        <f t="shared" si="17"/>
        <v>0</v>
      </c>
      <c r="BS22" s="11">
        <f t="shared" si="18"/>
        <v>0</v>
      </c>
      <c r="BT22" s="3">
        <f t="shared" si="19"/>
        <v>0</v>
      </c>
      <c r="BU22" s="3">
        <f t="shared" si="20"/>
        <v>0</v>
      </c>
      <c r="BV22" s="3">
        <f t="shared" si="21"/>
        <v>0</v>
      </c>
      <c r="BW22" s="3">
        <f t="shared" si="22"/>
        <v>0</v>
      </c>
      <c r="BX22" s="3">
        <f t="shared" si="23"/>
        <v>0</v>
      </c>
      <c r="BY22" s="3">
        <f t="shared" si="24"/>
        <v>0</v>
      </c>
      <c r="BZ22" s="3">
        <f t="shared" si="25"/>
        <v>0</v>
      </c>
      <c r="CA22" s="3">
        <f t="shared" si="26"/>
        <v>0</v>
      </c>
      <c r="CB22" s="3">
        <f t="shared" si="27"/>
        <v>0</v>
      </c>
      <c r="CC22" s="3">
        <f t="shared" si="28"/>
        <v>0</v>
      </c>
      <c r="CD22" s="3">
        <f t="shared" si="29"/>
        <v>0</v>
      </c>
      <c r="CE22" s="3">
        <f t="shared" si="30"/>
        <v>0</v>
      </c>
      <c r="CF22" s="3">
        <f t="shared" si="31"/>
        <v>0</v>
      </c>
      <c r="CG22" s="3">
        <f t="shared" si="32"/>
        <v>0</v>
      </c>
      <c r="CH22" s="3">
        <f t="shared" si="33"/>
        <v>0</v>
      </c>
    </row>
    <row r="23" spans="2:87" ht="15.75" customHeight="1" x14ac:dyDescent="0.25">
      <c r="B23" s="14" t="s">
        <v>97</v>
      </c>
      <c r="C23" s="14" t="s">
        <v>115</v>
      </c>
      <c r="D23" s="14" t="s">
        <v>155</v>
      </c>
      <c r="E23" s="15">
        <v>40787</v>
      </c>
      <c r="F23" s="15">
        <v>40816</v>
      </c>
      <c r="G23" s="15">
        <v>40757</v>
      </c>
      <c r="H23" s="14">
        <v>130</v>
      </c>
      <c r="I23" s="14" t="s">
        <v>114</v>
      </c>
      <c r="J23" s="14">
        <v>5</v>
      </c>
      <c r="K23" s="14">
        <v>720</v>
      </c>
      <c r="L23" s="14">
        <v>2.6831074868284199</v>
      </c>
      <c r="M23" s="14">
        <v>-13.415537434142101</v>
      </c>
      <c r="N23" s="14">
        <v>0</v>
      </c>
      <c r="O23" s="14">
        <v>0</v>
      </c>
      <c r="P23" s="14">
        <v>0</v>
      </c>
      <c r="Q23" s="14">
        <v>0</v>
      </c>
      <c r="R23" s="16">
        <v>0</v>
      </c>
      <c r="S23" s="14">
        <v>0</v>
      </c>
      <c r="T23" s="31">
        <v>0</v>
      </c>
      <c r="U23" s="14">
        <v>0</v>
      </c>
      <c r="V23" s="14">
        <v>0</v>
      </c>
      <c r="W23" s="14">
        <v>0</v>
      </c>
      <c r="X23" s="14">
        <v>-13.415537434142101</v>
      </c>
      <c r="Y23" s="14">
        <v>0</v>
      </c>
      <c r="Z23" s="14">
        <v>-13.415537434142101</v>
      </c>
      <c r="AA23" s="14">
        <v>-13.415537434142101</v>
      </c>
      <c r="AB23" s="14">
        <v>0</v>
      </c>
      <c r="AC23" s="14">
        <v>-13.415537434142101</v>
      </c>
      <c r="AD23" s="33"/>
      <c r="AE23" s="37">
        <v>40787</v>
      </c>
      <c r="AF23" s="37">
        <v>40816</v>
      </c>
      <c r="AG23" s="37">
        <v>40757</v>
      </c>
      <c r="AH23" s="33" t="s">
        <v>120</v>
      </c>
      <c r="AI23" s="7"/>
      <c r="AJ23" s="9">
        <v>130</v>
      </c>
      <c r="AK23" s="7">
        <v>77</v>
      </c>
      <c r="AL23" s="9">
        <v>3.66</v>
      </c>
      <c r="AM23" s="7"/>
      <c r="AN23" s="7">
        <v>5</v>
      </c>
      <c r="AO23" s="7"/>
      <c r="AP23" s="9" t="s">
        <v>169</v>
      </c>
      <c r="AQ23" s="26">
        <f t="shared" si="34"/>
        <v>77</v>
      </c>
      <c r="AR23" s="26"/>
      <c r="AS23" s="29"/>
      <c r="AT23" s="26"/>
      <c r="AU23" s="27"/>
      <c r="AV23" s="27"/>
      <c r="AW23" s="1">
        <f t="shared" si="3"/>
        <v>2.6831074868284217</v>
      </c>
      <c r="AX23" s="30">
        <v>0</v>
      </c>
      <c r="AY23" s="30">
        <v>0</v>
      </c>
      <c r="AZ23" s="30">
        <v>0</v>
      </c>
      <c r="BA23" s="30">
        <v>0</v>
      </c>
      <c r="BB23" s="30">
        <v>0</v>
      </c>
      <c r="BC23" s="46">
        <f t="shared" si="4"/>
        <v>-13.415537434142108</v>
      </c>
      <c r="BD23" s="1">
        <v>0</v>
      </c>
      <c r="BE23" s="1">
        <v>0</v>
      </c>
      <c r="BF23" s="1">
        <v>0</v>
      </c>
      <c r="BG23" s="46">
        <f t="shared" si="35"/>
        <v>-13.415537434142108</v>
      </c>
      <c r="BH23" s="1">
        <f t="shared" si="7"/>
        <v>0</v>
      </c>
      <c r="BI23" s="46">
        <f t="shared" si="8"/>
        <v>-13.415537434142108</v>
      </c>
      <c r="BJ23" s="46">
        <f t="shared" si="36"/>
        <v>-13.415537434142108</v>
      </c>
      <c r="BK23" s="1">
        <f t="shared" si="10"/>
        <v>0</v>
      </c>
      <c r="BL23" s="46">
        <f t="shared" si="11"/>
        <v>-13.415537434142108</v>
      </c>
      <c r="BM23" s="24">
        <v>0</v>
      </c>
      <c r="BN23" s="45">
        <f t="shared" si="13"/>
        <v>0</v>
      </c>
      <c r="BO23" s="45">
        <f t="shared" si="14"/>
        <v>0</v>
      </c>
      <c r="BP23" s="45">
        <f t="shared" si="15"/>
        <v>0</v>
      </c>
      <c r="BQ23" s="45">
        <f t="shared" si="16"/>
        <v>0</v>
      </c>
      <c r="BR23" s="41">
        <f t="shared" si="17"/>
        <v>0</v>
      </c>
      <c r="BS23" s="11">
        <f t="shared" si="18"/>
        <v>0</v>
      </c>
      <c r="BT23" s="3">
        <f t="shared" si="19"/>
        <v>0</v>
      </c>
      <c r="BU23" s="3">
        <f t="shared" si="20"/>
        <v>0</v>
      </c>
      <c r="BV23" s="3">
        <f t="shared" si="21"/>
        <v>0</v>
      </c>
      <c r="BW23" s="3">
        <f t="shared" si="22"/>
        <v>0</v>
      </c>
      <c r="BX23" s="3">
        <f t="shared" si="23"/>
        <v>0</v>
      </c>
      <c r="BY23" s="3">
        <f t="shared" si="24"/>
        <v>0</v>
      </c>
      <c r="BZ23" s="3">
        <f t="shared" si="25"/>
        <v>0</v>
      </c>
      <c r="CA23" s="3">
        <f t="shared" si="26"/>
        <v>0</v>
      </c>
      <c r="CB23" s="3">
        <f t="shared" si="27"/>
        <v>0</v>
      </c>
      <c r="CC23" s="3">
        <f t="shared" si="28"/>
        <v>0</v>
      </c>
      <c r="CD23" s="3">
        <f t="shared" si="29"/>
        <v>0</v>
      </c>
      <c r="CE23" s="3">
        <f t="shared" si="30"/>
        <v>0</v>
      </c>
      <c r="CF23" s="3">
        <f t="shared" si="31"/>
        <v>0</v>
      </c>
      <c r="CG23" s="3">
        <f t="shared" si="32"/>
        <v>0</v>
      </c>
      <c r="CH23" s="3">
        <f t="shared" si="33"/>
        <v>0</v>
      </c>
    </row>
    <row r="24" spans="2:87" ht="15" customHeight="1" x14ac:dyDescent="0.25">
      <c r="B24" s="14" t="s">
        <v>97</v>
      </c>
      <c r="C24" s="14" t="s">
        <v>115</v>
      </c>
      <c r="D24" s="14" t="s">
        <v>156</v>
      </c>
      <c r="E24" s="15">
        <v>40787</v>
      </c>
      <c r="F24" s="15">
        <v>40816</v>
      </c>
      <c r="G24" s="15">
        <v>40757</v>
      </c>
      <c r="H24" s="14">
        <v>80</v>
      </c>
      <c r="I24" s="14" t="s">
        <v>114</v>
      </c>
      <c r="J24" s="14">
        <v>5</v>
      </c>
      <c r="K24" s="14">
        <v>720</v>
      </c>
      <c r="L24" s="14">
        <v>2.6831074868284199</v>
      </c>
      <c r="M24" s="14">
        <v>-13.415537434142101</v>
      </c>
      <c r="N24" s="14">
        <v>0</v>
      </c>
      <c r="O24" s="14">
        <v>0</v>
      </c>
      <c r="P24" s="14">
        <v>0</v>
      </c>
      <c r="Q24" s="14">
        <v>0</v>
      </c>
      <c r="R24" s="16">
        <v>0</v>
      </c>
      <c r="S24" s="14">
        <v>0</v>
      </c>
      <c r="T24" s="31">
        <v>0</v>
      </c>
      <c r="U24" s="14">
        <v>0</v>
      </c>
      <c r="V24" s="14">
        <v>0</v>
      </c>
      <c r="W24" s="14">
        <v>0</v>
      </c>
      <c r="X24" s="14">
        <v>-13.415537434142101</v>
      </c>
      <c r="Y24" s="14">
        <v>0</v>
      </c>
      <c r="Z24" s="14">
        <v>-13.415537434142101</v>
      </c>
      <c r="AA24" s="14">
        <v>-13.415537434142101</v>
      </c>
      <c r="AB24" s="14">
        <v>0</v>
      </c>
      <c r="AC24" s="14">
        <v>-13.415537434142101</v>
      </c>
      <c r="AD24" s="43"/>
      <c r="AE24" s="37">
        <v>40787</v>
      </c>
      <c r="AF24" s="37">
        <v>40816</v>
      </c>
      <c r="AG24" s="37">
        <v>40757</v>
      </c>
      <c r="AH24" s="43" t="s">
        <v>68</v>
      </c>
      <c r="AI24" s="7"/>
      <c r="AJ24" s="9">
        <v>80</v>
      </c>
      <c r="AK24" s="7">
        <v>55</v>
      </c>
      <c r="AL24" s="9">
        <v>3.66</v>
      </c>
      <c r="AM24" s="7"/>
      <c r="AN24" s="7">
        <v>5</v>
      </c>
      <c r="AO24" s="7"/>
      <c r="AP24" s="9" t="s">
        <v>170</v>
      </c>
      <c r="AQ24" s="26">
        <f t="shared" si="34"/>
        <v>55</v>
      </c>
      <c r="AR24" s="26"/>
      <c r="AS24" s="29"/>
      <c r="AT24" s="26"/>
      <c r="AU24" s="27"/>
      <c r="AV24" s="27"/>
      <c r="AW24" s="1">
        <f t="shared" si="3"/>
        <v>2.6831074868284217</v>
      </c>
      <c r="AX24" s="30">
        <v>0</v>
      </c>
      <c r="AY24" s="30">
        <v>0</v>
      </c>
      <c r="AZ24" s="30">
        <v>0</v>
      </c>
      <c r="BA24" s="30">
        <v>0</v>
      </c>
      <c r="BB24" s="30">
        <v>0</v>
      </c>
      <c r="BC24" s="46">
        <f t="shared" si="4"/>
        <v>-13.415537434142108</v>
      </c>
      <c r="BD24" s="1">
        <v>0</v>
      </c>
      <c r="BE24" s="1">
        <v>0</v>
      </c>
      <c r="BF24" s="1">
        <v>0</v>
      </c>
      <c r="BG24" s="46">
        <f t="shared" si="35"/>
        <v>-13.415537434142108</v>
      </c>
      <c r="BH24" s="1">
        <f t="shared" si="7"/>
        <v>0</v>
      </c>
      <c r="BI24" s="46">
        <f t="shared" si="8"/>
        <v>-13.415537434142108</v>
      </c>
      <c r="BJ24" s="46">
        <f t="shared" si="36"/>
        <v>-13.415537434142108</v>
      </c>
      <c r="BK24" s="1">
        <f t="shared" si="10"/>
        <v>0</v>
      </c>
      <c r="BL24" s="46">
        <f t="shared" si="11"/>
        <v>-13.415537434142108</v>
      </c>
      <c r="BM24" s="24">
        <v>0</v>
      </c>
      <c r="BN24" s="45">
        <f t="shared" si="13"/>
        <v>0</v>
      </c>
      <c r="BO24" s="45">
        <f t="shared" si="14"/>
        <v>0</v>
      </c>
      <c r="BP24" s="45">
        <f t="shared" si="15"/>
        <v>0</v>
      </c>
      <c r="BQ24" s="45">
        <f t="shared" si="16"/>
        <v>0</v>
      </c>
      <c r="BR24" s="41">
        <f t="shared" si="17"/>
        <v>0</v>
      </c>
      <c r="BS24" s="11">
        <f t="shared" si="18"/>
        <v>0</v>
      </c>
      <c r="BT24" s="3">
        <f t="shared" si="19"/>
        <v>0</v>
      </c>
      <c r="BU24" s="3">
        <f t="shared" si="20"/>
        <v>0</v>
      </c>
      <c r="BV24" s="3">
        <f t="shared" si="21"/>
        <v>0</v>
      </c>
      <c r="BW24" s="3">
        <f t="shared" si="22"/>
        <v>0</v>
      </c>
      <c r="BX24" s="3">
        <f t="shared" si="23"/>
        <v>0</v>
      </c>
      <c r="BY24" s="3">
        <f t="shared" si="24"/>
        <v>0</v>
      </c>
      <c r="BZ24" s="3">
        <f t="shared" si="25"/>
        <v>0</v>
      </c>
      <c r="CA24" s="3">
        <f t="shared" si="26"/>
        <v>0</v>
      </c>
      <c r="CB24" s="3">
        <f t="shared" si="27"/>
        <v>0</v>
      </c>
      <c r="CC24" s="3">
        <f t="shared" si="28"/>
        <v>0</v>
      </c>
      <c r="CD24" s="3">
        <f t="shared" si="29"/>
        <v>0</v>
      </c>
      <c r="CE24" s="3">
        <f t="shared" si="30"/>
        <v>0</v>
      </c>
      <c r="CF24" s="3">
        <f t="shared" si="31"/>
        <v>0</v>
      </c>
      <c r="CG24" s="3">
        <f t="shared" si="32"/>
        <v>0</v>
      </c>
      <c r="CH24" s="3">
        <f t="shared" si="33"/>
        <v>0</v>
      </c>
    </row>
    <row r="25" spans="2:87" x14ac:dyDescent="0.25">
      <c r="B25" s="5" t="s">
        <v>97</v>
      </c>
      <c r="C25" s="5" t="s">
        <v>115</v>
      </c>
      <c r="D25" s="5" t="s">
        <v>157</v>
      </c>
      <c r="E25" s="51">
        <v>40787</v>
      </c>
      <c r="F25" s="51">
        <v>40816</v>
      </c>
      <c r="G25" s="51">
        <v>40757</v>
      </c>
      <c r="H25" s="5">
        <v>80</v>
      </c>
      <c r="I25" s="5" t="s">
        <v>114</v>
      </c>
      <c r="J25" s="5">
        <v>5</v>
      </c>
      <c r="K25" s="5">
        <v>720</v>
      </c>
      <c r="L25" s="5">
        <v>2.6831074868284199</v>
      </c>
      <c r="M25" s="5">
        <v>-13.415537434142101</v>
      </c>
      <c r="N25" s="5">
        <v>0</v>
      </c>
      <c r="O25" s="5">
        <v>0</v>
      </c>
      <c r="P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-13.415537434142101</v>
      </c>
      <c r="Y25" s="5">
        <v>0</v>
      </c>
      <c r="Z25" s="5">
        <v>-13.415537434142101</v>
      </c>
      <c r="AA25" s="5">
        <v>-13.415537434142101</v>
      </c>
      <c r="AB25" s="5">
        <v>0</v>
      </c>
      <c r="AC25" s="5">
        <v>-13.415537434142101</v>
      </c>
      <c r="AD25" s="43"/>
      <c r="AE25" s="37">
        <v>40787</v>
      </c>
      <c r="AF25" s="37">
        <v>40816</v>
      </c>
      <c r="AG25" s="37">
        <v>40757</v>
      </c>
      <c r="AH25" s="43" t="s">
        <v>120</v>
      </c>
      <c r="AI25" s="7"/>
      <c r="AJ25" s="9">
        <v>80</v>
      </c>
      <c r="AK25" s="7">
        <v>4</v>
      </c>
      <c r="AL25" s="9">
        <v>3.66</v>
      </c>
      <c r="AM25" s="7"/>
      <c r="AN25" s="7">
        <v>5</v>
      </c>
      <c r="AO25" s="7"/>
      <c r="AP25" s="9" t="s">
        <v>171</v>
      </c>
      <c r="AQ25" s="26">
        <f t="shared" si="34"/>
        <v>4</v>
      </c>
      <c r="AR25" s="26"/>
      <c r="AS25" s="29"/>
      <c r="AT25" s="26"/>
      <c r="AU25" s="27"/>
      <c r="AV25" s="27"/>
      <c r="AW25" s="1">
        <f t="shared" si="3"/>
        <v>2.6831074868284217</v>
      </c>
      <c r="AX25" s="30">
        <v>0</v>
      </c>
      <c r="AY25" s="30">
        <v>0</v>
      </c>
      <c r="AZ25" s="30">
        <v>0</v>
      </c>
      <c r="BA25" s="30">
        <v>0</v>
      </c>
      <c r="BB25" s="30">
        <v>0</v>
      </c>
      <c r="BC25" s="46">
        <f t="shared" si="4"/>
        <v>-13.415537434142108</v>
      </c>
      <c r="BD25" s="1">
        <v>0</v>
      </c>
      <c r="BE25" s="1">
        <v>0</v>
      </c>
      <c r="BF25" s="1">
        <v>0</v>
      </c>
      <c r="BG25" s="46">
        <f t="shared" si="35"/>
        <v>-13.415537434142108</v>
      </c>
      <c r="BH25" s="1">
        <f t="shared" si="7"/>
        <v>0</v>
      </c>
      <c r="BI25" s="46">
        <f t="shared" si="8"/>
        <v>-13.415537434142108</v>
      </c>
      <c r="BJ25" s="46">
        <f t="shared" si="36"/>
        <v>-13.415537434142108</v>
      </c>
      <c r="BK25" s="1">
        <f t="shared" si="10"/>
        <v>0</v>
      </c>
      <c r="BL25" s="46">
        <f t="shared" si="11"/>
        <v>-13.415537434142108</v>
      </c>
      <c r="BM25" s="24">
        <v>0</v>
      </c>
      <c r="BN25" s="45">
        <f t="shared" si="13"/>
        <v>0</v>
      </c>
      <c r="BO25" s="45">
        <f t="shared" si="14"/>
        <v>0</v>
      </c>
      <c r="BP25" s="45">
        <f t="shared" si="15"/>
        <v>0</v>
      </c>
      <c r="BQ25" s="45">
        <f t="shared" si="16"/>
        <v>0</v>
      </c>
      <c r="BR25" s="41">
        <f t="shared" si="17"/>
        <v>0</v>
      </c>
      <c r="BS25" s="11">
        <f t="shared" si="18"/>
        <v>0</v>
      </c>
      <c r="BT25" s="3">
        <f t="shared" si="19"/>
        <v>0</v>
      </c>
      <c r="BU25" s="3">
        <f t="shared" si="20"/>
        <v>0</v>
      </c>
      <c r="BV25" s="3">
        <f t="shared" si="21"/>
        <v>0</v>
      </c>
      <c r="BW25" s="3">
        <f t="shared" si="22"/>
        <v>0</v>
      </c>
      <c r="BX25" s="3">
        <f t="shared" si="23"/>
        <v>0</v>
      </c>
      <c r="BY25" s="3">
        <f t="shared" si="24"/>
        <v>0</v>
      </c>
      <c r="BZ25" s="3">
        <f t="shared" si="25"/>
        <v>0</v>
      </c>
      <c r="CA25" s="3">
        <f t="shared" si="26"/>
        <v>0</v>
      </c>
      <c r="CB25" s="3">
        <f t="shared" si="27"/>
        <v>0</v>
      </c>
      <c r="CC25" s="3">
        <f t="shared" si="28"/>
        <v>0</v>
      </c>
      <c r="CD25" s="3">
        <f t="shared" si="29"/>
        <v>0</v>
      </c>
      <c r="CE25" s="3">
        <f t="shared" si="30"/>
        <v>0</v>
      </c>
      <c r="CF25" s="3">
        <f t="shared" si="31"/>
        <v>0</v>
      </c>
      <c r="CG25" s="3">
        <f t="shared" si="32"/>
        <v>0</v>
      </c>
      <c r="CH25" s="3">
        <f t="shared" si="33"/>
        <v>0</v>
      </c>
    </row>
    <row r="26" spans="2:87" x14ac:dyDescent="0.25">
      <c r="B26" s="5" t="s">
        <v>97</v>
      </c>
      <c r="C26" s="5" t="s">
        <v>98</v>
      </c>
      <c r="D26" s="5" t="s">
        <v>158</v>
      </c>
      <c r="E26" s="51">
        <v>40848</v>
      </c>
      <c r="F26" s="51">
        <v>40877</v>
      </c>
      <c r="G26" s="51">
        <v>40816</v>
      </c>
      <c r="H26" s="5">
        <v>130</v>
      </c>
      <c r="I26" s="5" t="s">
        <v>114</v>
      </c>
      <c r="J26" s="5">
        <v>5</v>
      </c>
      <c r="K26" s="5">
        <v>720</v>
      </c>
      <c r="L26" s="5">
        <v>2.6831074868284199</v>
      </c>
      <c r="M26" s="5">
        <v>-13.415537434142101</v>
      </c>
      <c r="N26" s="5">
        <v>0</v>
      </c>
      <c r="O26" s="5">
        <v>0</v>
      </c>
      <c r="P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-13.415537434142101</v>
      </c>
      <c r="Y26" s="5">
        <v>0</v>
      </c>
      <c r="Z26" s="5">
        <v>-13.415537434142101</v>
      </c>
      <c r="AA26" s="5">
        <v>-13.415537434142101</v>
      </c>
      <c r="AB26" s="5">
        <v>0</v>
      </c>
      <c r="AC26" s="5">
        <v>-13.415537434142101</v>
      </c>
      <c r="AD26" s="43"/>
      <c r="AE26" s="59">
        <v>40848</v>
      </c>
      <c r="AF26" s="59">
        <v>40877</v>
      </c>
      <c r="AG26" s="59">
        <v>40816</v>
      </c>
      <c r="AH26" s="43" t="s">
        <v>68</v>
      </c>
      <c r="AI26" s="7"/>
      <c r="AJ26" s="9">
        <v>130</v>
      </c>
      <c r="AK26" s="7">
        <v>5</v>
      </c>
      <c r="AL26" s="9">
        <v>3.66</v>
      </c>
      <c r="AM26" s="7"/>
      <c r="AN26" s="7">
        <v>5</v>
      </c>
      <c r="AO26" s="7"/>
      <c r="AP26" s="9" t="s">
        <v>164</v>
      </c>
      <c r="AQ26" s="26">
        <f t="shared" si="34"/>
        <v>5</v>
      </c>
      <c r="AR26" s="26"/>
      <c r="AS26" s="29"/>
      <c r="AT26" s="26"/>
      <c r="AU26" s="27"/>
      <c r="AV26" s="27"/>
      <c r="AW26" s="1">
        <f t="shared" si="3"/>
        <v>2.6831074868284217</v>
      </c>
      <c r="AX26" s="30">
        <v>0</v>
      </c>
      <c r="AY26" s="30">
        <v>0</v>
      </c>
      <c r="AZ26" s="30">
        <v>0</v>
      </c>
      <c r="BA26" s="30">
        <v>0</v>
      </c>
      <c r="BB26" s="30">
        <v>0</v>
      </c>
      <c r="BC26" s="46">
        <f t="shared" si="4"/>
        <v>-13.415537434142108</v>
      </c>
      <c r="BD26" s="1">
        <v>0</v>
      </c>
      <c r="BE26" s="1">
        <v>0</v>
      </c>
      <c r="BF26" s="1">
        <v>0</v>
      </c>
      <c r="BG26" s="46">
        <f t="shared" si="35"/>
        <v>-13.415537434142108</v>
      </c>
      <c r="BH26" s="1">
        <f t="shared" si="7"/>
        <v>0</v>
      </c>
      <c r="BI26" s="46">
        <f t="shared" si="8"/>
        <v>-13.415537434142108</v>
      </c>
      <c r="BJ26" s="46">
        <f t="shared" si="36"/>
        <v>-13.415537434142108</v>
      </c>
      <c r="BK26" s="1">
        <f t="shared" si="10"/>
        <v>0</v>
      </c>
      <c r="BL26" s="46">
        <f t="shared" si="11"/>
        <v>-13.415537434142108</v>
      </c>
      <c r="BM26" s="24">
        <v>0</v>
      </c>
      <c r="BN26" s="45">
        <f t="shared" si="13"/>
        <v>0</v>
      </c>
      <c r="BO26" s="45">
        <f t="shared" si="14"/>
        <v>0</v>
      </c>
      <c r="BP26" s="45">
        <f t="shared" si="15"/>
        <v>0</v>
      </c>
      <c r="BQ26" s="45">
        <f t="shared" si="16"/>
        <v>0</v>
      </c>
      <c r="BR26" s="41">
        <f t="shared" si="17"/>
        <v>0</v>
      </c>
      <c r="BS26" s="11">
        <f t="shared" si="18"/>
        <v>0</v>
      </c>
      <c r="BT26" s="3">
        <f t="shared" si="19"/>
        <v>0</v>
      </c>
      <c r="BU26" s="3">
        <f t="shared" si="20"/>
        <v>0</v>
      </c>
      <c r="BV26" s="3">
        <f t="shared" si="21"/>
        <v>0</v>
      </c>
      <c r="BW26" s="3">
        <f t="shared" si="22"/>
        <v>0</v>
      </c>
      <c r="BX26" s="3">
        <f t="shared" si="23"/>
        <v>0</v>
      </c>
      <c r="BY26" s="3">
        <f t="shared" si="24"/>
        <v>0</v>
      </c>
      <c r="BZ26" s="3">
        <f t="shared" si="25"/>
        <v>0</v>
      </c>
      <c r="CA26" s="3">
        <f t="shared" si="26"/>
        <v>0</v>
      </c>
      <c r="CB26" s="3">
        <f t="shared" si="27"/>
        <v>0</v>
      </c>
      <c r="CC26" s="3">
        <f t="shared" si="28"/>
        <v>0</v>
      </c>
      <c r="CD26" s="3">
        <f t="shared" si="29"/>
        <v>0</v>
      </c>
      <c r="CE26" s="3">
        <f t="shared" si="30"/>
        <v>0</v>
      </c>
      <c r="CF26" s="3">
        <f t="shared" si="31"/>
        <v>0</v>
      </c>
      <c r="CG26" s="3">
        <f t="shared" si="32"/>
        <v>0</v>
      </c>
      <c r="CH26" s="3">
        <f t="shared" si="33"/>
        <v>0</v>
      </c>
    </row>
    <row r="27" spans="2:87" x14ac:dyDescent="0.25">
      <c r="B27" s="5" t="s">
        <v>97</v>
      </c>
      <c r="C27" s="5" t="s">
        <v>98</v>
      </c>
      <c r="D27" s="5" t="s">
        <v>159</v>
      </c>
      <c r="E27" s="51">
        <v>40848</v>
      </c>
      <c r="F27" s="51">
        <v>40877</v>
      </c>
      <c r="G27" s="51">
        <v>40816</v>
      </c>
      <c r="H27" s="5">
        <v>130</v>
      </c>
      <c r="I27" s="5" t="s">
        <v>114</v>
      </c>
      <c r="J27" s="5">
        <v>5</v>
      </c>
      <c r="K27" s="5">
        <v>720</v>
      </c>
      <c r="L27" s="5">
        <v>2.6831074868284199</v>
      </c>
      <c r="M27" s="5">
        <v>-13.415537434142101</v>
      </c>
      <c r="N27" s="5">
        <v>0</v>
      </c>
      <c r="O27" s="5">
        <v>0</v>
      </c>
      <c r="P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-13.415537434142101</v>
      </c>
      <c r="Y27" s="5">
        <v>0</v>
      </c>
      <c r="Z27" s="5">
        <v>-13.415537434142101</v>
      </c>
      <c r="AA27" s="5">
        <v>-13.415537434142101</v>
      </c>
      <c r="AB27" s="5">
        <v>0</v>
      </c>
      <c r="AC27" s="5">
        <v>-13.415537434142101</v>
      </c>
      <c r="AD27" s="43"/>
      <c r="AE27" s="59">
        <v>40848</v>
      </c>
      <c r="AF27" s="59">
        <v>40877</v>
      </c>
      <c r="AG27" s="59">
        <v>40816</v>
      </c>
      <c r="AH27" s="43" t="s">
        <v>120</v>
      </c>
      <c r="AI27" s="7"/>
      <c r="AJ27" s="9">
        <v>130</v>
      </c>
      <c r="AK27" s="7">
        <v>55</v>
      </c>
      <c r="AL27" s="9">
        <v>3.66</v>
      </c>
      <c r="AM27" s="7"/>
      <c r="AN27" s="7">
        <v>5</v>
      </c>
      <c r="AO27" s="7"/>
      <c r="AP27" s="9" t="s">
        <v>165</v>
      </c>
      <c r="AQ27" s="26">
        <f t="shared" si="34"/>
        <v>55</v>
      </c>
      <c r="AR27" s="26"/>
      <c r="AS27" s="29"/>
      <c r="AT27" s="26"/>
      <c r="AU27" s="27"/>
      <c r="AV27" s="27"/>
      <c r="AW27" s="1">
        <f t="shared" si="3"/>
        <v>2.6831074868284217</v>
      </c>
      <c r="AX27" s="30">
        <v>0</v>
      </c>
      <c r="AY27" s="30">
        <v>0</v>
      </c>
      <c r="AZ27" s="30">
        <v>0</v>
      </c>
      <c r="BA27" s="30">
        <v>0</v>
      </c>
      <c r="BB27" s="30">
        <v>0</v>
      </c>
      <c r="BC27" s="46">
        <f t="shared" si="4"/>
        <v>-13.415537434142108</v>
      </c>
      <c r="BD27" s="1">
        <v>0</v>
      </c>
      <c r="BE27" s="1">
        <v>0</v>
      </c>
      <c r="BF27" s="1">
        <v>0</v>
      </c>
      <c r="BG27" s="46">
        <f t="shared" si="35"/>
        <v>-13.415537434142108</v>
      </c>
      <c r="BH27" s="1">
        <f t="shared" si="7"/>
        <v>0</v>
      </c>
      <c r="BI27" s="46">
        <f t="shared" si="8"/>
        <v>-13.415537434142108</v>
      </c>
      <c r="BJ27" s="46">
        <f t="shared" si="36"/>
        <v>-13.415537434142108</v>
      </c>
      <c r="BK27" s="1">
        <f t="shared" si="10"/>
        <v>0</v>
      </c>
      <c r="BL27" s="46">
        <f t="shared" si="11"/>
        <v>-13.415537434142108</v>
      </c>
      <c r="BM27" s="24">
        <v>0</v>
      </c>
      <c r="BN27" s="45">
        <f t="shared" si="13"/>
        <v>0</v>
      </c>
      <c r="BO27" s="45">
        <f t="shared" si="14"/>
        <v>0</v>
      </c>
      <c r="BP27" s="45">
        <f t="shared" si="15"/>
        <v>0</v>
      </c>
      <c r="BQ27" s="45">
        <f t="shared" si="16"/>
        <v>0</v>
      </c>
      <c r="BR27" s="41">
        <f t="shared" si="17"/>
        <v>0</v>
      </c>
      <c r="BS27" s="11">
        <f t="shared" si="18"/>
        <v>0</v>
      </c>
      <c r="BT27" s="3">
        <f t="shared" si="19"/>
        <v>0</v>
      </c>
      <c r="BU27" s="3">
        <f t="shared" si="20"/>
        <v>0</v>
      </c>
      <c r="BV27" s="3">
        <f t="shared" si="21"/>
        <v>0</v>
      </c>
      <c r="BW27" s="3">
        <f t="shared" si="22"/>
        <v>0</v>
      </c>
      <c r="BX27" s="3">
        <f t="shared" si="23"/>
        <v>0</v>
      </c>
      <c r="BY27" s="3">
        <f t="shared" si="24"/>
        <v>0</v>
      </c>
      <c r="BZ27" s="3">
        <f t="shared" si="25"/>
        <v>0</v>
      </c>
      <c r="CA27" s="3">
        <f t="shared" si="26"/>
        <v>0</v>
      </c>
      <c r="CB27" s="3">
        <f t="shared" si="27"/>
        <v>0</v>
      </c>
      <c r="CC27" s="3">
        <f t="shared" si="28"/>
        <v>0</v>
      </c>
      <c r="CD27" s="3">
        <f t="shared" si="29"/>
        <v>0</v>
      </c>
      <c r="CE27" s="3">
        <f t="shared" si="30"/>
        <v>0</v>
      </c>
      <c r="CF27" s="3">
        <f t="shared" si="31"/>
        <v>0</v>
      </c>
      <c r="CG27" s="3">
        <f t="shared" si="32"/>
        <v>0</v>
      </c>
      <c r="CH27" s="3">
        <f t="shared" si="33"/>
        <v>0</v>
      </c>
    </row>
    <row r="28" spans="2:87" x14ac:dyDescent="0.25">
      <c r="B28" s="5" t="s">
        <v>97</v>
      </c>
      <c r="C28" s="5" t="s">
        <v>98</v>
      </c>
      <c r="D28" s="5" t="s">
        <v>160</v>
      </c>
      <c r="E28" s="51">
        <v>40848</v>
      </c>
      <c r="F28" s="51">
        <v>40877</v>
      </c>
      <c r="G28" s="51">
        <v>40816</v>
      </c>
      <c r="H28" s="5">
        <v>80</v>
      </c>
      <c r="I28" s="5" t="s">
        <v>114</v>
      </c>
      <c r="J28" s="5">
        <v>5</v>
      </c>
      <c r="K28" s="5">
        <v>720</v>
      </c>
      <c r="L28" s="5">
        <v>2.6831074868284199</v>
      </c>
      <c r="M28" s="5">
        <v>-13.415537434142101</v>
      </c>
      <c r="N28" s="5">
        <v>0</v>
      </c>
      <c r="O28" s="5">
        <v>0</v>
      </c>
      <c r="P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-13.415537434142101</v>
      </c>
      <c r="Y28" s="5">
        <v>0</v>
      </c>
      <c r="Z28" s="5">
        <v>-13.415537434142101</v>
      </c>
      <c r="AA28" s="5">
        <v>-13.415537434142101</v>
      </c>
      <c r="AB28" s="5">
        <v>0</v>
      </c>
      <c r="AC28" s="5">
        <v>-13.415537434142101</v>
      </c>
      <c r="AD28" s="43"/>
      <c r="AE28" s="59">
        <v>40848</v>
      </c>
      <c r="AF28" s="59">
        <v>40877</v>
      </c>
      <c r="AG28" s="59">
        <v>40816</v>
      </c>
      <c r="AH28" s="43" t="s">
        <v>68</v>
      </c>
      <c r="AI28" s="7"/>
      <c r="AJ28" s="9">
        <v>80</v>
      </c>
      <c r="AK28" s="7">
        <v>92</v>
      </c>
      <c r="AL28" s="9">
        <v>3.66</v>
      </c>
      <c r="AM28" s="7"/>
      <c r="AN28" s="7">
        <v>5</v>
      </c>
      <c r="AO28" s="7"/>
      <c r="AP28" s="9" t="s">
        <v>166</v>
      </c>
      <c r="AQ28" s="26">
        <f t="shared" si="34"/>
        <v>92</v>
      </c>
      <c r="AR28" s="26"/>
      <c r="AS28" s="29"/>
      <c r="AT28" s="26"/>
      <c r="AU28" s="27"/>
      <c r="AV28" s="27"/>
      <c r="AW28" s="1">
        <f t="shared" si="3"/>
        <v>2.6831074868284217</v>
      </c>
      <c r="AX28" s="30">
        <v>0</v>
      </c>
      <c r="AY28" s="30">
        <v>0</v>
      </c>
      <c r="AZ28" s="30">
        <v>0</v>
      </c>
      <c r="BA28" s="30">
        <v>0</v>
      </c>
      <c r="BB28" s="30">
        <v>0</v>
      </c>
      <c r="BC28" s="46">
        <f t="shared" si="4"/>
        <v>-13.415537434142108</v>
      </c>
      <c r="BD28" s="1">
        <v>0</v>
      </c>
      <c r="BE28" s="1">
        <v>0</v>
      </c>
      <c r="BF28" s="1">
        <v>0</v>
      </c>
      <c r="BG28" s="46">
        <f t="shared" si="35"/>
        <v>-13.415537434142108</v>
      </c>
      <c r="BH28" s="1">
        <f t="shared" si="7"/>
        <v>0</v>
      </c>
      <c r="BI28" s="46">
        <f t="shared" si="8"/>
        <v>-13.415537434142108</v>
      </c>
      <c r="BJ28" s="46">
        <f t="shared" si="36"/>
        <v>-13.415537434142108</v>
      </c>
      <c r="BK28" s="1">
        <f t="shared" si="10"/>
        <v>0</v>
      </c>
      <c r="BL28" s="46">
        <f t="shared" si="11"/>
        <v>-13.415537434142108</v>
      </c>
      <c r="BM28" s="24">
        <v>0</v>
      </c>
      <c r="BN28" s="45">
        <f t="shared" si="13"/>
        <v>0</v>
      </c>
      <c r="BO28" s="45">
        <f t="shared" si="14"/>
        <v>0</v>
      </c>
      <c r="BP28" s="45">
        <f t="shared" si="15"/>
        <v>0</v>
      </c>
      <c r="BQ28" s="45">
        <f t="shared" si="16"/>
        <v>0</v>
      </c>
      <c r="BR28" s="41">
        <f t="shared" si="17"/>
        <v>0</v>
      </c>
      <c r="BS28" s="11">
        <f t="shared" si="18"/>
        <v>0</v>
      </c>
      <c r="BT28" s="3">
        <f t="shared" si="19"/>
        <v>0</v>
      </c>
      <c r="BU28" s="3">
        <f t="shared" si="20"/>
        <v>0</v>
      </c>
      <c r="BV28" s="3">
        <f t="shared" si="21"/>
        <v>0</v>
      </c>
      <c r="BW28" s="3">
        <f t="shared" si="22"/>
        <v>0</v>
      </c>
      <c r="BX28" s="3">
        <f t="shared" si="23"/>
        <v>0</v>
      </c>
      <c r="BY28" s="3">
        <f t="shared" si="24"/>
        <v>0</v>
      </c>
      <c r="BZ28" s="3">
        <f t="shared" si="25"/>
        <v>0</v>
      </c>
      <c r="CA28" s="3">
        <f t="shared" si="26"/>
        <v>0</v>
      </c>
      <c r="CB28" s="3">
        <f t="shared" si="27"/>
        <v>0</v>
      </c>
      <c r="CC28" s="3">
        <f t="shared" si="28"/>
        <v>0</v>
      </c>
      <c r="CD28" s="3">
        <f t="shared" si="29"/>
        <v>0</v>
      </c>
      <c r="CE28" s="3">
        <f t="shared" si="30"/>
        <v>0</v>
      </c>
      <c r="CF28" s="3">
        <f t="shared" si="31"/>
        <v>0</v>
      </c>
      <c r="CG28" s="3">
        <f t="shared" si="32"/>
        <v>0</v>
      </c>
      <c r="CH28" s="3">
        <f t="shared" si="33"/>
        <v>0</v>
      </c>
    </row>
    <row r="29" spans="2:87" x14ac:dyDescent="0.25">
      <c r="B29" s="5" t="s">
        <v>97</v>
      </c>
      <c r="C29" s="5" t="s">
        <v>98</v>
      </c>
      <c r="D29" s="5" t="s">
        <v>161</v>
      </c>
      <c r="E29" s="51">
        <v>40848</v>
      </c>
      <c r="F29" s="51">
        <v>40877</v>
      </c>
      <c r="G29" s="51">
        <v>40816</v>
      </c>
      <c r="H29" s="5">
        <v>80</v>
      </c>
      <c r="I29" s="5" t="s">
        <v>114</v>
      </c>
      <c r="J29" s="5">
        <v>5</v>
      </c>
      <c r="K29" s="5">
        <v>720</v>
      </c>
      <c r="L29" s="5">
        <v>2.6831074868284199</v>
      </c>
      <c r="M29" s="5">
        <v>-13.415537434142101</v>
      </c>
      <c r="N29" s="5">
        <v>0</v>
      </c>
      <c r="O29" s="5">
        <v>0</v>
      </c>
      <c r="P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-13.415537434142101</v>
      </c>
      <c r="Y29" s="5">
        <v>0</v>
      </c>
      <c r="Z29" s="5">
        <v>-13.415537434142101</v>
      </c>
      <c r="AA29" s="5">
        <v>-13.415537434142101</v>
      </c>
      <c r="AB29" s="5">
        <v>0</v>
      </c>
      <c r="AC29" s="5">
        <v>-13.415537434142101</v>
      </c>
      <c r="AD29" s="43"/>
      <c r="AE29" s="59">
        <v>40848</v>
      </c>
      <c r="AF29" s="59">
        <v>40877</v>
      </c>
      <c r="AG29" s="59">
        <v>40816</v>
      </c>
      <c r="AH29" s="43" t="s">
        <v>120</v>
      </c>
      <c r="AI29" s="7"/>
      <c r="AJ29" s="9">
        <v>80</v>
      </c>
      <c r="AK29" s="7">
        <v>3</v>
      </c>
      <c r="AL29" s="9">
        <v>3.66</v>
      </c>
      <c r="AM29" s="7"/>
      <c r="AN29" s="7">
        <v>5</v>
      </c>
      <c r="AO29" s="7"/>
      <c r="AP29" s="9" t="s">
        <v>167</v>
      </c>
      <c r="AQ29" s="26">
        <f t="shared" si="34"/>
        <v>3</v>
      </c>
      <c r="AR29" s="26"/>
      <c r="AS29" s="29"/>
      <c r="AT29" s="26"/>
      <c r="AU29" s="27"/>
      <c r="AV29" s="27"/>
      <c r="AW29" s="1">
        <f t="shared" si="3"/>
        <v>2.6831074868284217</v>
      </c>
      <c r="AX29" s="30">
        <v>0</v>
      </c>
      <c r="AY29" s="30">
        <v>0</v>
      </c>
      <c r="AZ29" s="30">
        <v>0</v>
      </c>
      <c r="BA29" s="30">
        <v>0</v>
      </c>
      <c r="BB29" s="30">
        <v>0</v>
      </c>
      <c r="BC29" s="46">
        <f t="shared" si="4"/>
        <v>-13.415537434142108</v>
      </c>
      <c r="BD29" s="1">
        <v>0</v>
      </c>
      <c r="BE29" s="1">
        <v>0</v>
      </c>
      <c r="BF29" s="1">
        <v>0</v>
      </c>
      <c r="BG29" s="46">
        <f t="shared" si="35"/>
        <v>-13.415537434142108</v>
      </c>
      <c r="BH29" s="1">
        <f t="shared" si="7"/>
        <v>0</v>
      </c>
      <c r="BI29" s="46">
        <f t="shared" si="8"/>
        <v>-13.415537434142108</v>
      </c>
      <c r="BJ29" s="46">
        <f t="shared" si="36"/>
        <v>-13.415537434142108</v>
      </c>
      <c r="BK29" s="1">
        <f t="shared" si="10"/>
        <v>0</v>
      </c>
      <c r="BL29" s="46">
        <f t="shared" si="11"/>
        <v>-13.415537434142108</v>
      </c>
      <c r="BM29" s="24">
        <v>0</v>
      </c>
      <c r="BN29" s="45">
        <f t="shared" si="13"/>
        <v>0</v>
      </c>
      <c r="BO29" s="45">
        <f t="shared" si="14"/>
        <v>0</v>
      </c>
      <c r="BP29" s="45">
        <f t="shared" si="15"/>
        <v>0</v>
      </c>
      <c r="BQ29" s="45">
        <f t="shared" si="16"/>
        <v>0</v>
      </c>
      <c r="BR29" s="41">
        <f t="shared" si="17"/>
        <v>0</v>
      </c>
      <c r="BS29" s="11">
        <f t="shared" si="18"/>
        <v>0</v>
      </c>
      <c r="BT29" s="3">
        <f t="shared" si="19"/>
        <v>0</v>
      </c>
      <c r="BU29" s="3">
        <f t="shared" si="20"/>
        <v>0</v>
      </c>
      <c r="BV29" s="3">
        <f t="shared" si="21"/>
        <v>0</v>
      </c>
      <c r="BW29" s="3">
        <f t="shared" si="22"/>
        <v>0</v>
      </c>
      <c r="BX29" s="3">
        <f t="shared" si="23"/>
        <v>0</v>
      </c>
      <c r="BY29" s="3">
        <f t="shared" si="24"/>
        <v>0</v>
      </c>
      <c r="BZ29" s="3">
        <f t="shared" si="25"/>
        <v>0</v>
      </c>
      <c r="CA29" s="3">
        <f t="shared" si="26"/>
        <v>0</v>
      </c>
      <c r="CB29" s="3">
        <f t="shared" si="27"/>
        <v>0</v>
      </c>
      <c r="CC29" s="3">
        <f t="shared" si="28"/>
        <v>0</v>
      </c>
      <c r="CD29" s="3">
        <f t="shared" si="29"/>
        <v>0</v>
      </c>
      <c r="CE29" s="3">
        <f t="shared" si="30"/>
        <v>0</v>
      </c>
      <c r="CF29" s="3">
        <f t="shared" si="31"/>
        <v>0</v>
      </c>
      <c r="CG29" s="3">
        <f t="shared" si="32"/>
        <v>0</v>
      </c>
      <c r="CH29" s="3">
        <f t="shared" si="33"/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Regneark</vt:lpstr>
      </vt:variant>
      <vt:variant>
        <vt:i4>7</vt:i4>
      </vt:variant>
    </vt:vector>
  </HeadingPairs>
  <TitlesOfParts>
    <vt:vector size="7" baseType="lpstr">
      <vt:lpstr>Historic settlement prices</vt:lpstr>
      <vt:lpstr>Asian-PosMon-USD-MtM</vt:lpstr>
      <vt:lpstr>Asian-PosMon-EUR-Volsurf</vt:lpstr>
      <vt:lpstr>Asian-PosMon-EUR-SpotFX</vt:lpstr>
      <vt:lpstr>American-PosMon-USD-MtM</vt:lpstr>
      <vt:lpstr>American-PosMon-EUR-Volsurf</vt:lpstr>
      <vt:lpstr>Ameri-PosMon-EUR-SpotFX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QA Install</dc:creator>
  <cp:lastModifiedBy>Oyvind Kvamme</cp:lastModifiedBy>
  <dcterms:created xsi:type="dcterms:W3CDTF">2013-08-22T06:34:41Z</dcterms:created>
  <dcterms:modified xsi:type="dcterms:W3CDTF">2016-09-08T12:15:44Z</dcterms:modified>
</cp:coreProperties>
</file>