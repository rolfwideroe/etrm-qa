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00000000-0000-0000-0000-00000000000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daniel.watanabe\Documents\TFS\Elviz\Development\QA\Regression\Bin\TestWCFReportEngine\TestFiles\PLExplanation\ExcelVerification\"/>
    </mc:Choice>
  </mc:AlternateContent>
  <bookViews>
    <workbookView xWindow="240" yWindow="105" windowWidth="19320" windowHeight="10920"/>
  </bookViews>
  <sheets>
    <sheet name="Asian" sheetId="18" r:id="rId1"/>
  </sheets>
  <functionGroups builtInGroupCount="18"/>
  <calcPr calcId="152511"/>
</workbook>
</file>

<file path=xl/calcChain.xml><?xml version="1.0" encoding="utf-8"?>
<calcChain xmlns="http://schemas.openxmlformats.org/spreadsheetml/2006/main">
  <c r="L24" i="18" l="1"/>
  <c r="K24" i="18"/>
  <c r="J24" i="18"/>
  <c r="I24" i="18"/>
  <c r="J21" i="18"/>
  <c r="L21" i="18"/>
  <c r="K21" i="18"/>
  <c r="I21" i="18"/>
  <c r="I18" i="18"/>
  <c r="L18" i="18"/>
  <c r="K18" i="18"/>
  <c r="J18" i="18"/>
  <c r="L15" i="18"/>
  <c r="K15" i="18"/>
  <c r="J15" i="18"/>
  <c r="I15" i="18"/>
  <c r="I12" i="18"/>
  <c r="J12" i="18"/>
  <c r="L12" i="18"/>
  <c r="K12" i="18"/>
  <c r="E3" i="18"/>
  <c r="O24" i="18" s="1"/>
  <c r="M24" i="18"/>
  <c r="M21" i="18"/>
  <c r="M18" i="18"/>
  <c r="M15" i="18"/>
  <c r="M12" i="18"/>
  <c r="O15" i="18" l="1"/>
  <c r="O21" i="18"/>
  <c r="O18" i="18"/>
  <c r="N24" i="18"/>
  <c r="P24" i="18" s="1"/>
  <c r="N21" i="18"/>
  <c r="P21" i="18" s="1"/>
  <c r="N18" i="18"/>
  <c r="P18" i="18" s="1"/>
  <c r="N15" i="18"/>
  <c r="P15" i="18" s="1"/>
  <c r="O12" i="18"/>
  <c r="N12" i="18" l="1"/>
  <c r="P12" i="18" s="1"/>
</calcChain>
</file>

<file path=xl/sharedStrings.xml><?xml version="1.0" encoding="utf-8"?>
<sst xmlns="http://schemas.openxmlformats.org/spreadsheetml/2006/main" count="38" uniqueCount="28">
  <si>
    <t>Description</t>
  </si>
  <si>
    <t>From</t>
  </si>
  <si>
    <t>To</t>
  </si>
  <si>
    <t>Strike</t>
  </si>
  <si>
    <t>U. price</t>
  </si>
  <si>
    <t>Volat.</t>
  </si>
  <si>
    <t>CP</t>
  </si>
  <si>
    <t>P</t>
  </si>
  <si>
    <t>Price Correct</t>
  </si>
  <si>
    <t>Vol</t>
  </si>
  <si>
    <t>Interest rate</t>
  </si>
  <si>
    <t>r Expiry</t>
  </si>
  <si>
    <t>Q</t>
  </si>
  <si>
    <t>Underlying Price</t>
  </si>
  <si>
    <t>Effective RD</t>
  </si>
  <si>
    <t>Unr Correct</t>
  </si>
  <si>
    <t>Real Correct</t>
  </si>
  <si>
    <t>NET Correct</t>
  </si>
  <si>
    <t>Time goes by</t>
  </si>
  <si>
    <t>Curve Prices changes</t>
  </si>
  <si>
    <t>Vol Change</t>
  </si>
  <si>
    <t xml:space="preserve">Ext Id = </t>
  </si>
  <si>
    <t>Original</t>
  </si>
  <si>
    <t>EURP YR-13 20-DEC-12 45.00 - Base</t>
  </si>
  <si>
    <t>r period</t>
  </si>
  <si>
    <t>Expiry</t>
  </si>
  <si>
    <t>r Period</t>
  </si>
  <si>
    <t>PL-Explanation-El-EU-Forward-0031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</si>
</sst>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43" formatCode="_-* #,##0.00_-;\-* #,##0.00_-;_-* &quot;-&quot;??_-;_-@_-"/>
    <numFmt numFmtId="164" formatCode="0.0000000000000"/>
    <numFmt numFmtId="165" formatCode="0.0000"/>
    <numFmt numFmtId="166" formatCode="0.0000%"/>
    <numFmt numFmtId="167" formatCode="_-* #,##0_-;\-* #,##0_-;_-* &quot;-&quot;??_-;_-@_-"/>
    <numFmt numFmtId="173" formatCode="dd/mm/yyyy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5">
    <xf numFmtId="0" fontId="0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</cellStyleXfs>
  <cellXfs count="32">
    <xf numFmtId="0" fontId="0" fillId="0" borderId="0" xfId="0"/>
    <xf numFmtId="14" fontId="0" fillId="0" borderId="0" xfId="0" applyNumberFormat="1" applyFill="1"/>
    <xf numFmtId="0" fontId="0" fillId="0" borderId="0" xfId="0" applyFill="1"/>
    <xf numFmtId="0" fontId="0" fillId="0" borderId="0" xfId="0" applyNumberFormat="1" applyFill="1"/>
    <xf numFmtId="9" fontId="0" fillId="0" borderId="0" xfId="1" applyFont="1" applyFill="1"/>
    <xf numFmtId="0" fontId="3" fillId="0" borderId="0" xfId="0" applyFont="1" applyFill="1" applyAlignment="1">
      <alignment vertical="center"/>
    </xf>
    <xf numFmtId="164" fontId="0" fillId="0" borderId="0" xfId="0" applyNumberFormat="1" applyFill="1"/>
    <xf numFmtId="165" fontId="0" fillId="0" borderId="0" xfId="0" applyNumberFormat="1" applyFill="1"/>
    <xf numFmtId="49" fontId="1" fillId="0" borderId="0" xfId="0" applyNumberFormat="1" applyFont="1" applyFill="1"/>
    <xf numFmtId="43" fontId="0" fillId="0" borderId="0" xfId="2" applyFont="1" applyFill="1"/>
    <xf numFmtId="49" fontId="0" fillId="0" borderId="0" xfId="0" applyNumberFormat="1" applyFill="1"/>
    <xf numFmtId="166" fontId="0" fillId="0" borderId="0" xfId="1" applyNumberFormat="1" applyFont="1" applyFill="1"/>
    <xf numFmtId="9" fontId="0" fillId="0" borderId="0" xfId="0" applyNumberFormat="1" applyFill="1"/>
    <xf numFmtId="167" fontId="0" fillId="0" borderId="0" xfId="2" applyNumberFormat="1" applyFont="1" applyFill="1"/>
    <xf numFmtId="0" fontId="1" fillId="0" borderId="0" xfId="0" applyFont="1" applyFill="1"/>
    <xf numFmtId="49" fontId="0" fillId="0" borderId="0" xfId="0" applyNumberFormat="1"/>
    <xf numFmtId="173" fontId="0" fillId="0" borderId="0" xfId="0" applyNumberFormat="1"/>
    <xf numFmtId="173" fontId="0" fillId="0" borderId="0" xfId="0" applyNumberFormat="1"/>
    <xf numFmtId="4" fontId="0" fillId="2" borderId="0" xfId="0" applyNumberFormat="1" applyFill="1"/>
    <xf numFmtId="0" fontId="0" fillId="0" borderId="0" xfId="0"/>
    <xf numFmtId="0" fontId="0" fillId="0" borderId="0" xfId="0"/>
    <xf numFmtId="49" fontId="0" fillId="0" borderId="0" xfId="0" applyNumberFormat="1"/>
    <xf numFmtId="173" fontId="0" fillId="0" borderId="0" xfId="0" applyNumberFormat="1"/>
    <xf numFmtId="0" fontId="0" fillId="0" borderId="0" xfId="0"/>
    <xf numFmtId="49" fontId="0" fillId="0" borderId="0" xfId="0" applyNumberFormat="1"/>
    <xf numFmtId="173" fontId="0" fillId="0" borderId="0" xfId="0" applyNumberFormat="1"/>
    <xf numFmtId="166" fontId="0" fillId="0" borderId="0" xfId="1" applyNumberFormat="1" applyFont="1"/>
    <xf numFmtId="166" fontId="0" fillId="3" borderId="0" xfId="0" applyNumberFormat="1" applyFill="1"/>
    <xf numFmtId="0" fontId="0" fillId="3" borderId="0" xfId="0" applyFill="1"/>
    <xf numFmtId="14" fontId="0" fillId="3" borderId="0" xfId="0" applyNumberFormat="1" applyFill="1"/>
    <xf numFmtId="166" fontId="0" fillId="3" borderId="0" xfId="1" applyNumberFormat="1" applyFont="1" applyFill="1"/>
    <xf numFmtId="0" fontId="0" fillId="0" borderId="0" xfId="0"/>
  </cellXfs>
  <cellStyles count="5">
    <cellStyle name="Comma" xfId="2" builtinId="3"/>
    <cellStyle name="Comma 2" xfId="3"/>
    <cellStyle name="Comma 3" xfId="4"/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B1:Q64"/>
  <sheetViews>
    <sheetView tabSelected="1" workbookViewId="0">
      <selection activeCell="M40" sqref="M40"/>
    </sheetView>
  </sheetViews>
  <sheetFormatPr defaultRowHeight="15" x14ac:dyDescent="0.25"/>
  <cols>
    <col min="1" max="1" width="9.140625" style="2"/>
    <col min="2" max="2" width="21.5703125" style="2" bestFit="1" customWidth="1"/>
    <col min="3" max="3" width="9.140625" style="2"/>
    <col min="4" max="4" width="25.28515625" style="2" bestFit="1" customWidth="1"/>
    <col min="5" max="5" width="10.7109375" style="2" bestFit="1" customWidth="1"/>
    <col min="6" max="6" width="20.5703125" style="2" bestFit="1" customWidth="1"/>
    <col min="7" max="8" width="13.28515625" style="2" bestFit="1" customWidth="1"/>
    <col min="9" max="9" width="18.28515625" style="2" customWidth="1"/>
    <col min="10" max="10" width="13.28515625" style="2" bestFit="1" customWidth="1"/>
    <col min="11" max="11" width="13.28515625" style="2" customWidth="1"/>
    <col min="12" max="12" width="20.85546875" style="2" bestFit="1" customWidth="1"/>
    <col min="13" max="13" width="15.7109375" style="2" bestFit="1" customWidth="1"/>
    <col min="14" max="14" width="10.7109375" style="2" customWidth="1"/>
    <col min="15" max="15" width="11.7109375" style="2" bestFit="1" customWidth="1"/>
    <col min="16" max="16" width="19.28515625" style="2" bestFit="1" customWidth="1"/>
    <col min="17" max="17" width="19.28515625" style="2" customWidth="1"/>
    <col min="18" max="18" width="9.140625" style="2"/>
    <col min="19" max="19" width="12.7109375" style="2" bestFit="1" customWidth="1"/>
    <col min="20" max="20" width="16.28515625" style="2" customWidth="1"/>
    <col min="21" max="16384" width="9.140625" style="2"/>
  </cols>
  <sheetData>
    <row r="1" spans="2:17" x14ac:dyDescent="0.25">
      <c r="B1" s="2" t="s">
        <v>21</v>
      </c>
      <c r="C1" s="5" t="s">
        <v>27</v>
      </c>
    </row>
    <row r="3" spans="2:17" x14ac:dyDescent="0.25">
      <c r="D3" s="2" t="s">
        <v>12</v>
      </c>
      <c r="E3" s="2">
        <f>8760*5</f>
        <v>43800</v>
      </c>
    </row>
    <row r="4" spans="2:17" x14ac:dyDescent="0.25">
      <c r="D4" s="2" t="s">
        <v>7</v>
      </c>
      <c r="E4" s="2">
        <v>3.57</v>
      </c>
    </row>
    <row r="5" spans="2:17" x14ac:dyDescent="0.25">
      <c r="E5" s="1">
        <v>40854</v>
      </c>
      <c r="F5" s="1">
        <v>40861</v>
      </c>
    </row>
    <row r="6" spans="2:17" x14ac:dyDescent="0.25">
      <c r="D6" s="2" t="s">
        <v>9</v>
      </c>
      <c r="E6" s="26">
        <v>0.22742657426049001</v>
      </c>
      <c r="F6" s="26">
        <v>0.22826900775447501</v>
      </c>
      <c r="L6" s="6"/>
    </row>
    <row r="7" spans="2:17" x14ac:dyDescent="0.25">
      <c r="D7" s="2" t="s">
        <v>11</v>
      </c>
      <c r="E7" s="26">
        <v>1.9952793669037742E-2</v>
      </c>
      <c r="F7" s="26">
        <v>1.98691978372454E-2</v>
      </c>
      <c r="L7" s="6"/>
    </row>
    <row r="8" spans="2:17" x14ac:dyDescent="0.25">
      <c r="D8" s="2" t="s">
        <v>26</v>
      </c>
      <c r="E8" s="26">
        <v>1.6285386552057864E-2</v>
      </c>
      <c r="F8" s="26">
        <v>1.6158644587035885E-2</v>
      </c>
      <c r="L8" s="6"/>
    </row>
    <row r="9" spans="2:17" x14ac:dyDescent="0.25">
      <c r="D9" s="2" t="s">
        <v>13</v>
      </c>
      <c r="E9" s="19">
        <v>45.556672374428999</v>
      </c>
      <c r="F9" s="23">
        <v>44.8483173515978</v>
      </c>
    </row>
    <row r="10" spans="2:17" x14ac:dyDescent="0.25">
      <c r="B10" s="2" t="s">
        <v>22</v>
      </c>
    </row>
    <row r="11" spans="2:17" x14ac:dyDescent="0.25">
      <c r="B11" s="14" t="s">
        <v>14</v>
      </c>
      <c r="C11" s="8" t="s">
        <v>6</v>
      </c>
      <c r="D11" s="8" t="s">
        <v>0</v>
      </c>
      <c r="E11" s="8" t="s">
        <v>1</v>
      </c>
      <c r="F11" s="8" t="s">
        <v>2</v>
      </c>
      <c r="G11" s="8" t="s">
        <v>25</v>
      </c>
      <c r="H11" s="8" t="s">
        <v>3</v>
      </c>
      <c r="I11" s="8" t="s">
        <v>4</v>
      </c>
      <c r="J11" s="8" t="s">
        <v>5</v>
      </c>
      <c r="K11" s="14" t="s">
        <v>11</v>
      </c>
      <c r="L11" s="8" t="s">
        <v>24</v>
      </c>
      <c r="M11" s="8" t="s">
        <v>8</v>
      </c>
      <c r="N11" s="8" t="s">
        <v>15</v>
      </c>
      <c r="O11" s="8" t="s">
        <v>16</v>
      </c>
      <c r="P11" s="8" t="s">
        <v>17</v>
      </c>
      <c r="Q11" s="9"/>
    </row>
    <row r="12" spans="2:17" x14ac:dyDescent="0.25">
      <c r="B12" s="1">
        <v>40855</v>
      </c>
      <c r="C12" s="3" t="s">
        <v>7</v>
      </c>
      <c r="D12" s="15" t="s">
        <v>23</v>
      </c>
      <c r="E12" s="16">
        <v>41275</v>
      </c>
      <c r="F12" s="16">
        <v>41639</v>
      </c>
      <c r="G12" s="17">
        <v>41263</v>
      </c>
      <c r="H12" s="2">
        <v>45</v>
      </c>
      <c r="I12" s="2">
        <f>$E$9</f>
        <v>45.556672374428999</v>
      </c>
      <c r="J12" s="2">
        <f>$E$6</f>
        <v>0.22742657426049001</v>
      </c>
      <c r="K12" s="11">
        <f>$E$7</f>
        <v>1.9952793669037742E-2</v>
      </c>
      <c r="L12" s="11">
        <f>$E$8</f>
        <v>1.6285386552057864E-2</v>
      </c>
      <c r="M12" s="7">
        <f>B76Forward(B12,C12,I12,H12,G12,J12,K12,L12,E12,F12)</f>
        <v>3.9414686792421065</v>
      </c>
      <c r="N12" s="18">
        <f>M12*$E$3</f>
        <v>172636.32815080427</v>
      </c>
      <c r="O12" s="18">
        <f>-$E$4*$E$3</f>
        <v>-156366</v>
      </c>
      <c r="P12" s="18">
        <f>N12+O12</f>
        <v>16270.328150804271</v>
      </c>
    </row>
    <row r="13" spans="2:17" x14ac:dyDescent="0.25">
      <c r="B13" s="10"/>
      <c r="C13" s="3"/>
      <c r="D13" s="10"/>
      <c r="E13" s="1"/>
      <c r="F13" s="1"/>
      <c r="L13" s="6"/>
      <c r="M13" s="3"/>
      <c r="N13" s="20"/>
      <c r="O13" s="31"/>
      <c r="P13" s="31"/>
    </row>
    <row r="14" spans="2:17" x14ac:dyDescent="0.25">
      <c r="B14" s="10" t="s">
        <v>18</v>
      </c>
      <c r="C14" s="3"/>
      <c r="D14" s="10"/>
      <c r="E14" s="1"/>
      <c r="F14" s="1"/>
      <c r="L14" s="6"/>
    </row>
    <row r="15" spans="2:17" x14ac:dyDescent="0.25">
      <c r="B15" s="29">
        <v>40862</v>
      </c>
      <c r="C15" s="3" t="s">
        <v>7</v>
      </c>
      <c r="D15" s="21" t="s">
        <v>23</v>
      </c>
      <c r="E15" s="22">
        <v>41275</v>
      </c>
      <c r="F15" s="22">
        <v>41639</v>
      </c>
      <c r="G15" s="22">
        <v>41263</v>
      </c>
      <c r="H15" s="2">
        <v>45</v>
      </c>
      <c r="I15" s="2">
        <f>$E$9</f>
        <v>45.556672374428999</v>
      </c>
      <c r="J15" s="2">
        <f>$E$6</f>
        <v>0.22742657426049001</v>
      </c>
      <c r="K15" s="11">
        <f>$E$7</f>
        <v>1.9952793669037742E-2</v>
      </c>
      <c r="L15" s="11">
        <f>$E$8</f>
        <v>1.6285386552057864E-2</v>
      </c>
      <c r="M15" s="7">
        <f>B76Forward(B15,C15,I15,H15,G15,J15,K15,L15,E15,F15)</f>
        <v>3.9070366510409271</v>
      </c>
      <c r="N15" s="18">
        <f>M15*$E$3</f>
        <v>171128.20531559261</v>
      </c>
      <c r="O15" s="18">
        <f>-$E$4*$E$3</f>
        <v>-156366</v>
      </c>
      <c r="P15" s="18">
        <f>N15+O15</f>
        <v>14762.205315592611</v>
      </c>
    </row>
    <row r="16" spans="2:17" x14ac:dyDescent="0.25">
      <c r="B16" s="10"/>
      <c r="C16" s="3"/>
      <c r="D16" s="10"/>
      <c r="E16" s="1"/>
      <c r="F16" s="1"/>
      <c r="L16" s="6"/>
      <c r="M16" s="3"/>
    </row>
    <row r="17" spans="2:16" x14ac:dyDescent="0.25">
      <c r="B17" s="10" t="s">
        <v>19</v>
      </c>
      <c r="C17" s="3"/>
      <c r="D17" s="10"/>
      <c r="E17" s="1"/>
      <c r="F17" s="1"/>
      <c r="L17" s="6"/>
    </row>
    <row r="18" spans="2:16" x14ac:dyDescent="0.25">
      <c r="B18" s="29">
        <v>40862</v>
      </c>
      <c r="C18" s="3" t="s">
        <v>7</v>
      </c>
      <c r="D18" s="21" t="s">
        <v>23</v>
      </c>
      <c r="E18" s="22">
        <v>41275</v>
      </c>
      <c r="F18" s="22">
        <v>41639</v>
      </c>
      <c r="G18" s="22">
        <v>41263</v>
      </c>
      <c r="H18" s="2">
        <v>45</v>
      </c>
      <c r="I18" s="28">
        <f>$F$9</f>
        <v>44.8483173515978</v>
      </c>
      <c r="J18" s="2">
        <f>$E$6</f>
        <v>0.22742657426049001</v>
      </c>
      <c r="K18" s="11">
        <f>$E$7</f>
        <v>1.9952793669037742E-2</v>
      </c>
      <c r="L18" s="11">
        <f>$E$8</f>
        <v>1.6285386552057864E-2</v>
      </c>
      <c r="M18" s="7">
        <f>B76Forward(B18,C18,I18,H18,G18,J18,K18,L18,E18,F18)</f>
        <v>4.2128162098160944</v>
      </c>
      <c r="N18" s="18">
        <f>M18*$E$3</f>
        <v>184521.34998994492</v>
      </c>
      <c r="O18" s="18">
        <f>-$E$4*$E$3</f>
        <v>-156366</v>
      </c>
      <c r="P18" s="18">
        <f>N18+O18</f>
        <v>28155.349989944923</v>
      </c>
    </row>
    <row r="19" spans="2:16" x14ac:dyDescent="0.25">
      <c r="B19" s="10"/>
      <c r="C19" s="3"/>
      <c r="D19" s="10"/>
      <c r="E19" s="1"/>
      <c r="F19" s="1"/>
      <c r="L19" s="6"/>
      <c r="M19" s="3"/>
    </row>
    <row r="20" spans="2:16" x14ac:dyDescent="0.25">
      <c r="B20" s="10" t="s">
        <v>20</v>
      </c>
      <c r="C20" s="3"/>
      <c r="D20" s="10"/>
      <c r="E20" s="1"/>
      <c r="F20" s="1"/>
      <c r="L20" s="6"/>
    </row>
    <row r="21" spans="2:16" x14ac:dyDescent="0.25">
      <c r="B21" s="29">
        <v>40862</v>
      </c>
      <c r="C21" s="3" t="s">
        <v>7</v>
      </c>
      <c r="D21" s="24" t="s">
        <v>23</v>
      </c>
      <c r="E21" s="25">
        <v>41275</v>
      </c>
      <c r="F21" s="25">
        <v>41639</v>
      </c>
      <c r="G21" s="25">
        <v>41263</v>
      </c>
      <c r="H21" s="2">
        <v>45</v>
      </c>
      <c r="I21" s="28">
        <f>$F$9</f>
        <v>44.8483173515978</v>
      </c>
      <c r="J21" s="27">
        <f>$F$6</f>
        <v>0.22826900775447501</v>
      </c>
      <c r="K21" s="11">
        <f>$E$7</f>
        <v>1.9952793669037742E-2</v>
      </c>
      <c r="L21" s="11">
        <f>$E$8</f>
        <v>1.6285386552057864E-2</v>
      </c>
      <c r="M21" s="7">
        <f>B76Forward(B21,C21,I21,H21,G21,J21,K21,L21,E21,F21)</f>
        <v>4.2280727437418868</v>
      </c>
      <c r="N21" s="18">
        <f>M21*$E$3</f>
        <v>185189.58617589466</v>
      </c>
      <c r="O21" s="18">
        <f>-$E$4*$E$3</f>
        <v>-156366</v>
      </c>
      <c r="P21" s="18">
        <f>N21+O21</f>
        <v>28823.586175894656</v>
      </c>
    </row>
    <row r="22" spans="2:16" x14ac:dyDescent="0.25">
      <c r="B22" s="10"/>
      <c r="C22" s="3"/>
      <c r="D22" s="10"/>
      <c r="E22" s="1"/>
      <c r="F22" s="1"/>
      <c r="L22" s="6"/>
      <c r="M22" s="3"/>
    </row>
    <row r="23" spans="2:16" x14ac:dyDescent="0.25">
      <c r="B23" s="10" t="s">
        <v>10</v>
      </c>
      <c r="C23" s="3"/>
      <c r="D23" s="10"/>
      <c r="E23" s="1"/>
      <c r="F23" s="1"/>
      <c r="L23" s="6"/>
    </row>
    <row r="24" spans="2:16" x14ac:dyDescent="0.25">
      <c r="B24" s="29">
        <v>40862</v>
      </c>
      <c r="C24" s="3" t="s">
        <v>7</v>
      </c>
      <c r="D24" s="24" t="s">
        <v>23</v>
      </c>
      <c r="E24" s="25">
        <v>41275</v>
      </c>
      <c r="F24" s="25">
        <v>41639</v>
      </c>
      <c r="G24" s="25">
        <v>41263</v>
      </c>
      <c r="H24" s="2">
        <v>45</v>
      </c>
      <c r="I24" s="28">
        <f>$F$9</f>
        <v>44.8483173515978</v>
      </c>
      <c r="J24" s="27">
        <f>$F$6</f>
        <v>0.22826900775447501</v>
      </c>
      <c r="K24" s="30">
        <f>F7</f>
        <v>1.98691978372454E-2</v>
      </c>
      <c r="L24" s="30">
        <f>F8</f>
        <v>1.6158644587035885E-2</v>
      </c>
      <c r="M24" s="7">
        <f>B76Forward(B24,C24,I24,H24,G24,J24,K24,L24,E24,F24)</f>
        <v>4.2287454379590228</v>
      </c>
      <c r="N24" s="18">
        <f>M24*$E$3</f>
        <v>185219.05018260519</v>
      </c>
      <c r="O24" s="18">
        <f>-$E$4*$E$3</f>
        <v>-156366</v>
      </c>
      <c r="P24" s="18">
        <f>N24+O24</f>
        <v>28853.050182605191</v>
      </c>
    </row>
    <row r="25" spans="2:16" x14ac:dyDescent="0.25">
      <c r="B25" s="10"/>
      <c r="C25" s="3"/>
      <c r="D25" s="10"/>
      <c r="E25" s="1"/>
      <c r="F25" s="1"/>
      <c r="L25" s="6"/>
      <c r="M25" s="3"/>
    </row>
    <row r="26" spans="2:16" x14ac:dyDescent="0.25">
      <c r="B26" s="10"/>
      <c r="C26" s="3"/>
      <c r="D26" s="10"/>
      <c r="E26" s="1"/>
      <c r="F26" s="1"/>
      <c r="L26" s="6"/>
    </row>
    <row r="27" spans="2:16" x14ac:dyDescent="0.25">
      <c r="B27" s="10"/>
      <c r="C27" s="3"/>
      <c r="D27" s="10"/>
      <c r="E27" s="1"/>
      <c r="F27" s="1"/>
      <c r="L27" s="6"/>
    </row>
    <row r="28" spans="2:16" x14ac:dyDescent="0.25">
      <c r="B28" s="10"/>
      <c r="C28" s="3"/>
      <c r="D28" s="10"/>
      <c r="E28" s="1"/>
      <c r="F28" s="1"/>
      <c r="L28" s="6"/>
    </row>
    <row r="29" spans="2:16" x14ac:dyDescent="0.25">
      <c r="B29" s="10"/>
      <c r="C29" s="3"/>
      <c r="D29" s="10"/>
      <c r="E29" s="1"/>
      <c r="F29" s="1"/>
      <c r="L29" s="6"/>
    </row>
    <row r="30" spans="2:16" x14ac:dyDescent="0.25">
      <c r="B30" s="10"/>
      <c r="C30" s="3"/>
      <c r="D30" s="10"/>
      <c r="E30" s="1"/>
      <c r="F30" s="1"/>
      <c r="L30" s="6"/>
    </row>
    <row r="31" spans="2:16" x14ac:dyDescent="0.25">
      <c r="B31" s="10"/>
      <c r="C31" s="3"/>
      <c r="D31" s="10"/>
      <c r="E31" s="1"/>
      <c r="F31" s="1"/>
      <c r="L31" s="6"/>
    </row>
    <row r="32" spans="2:16" x14ac:dyDescent="0.25">
      <c r="B32" s="10"/>
      <c r="C32" s="3"/>
      <c r="D32" s="10"/>
      <c r="E32" s="1"/>
      <c r="F32" s="1"/>
      <c r="L32" s="6"/>
    </row>
    <row r="33" spans="2:12" x14ac:dyDescent="0.25">
      <c r="B33" s="10"/>
      <c r="C33" s="3"/>
      <c r="D33" s="10"/>
      <c r="E33" s="1"/>
      <c r="F33" s="1"/>
      <c r="L33" s="6"/>
    </row>
    <row r="34" spans="2:12" x14ac:dyDescent="0.25">
      <c r="B34" s="10"/>
      <c r="C34" s="3"/>
      <c r="D34" s="10"/>
      <c r="E34" s="1"/>
      <c r="F34" s="1"/>
      <c r="L34" s="6"/>
    </row>
    <row r="35" spans="2:12" x14ac:dyDescent="0.25">
      <c r="B35" s="10"/>
      <c r="C35" s="3"/>
      <c r="D35" s="10"/>
      <c r="E35" s="1"/>
      <c r="F35" s="1"/>
      <c r="L35" s="6"/>
    </row>
    <row r="36" spans="2:12" x14ac:dyDescent="0.25">
      <c r="B36" s="10"/>
      <c r="C36" s="3"/>
      <c r="D36" s="10"/>
      <c r="E36" s="1"/>
      <c r="F36" s="1"/>
      <c r="L36" s="6"/>
    </row>
    <row r="37" spans="2:12" x14ac:dyDescent="0.25">
      <c r="B37" s="10"/>
      <c r="C37" s="3"/>
      <c r="D37" s="10"/>
      <c r="E37" s="1"/>
      <c r="F37" s="1"/>
      <c r="L37" s="6"/>
    </row>
    <row r="38" spans="2:12" x14ac:dyDescent="0.25">
      <c r="B38" s="10"/>
      <c r="C38" s="3"/>
      <c r="D38" s="10"/>
      <c r="E38" s="1"/>
      <c r="F38" s="1"/>
      <c r="L38" s="6"/>
    </row>
    <row r="39" spans="2:12" x14ac:dyDescent="0.25">
      <c r="B39" s="10"/>
      <c r="C39" s="3"/>
      <c r="D39" s="10"/>
      <c r="E39" s="1"/>
      <c r="F39" s="1"/>
      <c r="L39" s="6"/>
    </row>
    <row r="40" spans="2:12" x14ac:dyDescent="0.25">
      <c r="B40" s="10"/>
      <c r="C40" s="3"/>
      <c r="D40" s="10"/>
      <c r="E40" s="1"/>
      <c r="F40" s="1"/>
      <c r="L40" s="6"/>
    </row>
    <row r="41" spans="2:12" x14ac:dyDescent="0.25">
      <c r="B41" s="10"/>
      <c r="C41" s="3"/>
      <c r="D41" s="10"/>
      <c r="E41" s="1"/>
      <c r="F41" s="1"/>
      <c r="L41" s="6"/>
    </row>
    <row r="42" spans="2:12" x14ac:dyDescent="0.25">
      <c r="B42" s="10"/>
      <c r="C42" s="3"/>
      <c r="D42" s="10"/>
      <c r="E42" s="1"/>
      <c r="F42" s="1"/>
      <c r="L42" s="6"/>
    </row>
    <row r="43" spans="2:12" x14ac:dyDescent="0.25">
      <c r="B43" s="10"/>
      <c r="C43" s="3"/>
      <c r="D43" s="10"/>
      <c r="E43" s="1"/>
      <c r="F43" s="1"/>
      <c r="L43" s="6"/>
    </row>
    <row r="44" spans="2:12" x14ac:dyDescent="0.25">
      <c r="B44" s="10"/>
      <c r="C44" s="3"/>
      <c r="D44" s="10"/>
      <c r="E44" s="1"/>
      <c r="F44" s="1"/>
      <c r="L44" s="6"/>
    </row>
    <row r="45" spans="2:12" x14ac:dyDescent="0.25">
      <c r="B45" s="10"/>
      <c r="C45" s="3"/>
      <c r="D45" s="10"/>
      <c r="E45" s="1"/>
      <c r="F45" s="1"/>
      <c r="L45" s="6"/>
    </row>
    <row r="46" spans="2:12" x14ac:dyDescent="0.25">
      <c r="B46" s="10"/>
      <c r="C46" s="3"/>
      <c r="D46" s="10"/>
      <c r="E46" s="1"/>
      <c r="F46" s="1"/>
      <c r="L46" s="6"/>
    </row>
    <row r="47" spans="2:12" x14ac:dyDescent="0.25">
      <c r="B47" s="10"/>
      <c r="C47" s="3"/>
      <c r="D47" s="10"/>
      <c r="E47" s="1"/>
      <c r="F47" s="1"/>
      <c r="L47" s="6"/>
    </row>
    <row r="48" spans="2:12" x14ac:dyDescent="0.25">
      <c r="B48" s="10"/>
      <c r="C48" s="3"/>
      <c r="D48" s="10"/>
      <c r="E48" s="1"/>
      <c r="F48" s="1"/>
      <c r="I48" s="4"/>
      <c r="L48" s="6"/>
    </row>
    <row r="51" spans="7:11" x14ac:dyDescent="0.25">
      <c r="J51" s="9"/>
      <c r="K51" s="9"/>
    </row>
    <row r="52" spans="7:11" x14ac:dyDescent="0.25">
      <c r="J52" s="9"/>
      <c r="K52" s="9"/>
    </row>
    <row r="53" spans="7:11" x14ac:dyDescent="0.25">
      <c r="G53" s="12"/>
      <c r="H53" s="12"/>
      <c r="I53" s="12"/>
      <c r="J53" s="9"/>
      <c r="K53" s="9"/>
    </row>
    <row r="54" spans="7:11" x14ac:dyDescent="0.25">
      <c r="G54" s="13"/>
      <c r="H54" s="13"/>
      <c r="I54" s="13"/>
      <c r="J54" s="9"/>
      <c r="K54" s="9"/>
    </row>
    <row r="55" spans="7:11" x14ac:dyDescent="0.25">
      <c r="G55" s="13"/>
      <c r="H55" s="13"/>
      <c r="I55" s="13"/>
      <c r="J55" s="9"/>
      <c r="K55" s="9"/>
    </row>
    <row r="56" spans="7:11" x14ac:dyDescent="0.25">
      <c r="G56" s="13"/>
      <c r="H56" s="13"/>
      <c r="I56" s="13"/>
      <c r="J56" s="9"/>
      <c r="K56" s="9"/>
    </row>
    <row r="57" spans="7:11" x14ac:dyDescent="0.25">
      <c r="G57" s="13"/>
      <c r="H57" s="13"/>
      <c r="I57" s="13"/>
      <c r="J57" s="9"/>
      <c r="K57" s="9"/>
    </row>
    <row r="58" spans="7:11" x14ac:dyDescent="0.25">
      <c r="G58" s="13"/>
      <c r="H58" s="13"/>
      <c r="I58" s="13"/>
      <c r="J58" s="9"/>
      <c r="K58" s="9"/>
    </row>
    <row r="59" spans="7:11" x14ac:dyDescent="0.25">
      <c r="G59" s="13"/>
      <c r="H59" s="13"/>
      <c r="I59" s="13"/>
      <c r="J59" s="9"/>
      <c r="K59" s="9"/>
    </row>
    <row r="60" spans="7:11" x14ac:dyDescent="0.25">
      <c r="G60" s="13"/>
      <c r="H60" s="13"/>
      <c r="I60" s="13"/>
      <c r="J60" s="9"/>
      <c r="K60" s="9"/>
    </row>
    <row r="61" spans="7:11" x14ac:dyDescent="0.25">
      <c r="G61" s="13"/>
      <c r="H61" s="13"/>
      <c r="I61" s="13"/>
      <c r="J61" s="9"/>
      <c r="K61" s="9"/>
    </row>
    <row r="62" spans="7:11" x14ac:dyDescent="0.25">
      <c r="G62" s="13"/>
      <c r="H62" s="13"/>
      <c r="I62" s="13"/>
    </row>
    <row r="63" spans="7:11" x14ac:dyDescent="0.25">
      <c r="G63" s="13"/>
      <c r="H63" s="13"/>
      <c r="I63" s="13"/>
    </row>
    <row r="64" spans="7:11" x14ac:dyDescent="0.25">
      <c r="G64" s="13"/>
      <c r="H64" s="13"/>
      <c r="I64" s="13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Asian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QA Install</dc:creator>
  <cp:lastModifiedBy>Daniel Watanabe</cp:lastModifiedBy>
  <dcterms:created xsi:type="dcterms:W3CDTF">2013-08-22T06:34:41Z</dcterms:created>
  <dcterms:modified xsi:type="dcterms:W3CDTF">2015-05-22T12:54:29Z</dcterms:modified>
</cp:coreProperties>
</file>