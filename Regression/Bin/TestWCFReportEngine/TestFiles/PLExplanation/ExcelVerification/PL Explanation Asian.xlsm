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fs\Development\QA\Regression\Bin\TestWCFReportEngine\TestFiles\PLExplanation\ExcelVerification\"/>
    </mc:Choice>
  </mc:AlternateContent>
  <bookViews>
    <workbookView xWindow="240" yWindow="105" windowWidth="19320" windowHeight="10920" activeTab="1"/>
  </bookViews>
  <sheets>
    <sheet name="Asian" sheetId="18" r:id="rId1"/>
    <sheet name="Asian Struct" sheetId="19" r:id="rId2"/>
  </sheets>
  <functionGroups builtInGroupCount="18"/>
  <calcPr calcId="152511"/>
</workbook>
</file>

<file path=xl/calcChain.xml><?xml version="1.0" encoding="utf-8"?>
<calcChain xmlns="http://schemas.openxmlformats.org/spreadsheetml/2006/main">
  <c r="AC4" i="19" l="1"/>
  <c r="AC3" i="19"/>
  <c r="AA3" i="19"/>
  <c r="K4" i="19"/>
  <c r="W7" i="19"/>
  <c r="N29" i="19" s="1"/>
  <c r="W6" i="19"/>
  <c r="N33" i="19" s="1"/>
  <c r="W5" i="19"/>
  <c r="N32" i="19" s="1"/>
  <c r="V7" i="19"/>
  <c r="N23" i="19" s="1"/>
  <c r="N21" i="19"/>
  <c r="N15" i="19"/>
  <c r="V6" i="19"/>
  <c r="N16" i="19" s="1"/>
  <c r="V5" i="19"/>
  <c r="V4" i="19"/>
  <c r="N14" i="19" s="1"/>
  <c r="L9" i="18"/>
  <c r="V39" i="19"/>
  <c r="V40" i="19"/>
  <c r="V38" i="19"/>
  <c r="O40" i="19"/>
  <c r="O39" i="19"/>
  <c r="O38" i="19"/>
  <c r="U40" i="19"/>
  <c r="T40" i="19"/>
  <c r="U39" i="19"/>
  <c r="T39" i="19"/>
  <c r="N39" i="19"/>
  <c r="U38" i="19"/>
  <c r="T38" i="19"/>
  <c r="V33" i="19"/>
  <c r="V34" i="19"/>
  <c r="V32" i="19"/>
  <c r="O34" i="19"/>
  <c r="O33" i="19"/>
  <c r="O32" i="19"/>
  <c r="U34" i="19"/>
  <c r="T34" i="19"/>
  <c r="U33" i="19"/>
  <c r="T33" i="19"/>
  <c r="U32" i="19"/>
  <c r="T32" i="19"/>
  <c r="N28" i="19"/>
  <c r="V29" i="19"/>
  <c r="V28" i="19"/>
  <c r="V27" i="19"/>
  <c r="O28" i="19"/>
  <c r="O29" i="19"/>
  <c r="O27" i="19"/>
  <c r="U29" i="19"/>
  <c r="T29" i="19"/>
  <c r="U28" i="19"/>
  <c r="T28" i="19"/>
  <c r="U27" i="19"/>
  <c r="T27" i="19"/>
  <c r="AB4" i="19"/>
  <c r="AB3" i="19"/>
  <c r="O22" i="19"/>
  <c r="O23" i="19"/>
  <c r="O21" i="19"/>
  <c r="V22" i="19"/>
  <c r="V23" i="19"/>
  <c r="V21" i="19"/>
  <c r="U23" i="19"/>
  <c r="T23" i="19"/>
  <c r="U22" i="19"/>
  <c r="T22" i="19"/>
  <c r="U21" i="19"/>
  <c r="T21" i="19"/>
  <c r="U16" i="19"/>
  <c r="U17" i="19"/>
  <c r="U15" i="19"/>
  <c r="V16" i="19"/>
  <c r="V15" i="19"/>
  <c r="V17" i="19"/>
  <c r="V14" i="19"/>
  <c r="O15" i="19"/>
  <c r="O16" i="19"/>
  <c r="O17" i="19"/>
  <c r="O14" i="19"/>
  <c r="T17" i="19"/>
  <c r="T15" i="19"/>
  <c r="T16" i="19"/>
  <c r="O13" i="18"/>
  <c r="M7" i="19"/>
  <c r="W39" i="19"/>
  <c r="W32" i="19"/>
  <c r="W33" i="19"/>
  <c r="W29" i="19"/>
  <c r="W28" i="19"/>
  <c r="W23" i="19"/>
  <c r="W21" i="19"/>
  <c r="W16" i="19"/>
  <c r="W15" i="19"/>
  <c r="W14" i="19"/>
  <c r="N34" i="19" l="1"/>
  <c r="N40" i="19"/>
  <c r="N38" i="19"/>
  <c r="N27" i="19"/>
  <c r="N17" i="19"/>
  <c r="N22" i="19"/>
  <c r="Y4" i="19"/>
  <c r="AD4" i="19" s="1"/>
  <c r="AE4" i="19" s="1"/>
  <c r="Y5" i="19"/>
  <c r="AD5" i="19" s="1"/>
  <c r="Y6" i="19"/>
  <c r="Y7" i="19"/>
  <c r="Y3" i="19"/>
  <c r="AD3" i="19" s="1"/>
  <c r="Z3" i="19"/>
  <c r="X8" i="19"/>
  <c r="L10" i="19"/>
  <c r="K7" i="19"/>
  <c r="W34" i="19"/>
  <c r="W40" i="19"/>
  <c r="W38" i="19"/>
  <c r="W27" i="19"/>
  <c r="W17" i="19"/>
  <c r="W22" i="19"/>
  <c r="X34" i="19" l="1"/>
  <c r="X22" i="19"/>
  <c r="X32" i="19"/>
  <c r="X38" i="19"/>
  <c r="X39" i="19"/>
  <c r="X29" i="19"/>
  <c r="X40" i="19"/>
  <c r="X33" i="19"/>
  <c r="X21" i="19"/>
  <c r="X27" i="19"/>
  <c r="X28" i="19"/>
  <c r="X15" i="19"/>
  <c r="AG5" i="19" s="1"/>
  <c r="AE5" i="19"/>
  <c r="AF5" i="19"/>
  <c r="AE3" i="19"/>
  <c r="AF3" i="19"/>
  <c r="AF4" i="19"/>
  <c r="X17" i="19"/>
  <c r="AG7" i="19" s="1"/>
  <c r="AD7" i="19"/>
  <c r="X16" i="19"/>
  <c r="AG6" i="19" s="1"/>
  <c r="AD6" i="19"/>
  <c r="X23" i="19"/>
  <c r="X14" i="19"/>
  <c r="V22" i="18"/>
  <c r="Y25" i="18"/>
  <c r="V25" i="18"/>
  <c r="T25" i="18"/>
  <c r="S25" i="18"/>
  <c r="U25" i="18" s="1"/>
  <c r="R25" i="18"/>
  <c r="Q25" i="18"/>
  <c r="P25" i="18"/>
  <c r="O25" i="18"/>
  <c r="N25" i="18"/>
  <c r="O16" i="18"/>
  <c r="U16" i="18"/>
  <c r="V16" i="18"/>
  <c r="O19" i="18"/>
  <c r="P16" i="18"/>
  <c r="Y22" i="18"/>
  <c r="U22" i="18"/>
  <c r="T22" i="18"/>
  <c r="S22" i="18"/>
  <c r="R22" i="18"/>
  <c r="Q22" i="18"/>
  <c r="P22" i="18"/>
  <c r="O22" i="18"/>
  <c r="N22" i="18"/>
  <c r="V19" i="18"/>
  <c r="P19" i="18"/>
  <c r="N19" i="18"/>
  <c r="Y19" i="18"/>
  <c r="T19" i="18"/>
  <c r="S19" i="18"/>
  <c r="U19" i="18" s="1"/>
  <c r="R19" i="18"/>
  <c r="Q19" i="18"/>
  <c r="N16" i="18"/>
  <c r="T16" i="18"/>
  <c r="R16" i="18"/>
  <c r="Q16" i="18"/>
  <c r="R13" i="18"/>
  <c r="T13" i="18" s="1"/>
  <c r="Q13" i="18"/>
  <c r="M6" i="18"/>
  <c r="Y16" i="18"/>
  <c r="Y13" i="18"/>
  <c r="N13" i="18"/>
  <c r="P13" i="18"/>
  <c r="K3" i="18"/>
  <c r="V13" i="18"/>
  <c r="K6" i="18"/>
  <c r="W22" i="18"/>
  <c r="W16" i="18"/>
  <c r="W25" i="18"/>
  <c r="W19" i="18"/>
  <c r="X41" i="19" l="1"/>
  <c r="X35" i="19"/>
  <c r="X30" i="19"/>
  <c r="AH5" i="19"/>
  <c r="AE7" i="19"/>
  <c r="AH7" i="19" s="1"/>
  <c r="AF7" i="19"/>
  <c r="AF6" i="19"/>
  <c r="AE6" i="19"/>
  <c r="AH6" i="19" s="1"/>
  <c r="AG4" i="19"/>
  <c r="AH4" i="19" s="1"/>
  <c r="X25" i="18"/>
  <c r="Z25" i="18" s="1"/>
  <c r="X19" i="18"/>
  <c r="Z19" i="18" s="1"/>
  <c r="X22" i="18"/>
  <c r="X16" i="18"/>
  <c r="S16" i="18"/>
  <c r="S13" i="18"/>
  <c r="U13" i="18" s="1"/>
  <c r="W13" i="18"/>
  <c r="AF8" i="19" l="1"/>
  <c r="AE8" i="19"/>
  <c r="Y18" i="19" s="1"/>
  <c r="X24" i="19"/>
  <c r="AG8" i="19"/>
  <c r="AH3" i="19"/>
  <c r="AH8" i="19" s="1"/>
  <c r="X18" i="19"/>
  <c r="Z22" i="18"/>
  <c r="Z16" i="18"/>
  <c r="X13" i="18"/>
  <c r="Z13" i="18" s="1"/>
  <c r="Z18" i="19" l="1"/>
  <c r="Y41" i="19"/>
  <c r="Z41" i="19" s="1"/>
  <c r="Y35" i="19"/>
  <c r="Z35" i="19" s="1"/>
  <c r="Y24" i="19"/>
  <c r="Z24" i="19" s="1"/>
  <c r="Y30" i="19"/>
  <c r="Z30" i="19" s="1"/>
</calcChain>
</file>

<file path=xl/sharedStrings.xml><?xml version="1.0" encoding="utf-8"?>
<sst xmlns="http://schemas.openxmlformats.org/spreadsheetml/2006/main" count="152" uniqueCount="74">
  <si>
    <t>Description</t>
  </si>
  <si>
    <t>From</t>
  </si>
  <si>
    <t>To</t>
  </si>
  <si>
    <t>Strike</t>
  </si>
  <si>
    <t>U. price</t>
  </si>
  <si>
    <t>Volat.</t>
  </si>
  <si>
    <t>T2</t>
  </si>
  <si>
    <t>CP</t>
  </si>
  <si>
    <t>C</t>
  </si>
  <si>
    <t>P</t>
  </si>
  <si>
    <t>r</t>
  </si>
  <si>
    <t>Float</t>
  </si>
  <si>
    <t>-T1</t>
  </si>
  <si>
    <t>TT</t>
  </si>
  <si>
    <t>K'</t>
  </si>
  <si>
    <t>Factor</t>
  </si>
  <si>
    <t>Price Correct</t>
  </si>
  <si>
    <t>Vol</t>
  </si>
  <si>
    <t>Interest rate</t>
  </si>
  <si>
    <t>ASIC/A M11-11-11 45.00 - Base</t>
  </si>
  <si>
    <t>r Expiry</t>
  </si>
  <si>
    <t>Q</t>
  </si>
  <si>
    <t>Underlying Price</t>
  </si>
  <si>
    <t>Effective RD</t>
  </si>
  <si>
    <t>Unr Correct</t>
  </si>
  <si>
    <t>Real Correct</t>
  </si>
  <si>
    <t>NET Correct</t>
  </si>
  <si>
    <t>Time goes by</t>
  </si>
  <si>
    <t>Value</t>
  </si>
  <si>
    <t>14/11 Data from 07/11</t>
  </si>
  <si>
    <t>Curve Prices changes</t>
  </si>
  <si>
    <t>Vol Change</t>
  </si>
  <si>
    <t xml:space="preserve">Ext Id = </t>
  </si>
  <si>
    <t>PL-Explanation-El-Asian-0004</t>
  </si>
  <si>
    <t>Spot Prices</t>
  </si>
  <si>
    <t xml:space="preserve">Date </t>
  </si>
  <si>
    <t>Hour</t>
  </si>
  <si>
    <t>Date</t>
  </si>
  <si>
    <t>Original</t>
  </si>
  <si>
    <t>Curve Prices 07/11/11</t>
  </si>
  <si>
    <t>PL-Explanation-El-Asian-Struct-0001</t>
  </si>
  <si>
    <t>Ureal</t>
  </si>
  <si>
    <t>Net</t>
  </si>
  <si>
    <t>avg price in period</t>
  </si>
  <si>
    <t>strike</t>
  </si>
  <si>
    <t>volume</t>
  </si>
  <si>
    <t>week 2</t>
  </si>
  <si>
    <t>week 3</t>
  </si>
  <si>
    <t>week 4</t>
  </si>
  <si>
    <t>week 5</t>
  </si>
  <si>
    <t>week1</t>
  </si>
  <si>
    <t>week2</t>
  </si>
  <si>
    <t>week3</t>
  </si>
  <si>
    <t>week4</t>
  </si>
  <si>
    <t>week5</t>
  </si>
  <si>
    <t>q</t>
  </si>
  <si>
    <t>volat 07.11</t>
  </si>
  <si>
    <t>r expiry</t>
  </si>
  <si>
    <t>real book value</t>
  </si>
  <si>
    <t>payout 7.11</t>
  </si>
  <si>
    <t>avg price 14.11</t>
  </si>
  <si>
    <t>payout 14.11</t>
  </si>
  <si>
    <t>Real 7.11</t>
  </si>
  <si>
    <t>Real 14.11</t>
  </si>
  <si>
    <t>u price 14.11</t>
  </si>
  <si>
    <t>u price 7.11</t>
  </si>
  <si>
    <t>vol 14.11</t>
  </si>
  <si>
    <t>r expiry 14.11</t>
  </si>
  <si>
    <t>31.10-06.11</t>
  </si>
  <si>
    <t>07.11-13.11</t>
  </si>
  <si>
    <t>14.11-20.11</t>
  </si>
  <si>
    <t>21.11-27.11</t>
  </si>
  <si>
    <t>28.11-04.12</t>
  </si>
  <si>
    <t>Curve Prices 14/11/11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</si>
</sst>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0.0000000000000"/>
    <numFmt numFmtId="166" formatCode="0.0000"/>
    <numFmt numFmtId="167" formatCode="0.0000%"/>
    <numFmt numFmtId="168" formatCode="_-* #,##0_-;\-* #,##0_-;_-* &quot;-&quot;??_-;_-@_-"/>
    <numFmt numFmtId="169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14" fontId="0" fillId="0" borderId="0" xfId="0" applyNumberFormat="1" applyFill="1"/>
    <xf numFmtId="0" fontId="0" fillId="0" borderId="0" xfId="0" applyFill="1"/>
    <xf numFmtId="0" fontId="0" fillId="0" borderId="0" xfId="0" applyNumberFormat="1" applyFill="1"/>
    <xf numFmtId="9" fontId="0" fillId="0" borderId="0" xfId="1" applyFont="1" applyFill="1"/>
    <xf numFmtId="0" fontId="3" fillId="0" borderId="0" xfId="0" applyFont="1" applyFill="1" applyAlignment="1">
      <alignment vertical="center"/>
    </xf>
    <xf numFmtId="10" fontId="0" fillId="0" borderId="0" xfId="0" applyNumberFormat="1" applyFill="1"/>
    <xf numFmtId="165" fontId="0" fillId="0" borderId="0" xfId="0" applyNumberFormat="1" applyFill="1"/>
    <xf numFmtId="10" fontId="0" fillId="0" borderId="0" xfId="1" applyNumberFormat="1" applyFont="1" applyFill="1"/>
    <xf numFmtId="166" fontId="0" fillId="0" borderId="0" xfId="0" applyNumberFormat="1" applyFill="1"/>
    <xf numFmtId="0" fontId="1" fillId="0" borderId="0" xfId="0" applyFont="1" applyFill="1" applyAlignment="1">
      <alignment horizontal="center" vertical="center" wrapText="1"/>
    </xf>
    <xf numFmtId="49" fontId="1" fillId="0" borderId="0" xfId="0" applyNumberFormat="1" applyFont="1" applyFill="1"/>
    <xf numFmtId="164" fontId="0" fillId="0" borderId="0" xfId="2" applyFont="1" applyFill="1"/>
    <xf numFmtId="14" fontId="1" fillId="0" borderId="0" xfId="0" applyNumberFormat="1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49" fontId="0" fillId="0" borderId="0" xfId="0" applyNumberFormat="1" applyFill="1"/>
    <xf numFmtId="167" fontId="0" fillId="0" borderId="0" xfId="1" applyNumberFormat="1" applyFont="1" applyFill="1"/>
    <xf numFmtId="15" fontId="0" fillId="0" borderId="0" xfId="0" applyNumberFormat="1" applyFill="1"/>
    <xf numFmtId="9" fontId="0" fillId="0" borderId="0" xfId="0" applyNumberFormat="1" applyFill="1"/>
    <xf numFmtId="168" fontId="0" fillId="0" borderId="0" xfId="2" applyNumberFormat="1" applyFont="1" applyFill="1"/>
    <xf numFmtId="0" fontId="1" fillId="0" borderId="0" xfId="0" applyFont="1" applyFill="1"/>
    <xf numFmtId="169" fontId="0" fillId="0" borderId="0" xfId="0" applyNumberFormat="1" applyFill="1"/>
    <xf numFmtId="0" fontId="0" fillId="3" borderId="0" xfId="0" applyFill="1"/>
    <xf numFmtId="0" fontId="0" fillId="4" borderId="0" xfId="0" applyFill="1"/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">
    <cellStyle name="Comma" xfId="2" builtinId="3"/>
    <cellStyle name="Comma 2" xfId="3"/>
    <cellStyle name="Comma 3" xf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B517"/>
  <sheetViews>
    <sheetView topLeftCell="D1" workbookViewId="0">
      <selection activeCell="L7" sqref="L7"/>
    </sheetView>
  </sheetViews>
  <sheetFormatPr defaultRowHeight="15" x14ac:dyDescent="0.25"/>
  <cols>
    <col min="1" max="1" width="11.28515625" style="3" customWidth="1"/>
    <col min="2" max="3" width="9.140625" style="3"/>
    <col min="4" max="4" width="10.7109375" style="3" bestFit="1" customWidth="1"/>
    <col min="5" max="7" width="9.140625" style="3"/>
    <col min="8" max="8" width="21.5703125" style="3" bestFit="1" customWidth="1"/>
    <col min="9" max="9" width="9.140625" style="3"/>
    <col min="10" max="10" width="25.28515625" style="3" bestFit="1" customWidth="1"/>
    <col min="11" max="11" width="10.7109375" style="3" bestFit="1" customWidth="1"/>
    <col min="12" max="12" width="20.5703125" style="3" bestFit="1" customWidth="1"/>
    <col min="13" max="14" width="13.28515625" style="3" bestFit="1" customWidth="1"/>
    <col min="15" max="15" width="18.28515625" style="3" customWidth="1"/>
    <col min="16" max="18" width="13.28515625" style="3" bestFit="1" customWidth="1"/>
    <col min="19" max="20" width="9.140625" style="3"/>
    <col min="21" max="21" width="17.85546875" style="3" customWidth="1"/>
    <col min="22" max="22" width="13.28515625" style="3" bestFit="1" customWidth="1"/>
    <col min="23" max="23" width="20.85546875" style="3" bestFit="1" customWidth="1"/>
    <col min="24" max="24" width="12.7109375" style="3" bestFit="1" customWidth="1"/>
    <col min="25" max="25" width="10.7109375" style="3" customWidth="1"/>
    <col min="26" max="26" width="9.140625" style="3"/>
    <col min="27" max="27" width="19.28515625" style="3" bestFit="1" customWidth="1"/>
    <col min="28" max="28" width="19.28515625" style="3" customWidth="1"/>
    <col min="29" max="29" width="9.140625" style="3"/>
    <col min="30" max="30" width="12.7109375" style="3" bestFit="1" customWidth="1"/>
    <col min="31" max="31" width="16.28515625" style="3" customWidth="1"/>
    <col min="32" max="16384" width="9.140625" style="3"/>
  </cols>
  <sheetData>
    <row r="1" spans="1:28" x14ac:dyDescent="0.25">
      <c r="H1" s="3" t="s">
        <v>32</v>
      </c>
      <c r="I1" s="6" t="s">
        <v>33</v>
      </c>
    </row>
    <row r="3" spans="1:28" x14ac:dyDescent="0.25">
      <c r="J3" s="3" t="s">
        <v>21</v>
      </c>
      <c r="K3" s="3">
        <f>30*24*5</f>
        <v>3600</v>
      </c>
    </row>
    <row r="4" spans="1:28" x14ac:dyDescent="0.25">
      <c r="J4" s="3" t="s">
        <v>9</v>
      </c>
      <c r="K4" s="3">
        <v>2.33</v>
      </c>
    </row>
    <row r="5" spans="1:28" x14ac:dyDescent="0.25">
      <c r="K5" s="2">
        <v>40854</v>
      </c>
      <c r="L5" s="3" t="s">
        <v>29</v>
      </c>
      <c r="M5" s="2">
        <v>40861</v>
      </c>
    </row>
    <row r="6" spans="1:28" x14ac:dyDescent="0.25">
      <c r="J6" s="3" t="s">
        <v>11</v>
      </c>
      <c r="K6" s="4">
        <f>AVERAGE(C14:C181)</f>
        <v>40.418095238095241</v>
      </c>
      <c r="M6" s="3">
        <f>AVERAGE(C14:C349)</f>
        <v>42.01273809523812</v>
      </c>
    </row>
    <row r="7" spans="1:28" x14ac:dyDescent="0.25">
      <c r="J7" s="3" t="s">
        <v>17</v>
      </c>
      <c r="K7" s="3">
        <v>0.58849760765987102</v>
      </c>
      <c r="L7" s="7">
        <v>0.72255499999999995</v>
      </c>
      <c r="M7" s="3">
        <v>0.62296223066516798</v>
      </c>
      <c r="W7" s="8"/>
    </row>
    <row r="8" spans="1:28" x14ac:dyDescent="0.25">
      <c r="J8" s="3" t="s">
        <v>20</v>
      </c>
      <c r="K8" s="9">
        <v>1.1677692200749781E-2</v>
      </c>
      <c r="M8" s="9">
        <v>1.0540307092834746E-2</v>
      </c>
      <c r="W8" s="8"/>
    </row>
    <row r="9" spans="1:28" x14ac:dyDescent="0.25">
      <c r="J9" s="3" t="s">
        <v>22</v>
      </c>
      <c r="K9" s="3">
        <v>49.659516137893</v>
      </c>
      <c r="L9" s="3">
        <f>AVERAGE(E14:E29)</f>
        <v>50.717044658878024</v>
      </c>
      <c r="M9" s="3">
        <v>45.3626922562785</v>
      </c>
      <c r="W9" s="8"/>
    </row>
    <row r="10" spans="1:28" x14ac:dyDescent="0.25">
      <c r="K10" s="2"/>
      <c r="T10" s="10"/>
    </row>
    <row r="11" spans="1:28" x14ac:dyDescent="0.25">
      <c r="H11" s="3" t="s">
        <v>38</v>
      </c>
    </row>
    <row r="12" spans="1:28" x14ac:dyDescent="0.25">
      <c r="A12" s="3" t="s">
        <v>34</v>
      </c>
      <c r="D12" s="3" t="s">
        <v>39</v>
      </c>
      <c r="H12" s="21" t="s">
        <v>23</v>
      </c>
      <c r="I12" s="12" t="s">
        <v>7</v>
      </c>
      <c r="J12" s="12" t="s">
        <v>0</v>
      </c>
      <c r="K12" s="12" t="s">
        <v>1</v>
      </c>
      <c r="L12" s="12" t="s">
        <v>2</v>
      </c>
      <c r="M12" s="12" t="s">
        <v>3</v>
      </c>
      <c r="N12" s="12" t="s">
        <v>4</v>
      </c>
      <c r="O12" s="12" t="s">
        <v>5</v>
      </c>
      <c r="P12" s="12" t="s">
        <v>11</v>
      </c>
      <c r="Q12" s="12" t="s">
        <v>12</v>
      </c>
      <c r="R12" s="12" t="s">
        <v>6</v>
      </c>
      <c r="S12" s="12" t="s">
        <v>13</v>
      </c>
      <c r="T12" s="12" t="s">
        <v>15</v>
      </c>
      <c r="U12" s="12" t="s">
        <v>14</v>
      </c>
      <c r="V12" s="12" t="s">
        <v>10</v>
      </c>
      <c r="W12" s="12" t="s">
        <v>16</v>
      </c>
      <c r="X12" s="12" t="s">
        <v>24</v>
      </c>
      <c r="Y12" s="12" t="s">
        <v>25</v>
      </c>
      <c r="Z12" s="12" t="s">
        <v>26</v>
      </c>
      <c r="AA12" s="13"/>
      <c r="AB12" s="13"/>
    </row>
    <row r="13" spans="1:28" x14ac:dyDescent="0.25">
      <c r="A13" s="3" t="s">
        <v>35</v>
      </c>
      <c r="B13" s="3" t="s">
        <v>36</v>
      </c>
      <c r="C13" s="3" t="s">
        <v>28</v>
      </c>
      <c r="D13" s="11" t="s">
        <v>37</v>
      </c>
      <c r="E13" s="11" t="s">
        <v>28</v>
      </c>
      <c r="H13" s="2">
        <v>40855</v>
      </c>
      <c r="I13" s="4" t="s">
        <v>8</v>
      </c>
      <c r="J13" s="16" t="s">
        <v>19</v>
      </c>
      <c r="K13" s="2">
        <v>40848</v>
      </c>
      <c r="L13" s="2">
        <v>40877</v>
      </c>
      <c r="M13" s="3">
        <v>45</v>
      </c>
      <c r="N13" s="3">
        <f>K9</f>
        <v>49.659516137893</v>
      </c>
      <c r="O13" s="3">
        <f>K7</f>
        <v>0.58849760765987102</v>
      </c>
      <c r="P13" s="3">
        <f>K6</f>
        <v>40.418095238095241</v>
      </c>
      <c r="Q13" s="3">
        <f>(H13-K13)*24</f>
        <v>168</v>
      </c>
      <c r="R13" s="3">
        <f>(L13-H13+1)*24</f>
        <v>552</v>
      </c>
      <c r="S13" s="3">
        <f>R13+Q13</f>
        <v>720</v>
      </c>
      <c r="T13" s="3">
        <f>IF(H13&gt;K13,R13/(Q13+R13),1)</f>
        <v>0.76666666666666672</v>
      </c>
      <c r="U13" s="3">
        <f>IF($H$13&gt;K13,(S13/R13)*M13-(Q13/R13)*P13,M13)</f>
        <v>46.39449275362319</v>
      </c>
      <c r="V13" s="17">
        <f>K8</f>
        <v>1.1677692200749781E-2</v>
      </c>
      <c r="W13" s="8">
        <f>B76Future(H13,I13,N13,U13,L13,O13,V13)*T13</f>
        <v>3.6422184812673195</v>
      </c>
      <c r="X13" s="1">
        <f>W13*$K$3</f>
        <v>13111.98653256235</v>
      </c>
      <c r="Y13" s="1">
        <f>-$K$4*$K$3</f>
        <v>-8388</v>
      </c>
      <c r="Z13" s="1">
        <f>X13+Y13</f>
        <v>4723.9865325623505</v>
      </c>
    </row>
    <row r="14" spans="1:28" x14ac:dyDescent="0.25">
      <c r="A14" s="18">
        <v>40848</v>
      </c>
      <c r="B14" s="3">
        <v>0</v>
      </c>
      <c r="C14" s="3">
        <v>37.520000000000003</v>
      </c>
      <c r="D14" s="14">
        <v>40862</v>
      </c>
      <c r="E14" s="15">
        <v>52.667765363861498</v>
      </c>
      <c r="H14" s="16"/>
      <c r="I14" s="4"/>
      <c r="J14" s="16"/>
      <c r="K14" s="2"/>
      <c r="L14" s="2"/>
      <c r="W14" s="8"/>
      <c r="X14" s="4"/>
    </row>
    <row r="15" spans="1:28" x14ac:dyDescent="0.25">
      <c r="A15" s="18">
        <v>40848</v>
      </c>
      <c r="B15" s="3">
        <v>1</v>
      </c>
      <c r="C15" s="3">
        <v>37.1</v>
      </c>
      <c r="D15" s="14">
        <v>40863</v>
      </c>
      <c r="E15" s="15">
        <v>53.110428537447604</v>
      </c>
      <c r="H15" s="16" t="s">
        <v>27</v>
      </c>
      <c r="I15" s="4"/>
      <c r="J15" s="16"/>
      <c r="K15" s="2"/>
      <c r="L15" s="2"/>
      <c r="W15" s="8"/>
    </row>
    <row r="16" spans="1:28" x14ac:dyDescent="0.25">
      <c r="A16" s="18">
        <v>40848</v>
      </c>
      <c r="B16" s="3">
        <v>2</v>
      </c>
      <c r="C16" s="3">
        <v>34.96</v>
      </c>
      <c r="D16" s="14">
        <v>40864</v>
      </c>
      <c r="E16" s="15">
        <v>51.955404050919803</v>
      </c>
      <c r="H16" s="2">
        <v>40862</v>
      </c>
      <c r="I16" s="4" t="s">
        <v>8</v>
      </c>
      <c r="J16" s="16" t="s">
        <v>19</v>
      </c>
      <c r="K16" s="2">
        <v>40848</v>
      </c>
      <c r="L16" s="2">
        <v>40877</v>
      </c>
      <c r="M16" s="3">
        <v>45</v>
      </c>
      <c r="N16" s="3">
        <f>L9</f>
        <v>50.717044658878024</v>
      </c>
      <c r="O16" s="7">
        <f>$L$7</f>
        <v>0.72255499999999995</v>
      </c>
      <c r="P16" s="3">
        <f>$M$6</f>
        <v>42.01273809523812</v>
      </c>
      <c r="Q16" s="3">
        <f>(H16-K16)*24</f>
        <v>336</v>
      </c>
      <c r="R16" s="3">
        <f>(L16-H16+1)*24</f>
        <v>384</v>
      </c>
      <c r="S16" s="3">
        <f>R16+Q16</f>
        <v>720</v>
      </c>
      <c r="T16" s="3">
        <f>IF(H16&gt;K16,R16/(Q16+R16),1)</f>
        <v>0.53333333333333333</v>
      </c>
      <c r="U16" s="3">
        <f>IF($H$16&gt;K16,(S16/R16)*M16-(Q16/R16)*P16,M16)</f>
        <v>47.613854166666641</v>
      </c>
      <c r="V16" s="17">
        <f>K8</f>
        <v>1.1677692200749781E-2</v>
      </c>
      <c r="W16" s="8">
        <f>B76Future(H16,I16,N16,U16,L16,O16,V16)*T16</f>
        <v>2.5426606954524695</v>
      </c>
      <c r="X16" s="1">
        <f>W16*$K$3</f>
        <v>9153.5785036288908</v>
      </c>
      <c r="Y16" s="1">
        <f>-$K$4*$K$3</f>
        <v>-8388</v>
      </c>
      <c r="Z16" s="1">
        <f>X16+Y16</f>
        <v>765.57850362889076</v>
      </c>
    </row>
    <row r="17" spans="1:26" x14ac:dyDescent="0.25">
      <c r="A17" s="18">
        <v>40848</v>
      </c>
      <c r="B17" s="3">
        <v>3</v>
      </c>
      <c r="C17" s="3">
        <v>32.36</v>
      </c>
      <c r="D17" s="14">
        <v>40865</v>
      </c>
      <c r="E17" s="15">
        <v>50.651028551258598</v>
      </c>
      <c r="H17" s="16"/>
      <c r="I17" s="4"/>
      <c r="J17" s="16"/>
      <c r="K17" s="2"/>
      <c r="L17" s="2"/>
      <c r="W17" s="8"/>
      <c r="X17" s="4"/>
    </row>
    <row r="18" spans="1:26" x14ac:dyDescent="0.25">
      <c r="A18" s="18">
        <v>40848</v>
      </c>
      <c r="B18" s="3">
        <v>4</v>
      </c>
      <c r="C18" s="3">
        <v>34.42</v>
      </c>
      <c r="D18" s="14">
        <v>40866</v>
      </c>
      <c r="E18" s="15">
        <v>47.803262455230801</v>
      </c>
      <c r="H18" s="16" t="s">
        <v>30</v>
      </c>
      <c r="I18" s="4"/>
      <c r="J18" s="16"/>
      <c r="K18" s="2"/>
      <c r="L18" s="2"/>
      <c r="W18" s="8"/>
    </row>
    <row r="19" spans="1:26" x14ac:dyDescent="0.25">
      <c r="A19" s="18">
        <v>40848</v>
      </c>
      <c r="B19" s="3">
        <v>5</v>
      </c>
      <c r="C19" s="3">
        <v>37.06</v>
      </c>
      <c r="D19" s="14">
        <v>40867</v>
      </c>
      <c r="E19" s="15">
        <v>46.8459544117921</v>
      </c>
      <c r="H19" s="2">
        <v>40862</v>
      </c>
      <c r="I19" s="4" t="s">
        <v>8</v>
      </c>
      <c r="J19" s="16" t="s">
        <v>19</v>
      </c>
      <c r="K19" s="2">
        <v>40848</v>
      </c>
      <c r="L19" s="2">
        <v>40877</v>
      </c>
      <c r="M19" s="3">
        <v>45</v>
      </c>
      <c r="N19" s="3">
        <f>$M$9</f>
        <v>45.3626922562785</v>
      </c>
      <c r="O19" s="7">
        <f>$L$7</f>
        <v>0.72255499999999995</v>
      </c>
      <c r="P19" s="3">
        <f>$M$6</f>
        <v>42.01273809523812</v>
      </c>
      <c r="Q19" s="3">
        <f>(H19-K19)*24</f>
        <v>336</v>
      </c>
      <c r="R19" s="3">
        <f>(L19-H19+1)*24</f>
        <v>384</v>
      </c>
      <c r="S19" s="3">
        <f>R19+Q19</f>
        <v>720</v>
      </c>
      <c r="T19" s="3">
        <f>IF(H19&gt;K19,R19/(Q19+R19),1)</f>
        <v>0.53333333333333333</v>
      </c>
      <c r="U19" s="3">
        <f>IF($H$16&gt;K19,(S19/R19)*M19-(Q19/R19)*P19,M19)</f>
        <v>47.613854166666641</v>
      </c>
      <c r="V19" s="17">
        <f>$K$8</f>
        <v>1.1677692200749781E-2</v>
      </c>
      <c r="W19" s="8">
        <f>B76Future(H19,I19,N19,U19,L19,O19,V19)*T19</f>
        <v>0.96993492591361408</v>
      </c>
      <c r="X19" s="1">
        <f>W19*$K$3</f>
        <v>3491.7657332890108</v>
      </c>
      <c r="Y19" s="1">
        <f>-$K$4*$K$3</f>
        <v>-8388</v>
      </c>
      <c r="Z19" s="1">
        <f>X19+Y19</f>
        <v>-4896.2342667109897</v>
      </c>
    </row>
    <row r="20" spans="1:26" x14ac:dyDescent="0.25">
      <c r="A20" s="18">
        <v>40848</v>
      </c>
      <c r="B20" s="3">
        <v>6</v>
      </c>
      <c r="C20" s="3">
        <v>40.340000000000003</v>
      </c>
      <c r="D20" s="14">
        <v>40868</v>
      </c>
      <c r="E20" s="15">
        <v>52.6120027580467</v>
      </c>
      <c r="H20" s="16"/>
      <c r="I20" s="4"/>
      <c r="J20" s="16"/>
      <c r="K20" s="2"/>
      <c r="L20" s="2"/>
      <c r="W20" s="8"/>
      <c r="X20" s="4"/>
    </row>
    <row r="21" spans="1:26" x14ac:dyDescent="0.25">
      <c r="A21" s="18">
        <v>40848</v>
      </c>
      <c r="B21" s="3">
        <v>7</v>
      </c>
      <c r="C21" s="3">
        <v>41.78</v>
      </c>
      <c r="D21" s="14">
        <v>40869</v>
      </c>
      <c r="E21" s="15">
        <v>52.691385087814503</v>
      </c>
      <c r="H21" s="16" t="s">
        <v>31</v>
      </c>
      <c r="I21" s="4"/>
      <c r="J21" s="16"/>
      <c r="K21" s="2"/>
      <c r="L21" s="2"/>
      <c r="W21" s="8"/>
    </row>
    <row r="22" spans="1:26" x14ac:dyDescent="0.25">
      <c r="A22" s="18">
        <v>40848</v>
      </c>
      <c r="B22" s="3">
        <v>8</v>
      </c>
      <c r="C22" s="3">
        <v>42.67</v>
      </c>
      <c r="D22" s="14">
        <v>40870</v>
      </c>
      <c r="E22" s="15">
        <v>53.048701417961901</v>
      </c>
      <c r="H22" s="2">
        <v>40862</v>
      </c>
      <c r="I22" s="4" t="s">
        <v>8</v>
      </c>
      <c r="J22" s="16" t="s">
        <v>19</v>
      </c>
      <c r="K22" s="2">
        <v>40848</v>
      </c>
      <c r="L22" s="2">
        <v>40877</v>
      </c>
      <c r="M22" s="3">
        <v>45</v>
      </c>
      <c r="N22" s="3">
        <f>$M$9</f>
        <v>45.3626922562785</v>
      </c>
      <c r="O22" s="3">
        <f>$M$7</f>
        <v>0.62296223066516798</v>
      </c>
      <c r="P22" s="3">
        <f>$M$6</f>
        <v>42.01273809523812</v>
      </c>
      <c r="Q22" s="3">
        <f>(H22-K22)*24</f>
        <v>336</v>
      </c>
      <c r="R22" s="3">
        <f>(L22-H22+1)*24</f>
        <v>384</v>
      </c>
      <c r="S22" s="3">
        <f>R22+Q22</f>
        <v>720</v>
      </c>
      <c r="T22" s="3">
        <f>IF(H22&gt;K22,R22/(Q22+R22),1)</f>
        <v>0.53333333333333333</v>
      </c>
      <c r="U22" s="3">
        <f>IF($H$16&gt;K22,(S22/R22)*M22-(Q22/R22)*P22,M22)</f>
        <v>47.613854166666641</v>
      </c>
      <c r="V22" s="17">
        <f>$K$8</f>
        <v>1.1677692200749781E-2</v>
      </c>
      <c r="W22" s="8">
        <f>B76Future(H22,I22,N22,U22,L22,O22,V22)*T22</f>
        <v>0.77622407201785337</v>
      </c>
      <c r="X22" s="1">
        <f>W22*$K$3</f>
        <v>2794.4066592642721</v>
      </c>
      <c r="Y22" s="1">
        <f>-$K$4*$K$3</f>
        <v>-8388</v>
      </c>
      <c r="Z22" s="1">
        <f>X22+Y22</f>
        <v>-5593.5933407357279</v>
      </c>
    </row>
    <row r="23" spans="1:26" x14ac:dyDescent="0.25">
      <c r="A23" s="18">
        <v>40848</v>
      </c>
      <c r="B23" s="3">
        <v>9</v>
      </c>
      <c r="C23" s="3">
        <v>42.83</v>
      </c>
      <c r="D23" s="14">
        <v>40871</v>
      </c>
      <c r="E23" s="15">
        <v>52.1726980769851</v>
      </c>
      <c r="H23" s="16"/>
      <c r="I23" s="4"/>
      <c r="J23" s="16"/>
      <c r="K23" s="2"/>
      <c r="L23" s="2"/>
      <c r="W23" s="8"/>
      <c r="X23" s="4"/>
    </row>
    <row r="24" spans="1:26" x14ac:dyDescent="0.25">
      <c r="A24" s="18">
        <v>40848</v>
      </c>
      <c r="B24" s="3">
        <v>10</v>
      </c>
      <c r="C24" s="3">
        <v>42.21</v>
      </c>
      <c r="D24" s="14">
        <v>40872</v>
      </c>
      <c r="E24" s="15">
        <v>51.1523735844779</v>
      </c>
      <c r="H24" s="16" t="s">
        <v>18</v>
      </c>
      <c r="I24" s="4"/>
      <c r="J24" s="16"/>
      <c r="K24" s="2"/>
      <c r="L24" s="2"/>
      <c r="W24" s="8"/>
    </row>
    <row r="25" spans="1:26" x14ac:dyDescent="0.25">
      <c r="A25" s="18">
        <v>40848</v>
      </c>
      <c r="B25" s="3">
        <v>11</v>
      </c>
      <c r="C25" s="3">
        <v>42.14</v>
      </c>
      <c r="D25" s="14">
        <v>40873</v>
      </c>
      <c r="E25" s="15">
        <v>48.924976657348502</v>
      </c>
      <c r="H25" s="2">
        <v>40862</v>
      </c>
      <c r="I25" s="4" t="s">
        <v>8</v>
      </c>
      <c r="J25" s="16" t="s">
        <v>19</v>
      </c>
      <c r="K25" s="2">
        <v>40848</v>
      </c>
      <c r="L25" s="2">
        <v>40877</v>
      </c>
      <c r="M25" s="3">
        <v>45</v>
      </c>
      <c r="N25" s="3">
        <f>$M$9</f>
        <v>45.3626922562785</v>
      </c>
      <c r="O25" s="3">
        <f>$M$7</f>
        <v>0.62296223066516798</v>
      </c>
      <c r="P25" s="3">
        <f>$M$6</f>
        <v>42.01273809523812</v>
      </c>
      <c r="Q25" s="3">
        <f>(H25-K25)*24</f>
        <v>336</v>
      </c>
      <c r="R25" s="3">
        <f>(L25-H25+1)*24</f>
        <v>384</v>
      </c>
      <c r="S25" s="3">
        <f>R25+Q25</f>
        <v>720</v>
      </c>
      <c r="T25" s="3">
        <f>IF(H25&gt;K25,R25/(Q25+R25),1)</f>
        <v>0.53333333333333333</v>
      </c>
      <c r="U25" s="3">
        <f>IF($H$16&gt;K25,(S25/R25)*M25-(Q25/R25)*P25,M25)</f>
        <v>47.613854166666641</v>
      </c>
      <c r="V25" s="17">
        <f>$M$8</f>
        <v>1.0540307092834746E-2</v>
      </c>
      <c r="W25" s="8">
        <f>B76Future(H25,I25,N25,U25,L25,O25,V25)*T25</f>
        <v>0.77626277394483334</v>
      </c>
      <c r="X25" s="1">
        <f>W25*$K$3</f>
        <v>2794.5459862014</v>
      </c>
      <c r="Y25" s="1">
        <f>-$K$4*$K$3</f>
        <v>-8388</v>
      </c>
      <c r="Z25" s="1">
        <f>X25+Y25</f>
        <v>-5593.4540137986005</v>
      </c>
    </row>
    <row r="26" spans="1:26" x14ac:dyDescent="0.25">
      <c r="A26" s="18">
        <v>40848</v>
      </c>
      <c r="B26" s="3">
        <v>12</v>
      </c>
      <c r="C26" s="3">
        <v>41.82</v>
      </c>
      <c r="D26" s="14">
        <v>40874</v>
      </c>
      <c r="E26" s="15">
        <v>48.1478624173646</v>
      </c>
      <c r="H26" s="16"/>
      <c r="I26" s="4"/>
      <c r="J26" s="16"/>
      <c r="K26" s="2"/>
      <c r="L26" s="2"/>
      <c r="W26" s="8"/>
      <c r="X26" s="4"/>
    </row>
    <row r="27" spans="1:26" x14ac:dyDescent="0.25">
      <c r="A27" s="18">
        <v>40848</v>
      </c>
      <c r="B27" s="3">
        <v>13</v>
      </c>
      <c r="C27" s="3">
        <v>41.45</v>
      </c>
      <c r="D27" s="14">
        <v>40875</v>
      </c>
      <c r="E27" s="15">
        <v>49.733930247097597</v>
      </c>
      <c r="H27" s="16"/>
      <c r="I27" s="4"/>
      <c r="J27" s="16"/>
      <c r="K27" s="2"/>
      <c r="L27" s="2"/>
      <c r="W27" s="8"/>
    </row>
    <row r="28" spans="1:26" x14ac:dyDescent="0.25">
      <c r="A28" s="18">
        <v>40848</v>
      </c>
      <c r="B28" s="3">
        <v>14</v>
      </c>
      <c r="C28" s="3">
        <v>41.25</v>
      </c>
      <c r="D28" s="14">
        <v>40876</v>
      </c>
      <c r="E28" s="15">
        <v>49.809998067115302</v>
      </c>
      <c r="H28" s="16"/>
      <c r="I28" s="4"/>
      <c r="J28" s="16"/>
      <c r="K28" s="2"/>
      <c r="L28" s="2"/>
      <c r="W28" s="8"/>
    </row>
    <row r="29" spans="1:26" x14ac:dyDescent="0.25">
      <c r="A29" s="18">
        <v>40848</v>
      </c>
      <c r="B29" s="3">
        <v>15</v>
      </c>
      <c r="C29" s="3">
        <v>41.32</v>
      </c>
      <c r="D29" s="14">
        <v>40877</v>
      </c>
      <c r="E29" s="15">
        <v>50.144942857325702</v>
      </c>
      <c r="H29" s="16"/>
      <c r="I29" s="4"/>
      <c r="J29" s="16"/>
      <c r="K29" s="2"/>
      <c r="L29" s="2"/>
      <c r="W29" s="8"/>
    </row>
    <row r="30" spans="1:26" x14ac:dyDescent="0.25">
      <c r="A30" s="18">
        <v>40848</v>
      </c>
      <c r="B30" s="3">
        <v>16</v>
      </c>
      <c r="C30" s="3">
        <v>42.39</v>
      </c>
      <c r="H30" s="16"/>
      <c r="I30" s="4"/>
      <c r="J30" s="16"/>
      <c r="K30" s="2"/>
      <c r="L30" s="2"/>
      <c r="W30" s="8"/>
    </row>
    <row r="31" spans="1:26" x14ac:dyDescent="0.25">
      <c r="A31" s="18">
        <v>40848</v>
      </c>
      <c r="B31" s="3">
        <v>17</v>
      </c>
      <c r="C31" s="3">
        <v>45.16</v>
      </c>
      <c r="H31" s="16"/>
      <c r="I31" s="4"/>
      <c r="J31" s="16"/>
      <c r="K31" s="2"/>
      <c r="L31" s="2"/>
      <c r="W31" s="8"/>
    </row>
    <row r="32" spans="1:26" x14ac:dyDescent="0.25">
      <c r="A32" s="18">
        <v>40848</v>
      </c>
      <c r="B32" s="3">
        <v>18</v>
      </c>
      <c r="C32" s="3">
        <v>44.57</v>
      </c>
      <c r="H32" s="16"/>
      <c r="I32" s="4"/>
      <c r="J32" s="16"/>
      <c r="K32" s="2"/>
      <c r="L32" s="2"/>
      <c r="W32" s="8"/>
    </row>
    <row r="33" spans="1:23" x14ac:dyDescent="0.25">
      <c r="A33" s="18">
        <v>40848</v>
      </c>
      <c r="B33" s="3">
        <v>19</v>
      </c>
      <c r="C33" s="3">
        <v>42.87</v>
      </c>
      <c r="H33" s="16"/>
      <c r="I33" s="4"/>
      <c r="J33" s="16"/>
      <c r="K33" s="2"/>
      <c r="L33" s="2"/>
      <c r="W33" s="8"/>
    </row>
    <row r="34" spans="1:23" x14ac:dyDescent="0.25">
      <c r="A34" s="18">
        <v>40848</v>
      </c>
      <c r="B34" s="3">
        <v>20</v>
      </c>
      <c r="C34" s="3">
        <v>40.99</v>
      </c>
      <c r="H34" s="16"/>
      <c r="I34" s="4"/>
      <c r="J34" s="16"/>
      <c r="K34" s="2"/>
      <c r="L34" s="2"/>
      <c r="W34" s="8"/>
    </row>
    <row r="35" spans="1:23" x14ac:dyDescent="0.25">
      <c r="A35" s="18">
        <v>40848</v>
      </c>
      <c r="B35" s="3">
        <v>21</v>
      </c>
      <c r="C35" s="3">
        <v>40.299999999999997</v>
      </c>
      <c r="H35" s="16"/>
      <c r="I35" s="4"/>
      <c r="J35" s="16"/>
      <c r="K35" s="2"/>
      <c r="L35" s="2"/>
      <c r="W35" s="8"/>
    </row>
    <row r="36" spans="1:23" x14ac:dyDescent="0.25">
      <c r="A36" s="18">
        <v>40848</v>
      </c>
      <c r="B36" s="3">
        <v>22</v>
      </c>
      <c r="C36" s="3">
        <v>39.04</v>
      </c>
      <c r="H36" s="16"/>
      <c r="I36" s="4"/>
      <c r="J36" s="16"/>
      <c r="K36" s="2"/>
      <c r="L36" s="2"/>
      <c r="W36" s="8"/>
    </row>
    <row r="37" spans="1:23" x14ac:dyDescent="0.25">
      <c r="A37" s="18">
        <v>40848</v>
      </c>
      <c r="B37" s="3">
        <v>23</v>
      </c>
      <c r="C37" s="3">
        <v>37.21</v>
      </c>
      <c r="H37" s="16"/>
      <c r="I37" s="4"/>
      <c r="J37" s="16"/>
      <c r="K37" s="2"/>
      <c r="L37" s="2"/>
      <c r="W37" s="8"/>
    </row>
    <row r="38" spans="1:23" x14ac:dyDescent="0.25">
      <c r="A38" s="18">
        <v>40849</v>
      </c>
      <c r="B38" s="3">
        <v>0</v>
      </c>
      <c r="C38" s="3">
        <v>35.659999999999997</v>
      </c>
      <c r="H38" s="16"/>
      <c r="I38" s="4"/>
      <c r="J38" s="16"/>
      <c r="K38" s="2"/>
      <c r="L38" s="2"/>
      <c r="W38" s="8"/>
    </row>
    <row r="39" spans="1:23" x14ac:dyDescent="0.25">
      <c r="A39" s="18">
        <v>40849</v>
      </c>
      <c r="B39" s="3">
        <v>1</v>
      </c>
      <c r="C39" s="3">
        <v>34.36</v>
      </c>
      <c r="H39" s="16"/>
      <c r="I39" s="4"/>
      <c r="J39" s="16"/>
      <c r="K39" s="2"/>
      <c r="L39" s="2"/>
      <c r="W39" s="8"/>
    </row>
    <row r="40" spans="1:23" x14ac:dyDescent="0.25">
      <c r="A40" s="18">
        <v>40849</v>
      </c>
      <c r="B40" s="3">
        <v>2</v>
      </c>
      <c r="C40" s="3">
        <v>34.92</v>
      </c>
      <c r="H40" s="16"/>
      <c r="I40" s="4"/>
      <c r="J40" s="16"/>
      <c r="K40" s="2"/>
      <c r="L40" s="2"/>
      <c r="W40" s="8"/>
    </row>
    <row r="41" spans="1:23" x14ac:dyDescent="0.25">
      <c r="A41" s="18">
        <v>40849</v>
      </c>
      <c r="B41" s="3">
        <v>3</v>
      </c>
      <c r="C41" s="3">
        <v>35.08</v>
      </c>
      <c r="H41" s="16"/>
      <c r="I41" s="4"/>
      <c r="J41" s="16"/>
      <c r="K41" s="2"/>
      <c r="L41" s="2"/>
      <c r="W41" s="8"/>
    </row>
    <row r="42" spans="1:23" x14ac:dyDescent="0.25">
      <c r="A42" s="18">
        <v>40849</v>
      </c>
      <c r="B42" s="3">
        <v>4</v>
      </c>
      <c r="C42" s="3">
        <v>36.85</v>
      </c>
      <c r="H42" s="16"/>
      <c r="I42" s="4"/>
      <c r="J42" s="16"/>
      <c r="K42" s="2"/>
      <c r="L42" s="2"/>
      <c r="W42" s="8"/>
    </row>
    <row r="43" spans="1:23" x14ac:dyDescent="0.25">
      <c r="A43" s="18">
        <v>40849</v>
      </c>
      <c r="B43" s="3">
        <v>5</v>
      </c>
      <c r="C43" s="3">
        <v>38.200000000000003</v>
      </c>
      <c r="H43" s="16"/>
      <c r="I43" s="4"/>
      <c r="J43" s="16"/>
      <c r="K43" s="2"/>
      <c r="L43" s="2"/>
      <c r="W43" s="8"/>
    </row>
    <row r="44" spans="1:23" x14ac:dyDescent="0.25">
      <c r="A44" s="18">
        <v>40849</v>
      </c>
      <c r="B44" s="3">
        <v>6</v>
      </c>
      <c r="C44" s="3">
        <v>40.71</v>
      </c>
      <c r="H44" s="16"/>
      <c r="I44" s="4"/>
      <c r="J44" s="16"/>
      <c r="K44" s="2"/>
      <c r="L44" s="2"/>
      <c r="W44" s="8"/>
    </row>
    <row r="45" spans="1:23" x14ac:dyDescent="0.25">
      <c r="A45" s="18">
        <v>40849</v>
      </c>
      <c r="B45" s="3">
        <v>7</v>
      </c>
      <c r="C45" s="3">
        <v>43.23</v>
      </c>
      <c r="H45" s="16"/>
      <c r="I45" s="4"/>
      <c r="J45" s="16"/>
      <c r="K45" s="2"/>
      <c r="L45" s="2"/>
      <c r="W45" s="8"/>
    </row>
    <row r="46" spans="1:23" x14ac:dyDescent="0.25">
      <c r="A46" s="18">
        <v>40849</v>
      </c>
      <c r="B46" s="3">
        <v>8</v>
      </c>
      <c r="C46" s="3">
        <v>43.75</v>
      </c>
      <c r="H46" s="16"/>
      <c r="I46" s="4"/>
      <c r="J46" s="16"/>
      <c r="K46" s="2"/>
      <c r="L46" s="2"/>
      <c r="W46" s="8"/>
    </row>
    <row r="47" spans="1:23" x14ac:dyDescent="0.25">
      <c r="A47" s="18">
        <v>40849</v>
      </c>
      <c r="B47" s="3">
        <v>9</v>
      </c>
      <c r="C47" s="3">
        <v>42.97</v>
      </c>
      <c r="H47" s="16"/>
      <c r="I47" s="4"/>
      <c r="J47" s="16"/>
      <c r="K47" s="2"/>
      <c r="L47" s="2"/>
      <c r="W47" s="8"/>
    </row>
    <row r="48" spans="1:23" x14ac:dyDescent="0.25">
      <c r="A48" s="18">
        <v>40849</v>
      </c>
      <c r="B48" s="3">
        <v>10</v>
      </c>
      <c r="C48" s="3">
        <v>42.93</v>
      </c>
      <c r="H48" s="16"/>
      <c r="I48" s="4"/>
      <c r="J48" s="16"/>
      <c r="K48" s="2"/>
      <c r="L48" s="2"/>
      <c r="W48" s="8"/>
    </row>
    <row r="49" spans="1:23" x14ac:dyDescent="0.25">
      <c r="A49" s="18">
        <v>40849</v>
      </c>
      <c r="B49" s="3">
        <v>11</v>
      </c>
      <c r="C49" s="3">
        <v>42.99</v>
      </c>
      <c r="H49" s="16"/>
      <c r="I49" s="4"/>
      <c r="J49" s="16"/>
      <c r="K49" s="2"/>
      <c r="L49" s="2"/>
      <c r="O49" s="5"/>
      <c r="W49" s="8"/>
    </row>
    <row r="50" spans="1:23" x14ac:dyDescent="0.25">
      <c r="A50" s="18">
        <v>40849</v>
      </c>
      <c r="B50" s="3">
        <v>12</v>
      </c>
      <c r="C50" s="3">
        <v>43.44</v>
      </c>
    </row>
    <row r="51" spans="1:23" x14ac:dyDescent="0.25">
      <c r="A51" s="18">
        <v>40849</v>
      </c>
      <c r="B51" s="3">
        <v>13</v>
      </c>
      <c r="C51" s="3">
        <v>43.42</v>
      </c>
    </row>
    <row r="52" spans="1:23" x14ac:dyDescent="0.25">
      <c r="A52" s="18">
        <v>40849</v>
      </c>
      <c r="B52" s="3">
        <v>14</v>
      </c>
      <c r="C52" s="3">
        <v>43.29</v>
      </c>
      <c r="U52" s="19"/>
      <c r="V52" s="13"/>
    </row>
    <row r="53" spans="1:23" x14ac:dyDescent="0.25">
      <c r="A53" s="18">
        <v>40849</v>
      </c>
      <c r="B53" s="3">
        <v>15</v>
      </c>
      <c r="C53" s="3">
        <v>43.05</v>
      </c>
      <c r="U53" s="19"/>
      <c r="V53" s="13"/>
    </row>
    <row r="54" spans="1:23" x14ac:dyDescent="0.25">
      <c r="A54" s="18">
        <v>40849</v>
      </c>
      <c r="B54" s="3">
        <v>16</v>
      </c>
      <c r="C54" s="3">
        <v>45.18</v>
      </c>
      <c r="M54" s="19"/>
      <c r="N54" s="19"/>
      <c r="O54" s="19"/>
      <c r="P54" s="19"/>
      <c r="Q54" s="19"/>
      <c r="R54" s="19"/>
      <c r="U54" s="19"/>
      <c r="V54" s="13"/>
    </row>
    <row r="55" spans="1:23" x14ac:dyDescent="0.25">
      <c r="A55" s="18">
        <v>40849</v>
      </c>
      <c r="B55" s="3">
        <v>17</v>
      </c>
      <c r="C55" s="3">
        <v>45.67</v>
      </c>
      <c r="M55" s="20"/>
      <c r="N55" s="20"/>
      <c r="O55" s="20"/>
      <c r="P55" s="20"/>
      <c r="Q55" s="20"/>
      <c r="R55" s="20"/>
      <c r="U55" s="19"/>
      <c r="V55" s="13"/>
    </row>
    <row r="56" spans="1:23" x14ac:dyDescent="0.25">
      <c r="A56" s="18">
        <v>40849</v>
      </c>
      <c r="B56" s="3">
        <v>18</v>
      </c>
      <c r="C56" s="3">
        <v>45.32</v>
      </c>
      <c r="M56" s="20"/>
      <c r="N56" s="20"/>
      <c r="O56" s="20"/>
      <c r="P56" s="20"/>
      <c r="Q56" s="20"/>
      <c r="R56" s="20"/>
      <c r="U56" s="19"/>
      <c r="V56" s="13"/>
    </row>
    <row r="57" spans="1:23" x14ac:dyDescent="0.25">
      <c r="A57" s="18">
        <v>40849</v>
      </c>
      <c r="B57" s="3">
        <v>19</v>
      </c>
      <c r="C57" s="3">
        <v>42.93</v>
      </c>
      <c r="M57" s="20"/>
      <c r="N57" s="20"/>
      <c r="O57" s="20"/>
      <c r="P57" s="20"/>
      <c r="Q57" s="20"/>
      <c r="R57" s="20"/>
      <c r="U57" s="19"/>
      <c r="V57" s="13"/>
    </row>
    <row r="58" spans="1:23" x14ac:dyDescent="0.25">
      <c r="A58" s="18">
        <v>40849</v>
      </c>
      <c r="B58" s="3">
        <v>20</v>
      </c>
      <c r="C58" s="3">
        <v>41.35</v>
      </c>
      <c r="M58" s="20"/>
      <c r="N58" s="20"/>
      <c r="O58" s="20"/>
      <c r="P58" s="20"/>
      <c r="Q58" s="20"/>
      <c r="R58" s="20"/>
      <c r="U58" s="19"/>
      <c r="V58" s="13"/>
    </row>
    <row r="59" spans="1:23" x14ac:dyDescent="0.25">
      <c r="A59" s="18">
        <v>40849</v>
      </c>
      <c r="B59" s="3">
        <v>21</v>
      </c>
      <c r="C59" s="3">
        <v>40.32</v>
      </c>
      <c r="M59" s="20"/>
      <c r="N59" s="20"/>
      <c r="O59" s="20"/>
      <c r="P59" s="20"/>
      <c r="Q59" s="20"/>
      <c r="R59" s="20"/>
      <c r="U59" s="19"/>
      <c r="V59" s="13"/>
    </row>
    <row r="60" spans="1:23" x14ac:dyDescent="0.25">
      <c r="A60" s="18">
        <v>40849</v>
      </c>
      <c r="B60" s="3">
        <v>22</v>
      </c>
      <c r="C60" s="3">
        <v>39.29</v>
      </c>
      <c r="M60" s="20"/>
      <c r="N60" s="20"/>
      <c r="O60" s="20"/>
      <c r="P60" s="20"/>
      <c r="Q60" s="20"/>
      <c r="R60" s="20"/>
      <c r="U60" s="19"/>
      <c r="V60" s="13"/>
    </row>
    <row r="61" spans="1:23" x14ac:dyDescent="0.25">
      <c r="A61" s="18">
        <v>40849</v>
      </c>
      <c r="B61" s="3">
        <v>23</v>
      </c>
      <c r="C61" s="3">
        <v>37.700000000000003</v>
      </c>
      <c r="M61" s="20"/>
      <c r="N61" s="20"/>
      <c r="O61" s="20"/>
      <c r="P61" s="20"/>
      <c r="Q61" s="20"/>
      <c r="R61" s="20"/>
      <c r="U61" s="19"/>
      <c r="V61" s="13"/>
    </row>
    <row r="62" spans="1:23" x14ac:dyDescent="0.25">
      <c r="A62" s="18">
        <v>40850</v>
      </c>
      <c r="B62" s="3">
        <v>0</v>
      </c>
      <c r="C62" s="3">
        <v>36.14</v>
      </c>
      <c r="M62" s="20"/>
      <c r="N62" s="20"/>
      <c r="O62" s="20"/>
      <c r="P62" s="20"/>
      <c r="Q62" s="20"/>
      <c r="R62" s="20"/>
      <c r="U62" s="19"/>
      <c r="V62" s="13"/>
    </row>
    <row r="63" spans="1:23" x14ac:dyDescent="0.25">
      <c r="A63" s="18">
        <v>40850</v>
      </c>
      <c r="B63" s="3">
        <v>1</v>
      </c>
      <c r="C63" s="3">
        <v>35.14</v>
      </c>
      <c r="M63" s="20"/>
      <c r="N63" s="20"/>
      <c r="O63" s="20"/>
      <c r="P63" s="20"/>
      <c r="Q63" s="20"/>
      <c r="R63" s="20"/>
    </row>
    <row r="64" spans="1:23" x14ac:dyDescent="0.25">
      <c r="A64" s="18">
        <v>40850</v>
      </c>
      <c r="B64" s="3">
        <v>2</v>
      </c>
      <c r="C64" s="3">
        <v>35.01</v>
      </c>
      <c r="M64" s="20"/>
      <c r="N64" s="20"/>
      <c r="O64" s="20"/>
      <c r="P64" s="20"/>
      <c r="Q64" s="20"/>
      <c r="R64" s="20"/>
    </row>
    <row r="65" spans="1:18" x14ac:dyDescent="0.25">
      <c r="A65" s="18">
        <v>40850</v>
      </c>
      <c r="B65" s="3">
        <v>3</v>
      </c>
      <c r="C65" s="3">
        <v>35.18</v>
      </c>
      <c r="M65" s="20"/>
      <c r="N65" s="20"/>
      <c r="O65" s="20"/>
      <c r="P65" s="20"/>
      <c r="Q65" s="20"/>
      <c r="R65" s="20"/>
    </row>
    <row r="66" spans="1:18" x14ac:dyDescent="0.25">
      <c r="A66" s="18">
        <v>40850</v>
      </c>
      <c r="B66" s="3">
        <v>4</v>
      </c>
      <c r="C66" s="3">
        <v>36.21</v>
      </c>
    </row>
    <row r="67" spans="1:18" x14ac:dyDescent="0.25">
      <c r="A67" s="18">
        <v>40850</v>
      </c>
      <c r="B67" s="3">
        <v>5</v>
      </c>
      <c r="C67" s="3">
        <v>37.520000000000003</v>
      </c>
    </row>
    <row r="68" spans="1:18" x14ac:dyDescent="0.25">
      <c r="A68" s="18">
        <v>40850</v>
      </c>
      <c r="B68" s="3">
        <v>6</v>
      </c>
      <c r="C68" s="3">
        <v>39.64</v>
      </c>
    </row>
    <row r="69" spans="1:18" x14ac:dyDescent="0.25">
      <c r="A69" s="18">
        <v>40850</v>
      </c>
      <c r="B69" s="3">
        <v>7</v>
      </c>
      <c r="C69" s="3">
        <v>41.05</v>
      </c>
    </row>
    <row r="70" spans="1:18" x14ac:dyDescent="0.25">
      <c r="A70" s="18">
        <v>40850</v>
      </c>
      <c r="B70" s="3">
        <v>8</v>
      </c>
      <c r="C70" s="3">
        <v>42.65</v>
      </c>
    </row>
    <row r="71" spans="1:18" x14ac:dyDescent="0.25">
      <c r="A71" s="18">
        <v>40850</v>
      </c>
      <c r="B71" s="3">
        <v>9</v>
      </c>
      <c r="C71" s="3">
        <v>41.96</v>
      </c>
    </row>
    <row r="72" spans="1:18" x14ac:dyDescent="0.25">
      <c r="A72" s="18">
        <v>40850</v>
      </c>
      <c r="B72" s="3">
        <v>10</v>
      </c>
      <c r="C72" s="3">
        <v>41.72</v>
      </c>
    </row>
    <row r="73" spans="1:18" x14ac:dyDescent="0.25">
      <c r="A73" s="18">
        <v>40850</v>
      </c>
      <c r="B73" s="3">
        <v>11</v>
      </c>
      <c r="C73" s="3">
        <v>41.79</v>
      </c>
    </row>
    <row r="74" spans="1:18" x14ac:dyDescent="0.25">
      <c r="A74" s="18">
        <v>40850</v>
      </c>
      <c r="B74" s="3">
        <v>12</v>
      </c>
      <c r="C74" s="3">
        <v>41.7</v>
      </c>
    </row>
    <row r="75" spans="1:18" x14ac:dyDescent="0.25">
      <c r="A75" s="18">
        <v>40850</v>
      </c>
      <c r="B75" s="3">
        <v>13</v>
      </c>
      <c r="C75" s="3">
        <v>41.2</v>
      </c>
    </row>
    <row r="76" spans="1:18" x14ac:dyDescent="0.25">
      <c r="A76" s="18">
        <v>40850</v>
      </c>
      <c r="B76" s="3">
        <v>14</v>
      </c>
      <c r="C76" s="3">
        <v>41.63</v>
      </c>
    </row>
    <row r="77" spans="1:18" x14ac:dyDescent="0.25">
      <c r="A77" s="18">
        <v>40850</v>
      </c>
      <c r="B77" s="3">
        <v>15</v>
      </c>
      <c r="C77" s="3">
        <v>41.71</v>
      </c>
    </row>
    <row r="78" spans="1:18" x14ac:dyDescent="0.25">
      <c r="A78" s="18">
        <v>40850</v>
      </c>
      <c r="B78" s="3">
        <v>16</v>
      </c>
      <c r="C78" s="3">
        <v>43.27</v>
      </c>
    </row>
    <row r="79" spans="1:18" x14ac:dyDescent="0.25">
      <c r="A79" s="18">
        <v>40850</v>
      </c>
      <c r="B79" s="3">
        <v>17</v>
      </c>
      <c r="C79" s="3">
        <v>45.44</v>
      </c>
    </row>
    <row r="80" spans="1:18" x14ac:dyDescent="0.25">
      <c r="A80" s="18">
        <v>40850</v>
      </c>
      <c r="B80" s="3">
        <v>18</v>
      </c>
      <c r="C80" s="3">
        <v>44.11</v>
      </c>
    </row>
    <row r="81" spans="1:3" x14ac:dyDescent="0.25">
      <c r="A81" s="18">
        <v>40850</v>
      </c>
      <c r="B81" s="3">
        <v>19</v>
      </c>
      <c r="C81" s="3">
        <v>41.65</v>
      </c>
    </row>
    <row r="82" spans="1:3" x14ac:dyDescent="0.25">
      <c r="A82" s="18">
        <v>40850</v>
      </c>
      <c r="B82" s="3">
        <v>20</v>
      </c>
      <c r="C82" s="3">
        <v>40.01</v>
      </c>
    </row>
    <row r="83" spans="1:3" x14ac:dyDescent="0.25">
      <c r="A83" s="18">
        <v>40850</v>
      </c>
      <c r="B83" s="3">
        <v>21</v>
      </c>
      <c r="C83" s="3">
        <v>39.19</v>
      </c>
    </row>
    <row r="84" spans="1:3" x14ac:dyDescent="0.25">
      <c r="A84" s="18">
        <v>40850</v>
      </c>
      <c r="B84" s="3">
        <v>22</v>
      </c>
      <c r="C84" s="3">
        <v>37.9</v>
      </c>
    </row>
    <row r="85" spans="1:3" x14ac:dyDescent="0.25">
      <c r="A85" s="18">
        <v>40850</v>
      </c>
      <c r="B85" s="3">
        <v>23</v>
      </c>
      <c r="C85" s="3">
        <v>36.549999999999997</v>
      </c>
    </row>
    <row r="86" spans="1:3" x14ac:dyDescent="0.25">
      <c r="A86" s="18">
        <v>40851</v>
      </c>
      <c r="B86" s="3">
        <v>0</v>
      </c>
      <c r="C86" s="3">
        <v>36.24</v>
      </c>
    </row>
    <row r="87" spans="1:3" x14ac:dyDescent="0.25">
      <c r="A87" s="18">
        <v>40851</v>
      </c>
      <c r="B87" s="3">
        <v>1</v>
      </c>
      <c r="C87" s="3">
        <v>34.53</v>
      </c>
    </row>
    <row r="88" spans="1:3" x14ac:dyDescent="0.25">
      <c r="A88" s="18">
        <v>40851</v>
      </c>
      <c r="B88" s="3">
        <v>2</v>
      </c>
      <c r="C88" s="3">
        <v>33.840000000000003</v>
      </c>
    </row>
    <row r="89" spans="1:3" x14ac:dyDescent="0.25">
      <c r="A89" s="18">
        <v>40851</v>
      </c>
      <c r="B89" s="3">
        <v>3</v>
      </c>
      <c r="C89" s="3">
        <v>34.21</v>
      </c>
    </row>
    <row r="90" spans="1:3" x14ac:dyDescent="0.25">
      <c r="A90" s="18">
        <v>40851</v>
      </c>
      <c r="B90" s="3">
        <v>4</v>
      </c>
      <c r="C90" s="3">
        <v>35.72</v>
      </c>
    </row>
    <row r="91" spans="1:3" x14ac:dyDescent="0.25">
      <c r="A91" s="18">
        <v>40851</v>
      </c>
      <c r="B91" s="3">
        <v>5</v>
      </c>
      <c r="C91" s="3">
        <v>37.520000000000003</v>
      </c>
    </row>
    <row r="92" spans="1:3" x14ac:dyDescent="0.25">
      <c r="A92" s="18">
        <v>40851</v>
      </c>
      <c r="B92" s="3">
        <v>6</v>
      </c>
      <c r="C92" s="3">
        <v>39.74</v>
      </c>
    </row>
    <row r="93" spans="1:3" x14ac:dyDescent="0.25">
      <c r="A93" s="18">
        <v>40851</v>
      </c>
      <c r="B93" s="3">
        <v>7</v>
      </c>
      <c r="C93" s="3">
        <v>40.380000000000003</v>
      </c>
    </row>
    <row r="94" spans="1:3" x14ac:dyDescent="0.25">
      <c r="A94" s="18">
        <v>40851</v>
      </c>
      <c r="B94" s="3">
        <v>8</v>
      </c>
      <c r="C94" s="3">
        <v>41.43</v>
      </c>
    </row>
    <row r="95" spans="1:3" x14ac:dyDescent="0.25">
      <c r="A95" s="18">
        <v>40851</v>
      </c>
      <c r="B95" s="3">
        <v>9</v>
      </c>
      <c r="C95" s="3">
        <v>41.91</v>
      </c>
    </row>
    <row r="96" spans="1:3" x14ac:dyDescent="0.25">
      <c r="A96" s="18">
        <v>40851</v>
      </c>
      <c r="B96" s="3">
        <v>10</v>
      </c>
      <c r="C96" s="3">
        <v>41.29</v>
      </c>
    </row>
    <row r="97" spans="1:3" x14ac:dyDescent="0.25">
      <c r="A97" s="18">
        <v>40851</v>
      </c>
      <c r="B97" s="3">
        <v>11</v>
      </c>
      <c r="C97" s="3">
        <v>40.729999999999997</v>
      </c>
    </row>
    <row r="98" spans="1:3" x14ac:dyDescent="0.25">
      <c r="A98" s="18">
        <v>40851</v>
      </c>
      <c r="B98" s="3">
        <v>12</v>
      </c>
      <c r="C98" s="3">
        <v>40.369999999999997</v>
      </c>
    </row>
    <row r="99" spans="1:3" x14ac:dyDescent="0.25">
      <c r="A99" s="18">
        <v>40851</v>
      </c>
      <c r="B99" s="3">
        <v>13</v>
      </c>
      <c r="C99" s="3">
        <v>40.049999999999997</v>
      </c>
    </row>
    <row r="100" spans="1:3" x14ac:dyDescent="0.25">
      <c r="A100" s="18">
        <v>40851</v>
      </c>
      <c r="B100" s="3">
        <v>14</v>
      </c>
      <c r="C100" s="3">
        <v>39.72</v>
      </c>
    </row>
    <row r="101" spans="1:3" x14ac:dyDescent="0.25">
      <c r="A101" s="18">
        <v>40851</v>
      </c>
      <c r="B101" s="3">
        <v>15</v>
      </c>
      <c r="C101" s="3">
        <v>39.729999999999997</v>
      </c>
    </row>
    <row r="102" spans="1:3" x14ac:dyDescent="0.25">
      <c r="A102" s="18">
        <v>40851</v>
      </c>
      <c r="B102" s="3">
        <v>16</v>
      </c>
      <c r="C102" s="3">
        <v>40.630000000000003</v>
      </c>
    </row>
    <row r="103" spans="1:3" x14ac:dyDescent="0.25">
      <c r="A103" s="18">
        <v>40851</v>
      </c>
      <c r="B103" s="3">
        <v>17</v>
      </c>
      <c r="C103" s="3">
        <v>43.97</v>
      </c>
    </row>
    <row r="104" spans="1:3" x14ac:dyDescent="0.25">
      <c r="A104" s="18">
        <v>40851</v>
      </c>
      <c r="B104" s="3">
        <v>18</v>
      </c>
      <c r="C104" s="3">
        <v>42.98</v>
      </c>
    </row>
    <row r="105" spans="1:3" x14ac:dyDescent="0.25">
      <c r="A105" s="18">
        <v>40851</v>
      </c>
      <c r="B105" s="3">
        <v>19</v>
      </c>
      <c r="C105" s="3">
        <v>40.99</v>
      </c>
    </row>
    <row r="106" spans="1:3" x14ac:dyDescent="0.25">
      <c r="A106" s="18">
        <v>40851</v>
      </c>
      <c r="B106" s="3">
        <v>20</v>
      </c>
      <c r="C106" s="3">
        <v>39.64</v>
      </c>
    </row>
    <row r="107" spans="1:3" x14ac:dyDescent="0.25">
      <c r="A107" s="18">
        <v>40851</v>
      </c>
      <c r="B107" s="3">
        <v>21</v>
      </c>
      <c r="C107" s="3">
        <v>39.26</v>
      </c>
    </row>
    <row r="108" spans="1:3" x14ac:dyDescent="0.25">
      <c r="A108" s="18">
        <v>40851</v>
      </c>
      <c r="B108" s="3">
        <v>22</v>
      </c>
      <c r="C108" s="3">
        <v>38.21</v>
      </c>
    </row>
    <row r="109" spans="1:3" x14ac:dyDescent="0.25">
      <c r="A109" s="18">
        <v>40851</v>
      </c>
      <c r="B109" s="3">
        <v>23</v>
      </c>
      <c r="C109" s="3">
        <v>37.28</v>
      </c>
    </row>
    <row r="110" spans="1:3" x14ac:dyDescent="0.25">
      <c r="A110" s="18">
        <v>40852</v>
      </c>
      <c r="B110" s="3">
        <v>0</v>
      </c>
      <c r="C110" s="3">
        <v>38.729999999999997</v>
      </c>
    </row>
    <row r="111" spans="1:3" x14ac:dyDescent="0.25">
      <c r="A111" s="18">
        <v>40852</v>
      </c>
      <c r="B111" s="3">
        <v>1</v>
      </c>
      <c r="C111" s="3">
        <v>37.92</v>
      </c>
    </row>
    <row r="112" spans="1:3" x14ac:dyDescent="0.25">
      <c r="A112" s="18">
        <v>40852</v>
      </c>
      <c r="B112" s="3">
        <v>2</v>
      </c>
      <c r="C112" s="3">
        <v>37.89</v>
      </c>
    </row>
    <row r="113" spans="1:3" x14ac:dyDescent="0.25">
      <c r="A113" s="18">
        <v>40852</v>
      </c>
      <c r="B113" s="3">
        <v>3</v>
      </c>
      <c r="C113" s="3">
        <v>38.130000000000003</v>
      </c>
    </row>
    <row r="114" spans="1:3" x14ac:dyDescent="0.25">
      <c r="A114" s="18">
        <v>40852</v>
      </c>
      <c r="B114" s="3">
        <v>4</v>
      </c>
      <c r="C114" s="3">
        <v>37.520000000000003</v>
      </c>
    </row>
    <row r="115" spans="1:3" x14ac:dyDescent="0.25">
      <c r="A115" s="18">
        <v>40852</v>
      </c>
      <c r="B115" s="3">
        <v>5</v>
      </c>
      <c r="C115" s="3">
        <v>37.9</v>
      </c>
    </row>
    <row r="116" spans="1:3" x14ac:dyDescent="0.25">
      <c r="A116" s="18">
        <v>40852</v>
      </c>
      <c r="B116" s="3">
        <v>6</v>
      </c>
      <c r="C116" s="3">
        <v>39.57</v>
      </c>
    </row>
    <row r="117" spans="1:3" x14ac:dyDescent="0.25">
      <c r="A117" s="18">
        <v>40852</v>
      </c>
      <c r="B117" s="3">
        <v>7</v>
      </c>
      <c r="C117" s="3">
        <v>39.78</v>
      </c>
    </row>
    <row r="118" spans="1:3" x14ac:dyDescent="0.25">
      <c r="A118" s="18">
        <v>40852</v>
      </c>
      <c r="B118" s="3">
        <v>8</v>
      </c>
      <c r="C118" s="3">
        <v>39.93</v>
      </c>
    </row>
    <row r="119" spans="1:3" x14ac:dyDescent="0.25">
      <c r="A119" s="18">
        <v>40852</v>
      </c>
      <c r="B119" s="3">
        <v>9</v>
      </c>
      <c r="C119" s="3">
        <v>39.9</v>
      </c>
    </row>
    <row r="120" spans="1:3" x14ac:dyDescent="0.25">
      <c r="A120" s="18">
        <v>40852</v>
      </c>
      <c r="B120" s="3">
        <v>10</v>
      </c>
      <c r="C120" s="3">
        <v>40.06</v>
      </c>
    </row>
    <row r="121" spans="1:3" x14ac:dyDescent="0.25">
      <c r="A121" s="18">
        <v>40852</v>
      </c>
      <c r="B121" s="3">
        <v>11</v>
      </c>
      <c r="C121" s="3">
        <v>40.06</v>
      </c>
    </row>
    <row r="122" spans="1:3" x14ac:dyDescent="0.25">
      <c r="A122" s="18">
        <v>40852</v>
      </c>
      <c r="B122" s="3">
        <v>12</v>
      </c>
      <c r="C122" s="3">
        <v>39.99</v>
      </c>
    </row>
    <row r="123" spans="1:3" x14ac:dyDescent="0.25">
      <c r="A123" s="18">
        <v>40852</v>
      </c>
      <c r="B123" s="3">
        <v>13</v>
      </c>
      <c r="C123" s="3">
        <v>39.93</v>
      </c>
    </row>
    <row r="124" spans="1:3" x14ac:dyDescent="0.25">
      <c r="A124" s="18">
        <v>40852</v>
      </c>
      <c r="B124" s="3">
        <v>14</v>
      </c>
      <c r="C124" s="3">
        <v>39.770000000000003</v>
      </c>
    </row>
    <row r="125" spans="1:3" x14ac:dyDescent="0.25">
      <c r="A125" s="18">
        <v>40852</v>
      </c>
      <c r="B125" s="3">
        <v>15</v>
      </c>
      <c r="C125" s="3">
        <v>39.93</v>
      </c>
    </row>
    <row r="126" spans="1:3" x14ac:dyDescent="0.25">
      <c r="A126" s="18">
        <v>40852</v>
      </c>
      <c r="B126" s="3">
        <v>16</v>
      </c>
      <c r="C126" s="3">
        <v>41.12</v>
      </c>
    </row>
    <row r="127" spans="1:3" x14ac:dyDescent="0.25">
      <c r="A127" s="18">
        <v>40852</v>
      </c>
      <c r="B127" s="3">
        <v>17</v>
      </c>
      <c r="C127" s="3">
        <v>43.81</v>
      </c>
    </row>
    <row r="128" spans="1:3" x14ac:dyDescent="0.25">
      <c r="A128" s="18">
        <v>40852</v>
      </c>
      <c r="B128" s="3">
        <v>18</v>
      </c>
      <c r="C128" s="3">
        <v>43.94</v>
      </c>
    </row>
    <row r="129" spans="1:3" x14ac:dyDescent="0.25">
      <c r="A129" s="18">
        <v>40852</v>
      </c>
      <c r="B129" s="3">
        <v>19</v>
      </c>
      <c r="C129" s="3">
        <v>41.49</v>
      </c>
    </row>
    <row r="130" spans="1:3" x14ac:dyDescent="0.25">
      <c r="A130" s="18">
        <v>40852</v>
      </c>
      <c r="B130" s="3">
        <v>20</v>
      </c>
      <c r="C130" s="3">
        <v>40.299999999999997</v>
      </c>
    </row>
    <row r="131" spans="1:3" x14ac:dyDescent="0.25">
      <c r="A131" s="18">
        <v>40852</v>
      </c>
      <c r="B131" s="3">
        <v>21</v>
      </c>
      <c r="C131" s="3">
        <v>39.979999999999997</v>
      </c>
    </row>
    <row r="132" spans="1:3" x14ac:dyDescent="0.25">
      <c r="A132" s="18">
        <v>40852</v>
      </c>
      <c r="B132" s="3">
        <v>22</v>
      </c>
      <c r="C132" s="3">
        <v>39.659999999999997</v>
      </c>
    </row>
    <row r="133" spans="1:3" x14ac:dyDescent="0.25">
      <c r="A133" s="18">
        <v>40852</v>
      </c>
      <c r="B133" s="3">
        <v>23</v>
      </c>
      <c r="C133" s="3">
        <v>38.979999999999997</v>
      </c>
    </row>
    <row r="134" spans="1:3" x14ac:dyDescent="0.25">
      <c r="A134" s="18">
        <v>40853</v>
      </c>
      <c r="B134" s="3">
        <v>0</v>
      </c>
      <c r="C134" s="3">
        <v>38.96</v>
      </c>
    </row>
    <row r="135" spans="1:3" x14ac:dyDescent="0.25">
      <c r="A135" s="18">
        <v>40853</v>
      </c>
      <c r="B135" s="3">
        <v>1</v>
      </c>
      <c r="C135" s="3">
        <v>38.17</v>
      </c>
    </row>
    <row r="136" spans="1:3" x14ac:dyDescent="0.25">
      <c r="A136" s="18">
        <v>40853</v>
      </c>
      <c r="B136" s="3">
        <v>2</v>
      </c>
      <c r="C136" s="3">
        <v>37.81</v>
      </c>
    </row>
    <row r="137" spans="1:3" x14ac:dyDescent="0.25">
      <c r="A137" s="18">
        <v>40853</v>
      </c>
      <c r="B137" s="3">
        <v>3</v>
      </c>
      <c r="C137" s="3">
        <v>37.340000000000003</v>
      </c>
    </row>
    <row r="138" spans="1:3" x14ac:dyDescent="0.25">
      <c r="A138" s="18">
        <v>40853</v>
      </c>
      <c r="B138" s="3">
        <v>4</v>
      </c>
      <c r="C138" s="3">
        <v>37.35</v>
      </c>
    </row>
    <row r="139" spans="1:3" x14ac:dyDescent="0.25">
      <c r="A139" s="18">
        <v>40853</v>
      </c>
      <c r="B139" s="3">
        <v>5</v>
      </c>
      <c r="C139" s="3">
        <v>37.130000000000003</v>
      </c>
    </row>
    <row r="140" spans="1:3" x14ac:dyDescent="0.25">
      <c r="A140" s="18">
        <v>40853</v>
      </c>
      <c r="B140" s="3">
        <v>6</v>
      </c>
      <c r="C140" s="3">
        <v>37.9</v>
      </c>
    </row>
    <row r="141" spans="1:3" x14ac:dyDescent="0.25">
      <c r="A141" s="18">
        <v>40853</v>
      </c>
      <c r="B141" s="3">
        <v>7</v>
      </c>
      <c r="C141" s="3">
        <v>38.299999999999997</v>
      </c>
    </row>
    <row r="142" spans="1:3" x14ac:dyDescent="0.25">
      <c r="A142" s="18">
        <v>40853</v>
      </c>
      <c r="B142" s="3">
        <v>8</v>
      </c>
      <c r="C142" s="3">
        <v>39.18</v>
      </c>
    </row>
    <row r="143" spans="1:3" x14ac:dyDescent="0.25">
      <c r="A143" s="18">
        <v>40853</v>
      </c>
      <c r="B143" s="3">
        <v>9</v>
      </c>
      <c r="C143" s="3">
        <v>39.89</v>
      </c>
    </row>
    <row r="144" spans="1:3" x14ac:dyDescent="0.25">
      <c r="A144" s="18">
        <v>40853</v>
      </c>
      <c r="B144" s="3">
        <v>10</v>
      </c>
      <c r="C144" s="3">
        <v>40.33</v>
      </c>
    </row>
    <row r="145" spans="1:3" x14ac:dyDescent="0.25">
      <c r="A145" s="18">
        <v>40853</v>
      </c>
      <c r="B145" s="3">
        <v>11</v>
      </c>
      <c r="C145" s="3">
        <v>40.72</v>
      </c>
    </row>
    <row r="146" spans="1:3" x14ac:dyDescent="0.25">
      <c r="A146" s="18">
        <v>40853</v>
      </c>
      <c r="B146" s="3">
        <v>12</v>
      </c>
      <c r="C146" s="3">
        <v>40.78</v>
      </c>
    </row>
    <row r="147" spans="1:3" x14ac:dyDescent="0.25">
      <c r="A147" s="18">
        <v>40853</v>
      </c>
      <c r="B147" s="3">
        <v>13</v>
      </c>
      <c r="C147" s="3">
        <v>40.409999999999997</v>
      </c>
    </row>
    <row r="148" spans="1:3" x14ac:dyDescent="0.25">
      <c r="A148" s="18">
        <v>40853</v>
      </c>
      <c r="B148" s="3">
        <v>14</v>
      </c>
      <c r="C148" s="3">
        <v>40.29</v>
      </c>
    </row>
    <row r="149" spans="1:3" x14ac:dyDescent="0.25">
      <c r="A149" s="18">
        <v>40853</v>
      </c>
      <c r="B149" s="3">
        <v>15</v>
      </c>
      <c r="C149" s="3">
        <v>40.380000000000003</v>
      </c>
    </row>
    <row r="150" spans="1:3" x14ac:dyDescent="0.25">
      <c r="A150" s="18">
        <v>40853</v>
      </c>
      <c r="B150" s="3">
        <v>16</v>
      </c>
      <c r="C150" s="3">
        <v>42.3</v>
      </c>
    </row>
    <row r="151" spans="1:3" x14ac:dyDescent="0.25">
      <c r="A151" s="18">
        <v>40853</v>
      </c>
      <c r="B151" s="3">
        <v>17</v>
      </c>
      <c r="C151" s="3">
        <v>44.01</v>
      </c>
    </row>
    <row r="152" spans="1:3" x14ac:dyDescent="0.25">
      <c r="A152" s="18">
        <v>40853</v>
      </c>
      <c r="B152" s="3">
        <v>18</v>
      </c>
      <c r="C152" s="3">
        <v>43.91</v>
      </c>
    </row>
    <row r="153" spans="1:3" x14ac:dyDescent="0.25">
      <c r="A153" s="18">
        <v>40853</v>
      </c>
      <c r="B153" s="3">
        <v>19</v>
      </c>
      <c r="C153" s="3">
        <v>42.48</v>
      </c>
    </row>
    <row r="154" spans="1:3" x14ac:dyDescent="0.25">
      <c r="A154" s="18">
        <v>40853</v>
      </c>
      <c r="B154" s="3">
        <v>20</v>
      </c>
      <c r="C154" s="3">
        <v>41.38</v>
      </c>
    </row>
    <row r="155" spans="1:3" x14ac:dyDescent="0.25">
      <c r="A155" s="18">
        <v>40853</v>
      </c>
      <c r="B155" s="3">
        <v>21</v>
      </c>
      <c r="C155" s="3">
        <v>41.02</v>
      </c>
    </row>
    <row r="156" spans="1:3" x14ac:dyDescent="0.25">
      <c r="A156" s="18">
        <v>40853</v>
      </c>
      <c r="B156" s="3">
        <v>22</v>
      </c>
      <c r="C156" s="3">
        <v>40.04</v>
      </c>
    </row>
    <row r="157" spans="1:3" x14ac:dyDescent="0.25">
      <c r="A157" s="18">
        <v>40853</v>
      </c>
      <c r="B157" s="3">
        <v>23</v>
      </c>
      <c r="C157" s="3">
        <v>39.08</v>
      </c>
    </row>
    <row r="158" spans="1:3" x14ac:dyDescent="0.25">
      <c r="A158" s="18">
        <v>40854</v>
      </c>
      <c r="B158" s="3">
        <v>0</v>
      </c>
      <c r="C158" s="3">
        <v>38.11</v>
      </c>
    </row>
    <row r="159" spans="1:3" x14ac:dyDescent="0.25">
      <c r="A159" s="18">
        <v>40854</v>
      </c>
      <c r="B159" s="3">
        <v>1</v>
      </c>
      <c r="C159" s="3">
        <v>37.11</v>
      </c>
    </row>
    <row r="160" spans="1:3" x14ac:dyDescent="0.25">
      <c r="A160" s="18">
        <v>40854</v>
      </c>
      <c r="B160" s="3">
        <v>2</v>
      </c>
      <c r="C160" s="3">
        <v>35.409999999999997</v>
      </c>
    </row>
    <row r="161" spans="1:3" x14ac:dyDescent="0.25">
      <c r="A161" s="18">
        <v>40854</v>
      </c>
      <c r="B161" s="3">
        <v>3</v>
      </c>
      <c r="C161" s="3">
        <v>34.99</v>
      </c>
    </row>
    <row r="162" spans="1:3" x14ac:dyDescent="0.25">
      <c r="A162" s="18">
        <v>40854</v>
      </c>
      <c r="B162" s="3">
        <v>4</v>
      </c>
      <c r="C162" s="3">
        <v>37.229999999999997</v>
      </c>
    </row>
    <row r="163" spans="1:3" x14ac:dyDescent="0.25">
      <c r="A163" s="18">
        <v>40854</v>
      </c>
      <c r="B163" s="3">
        <v>5</v>
      </c>
      <c r="C163" s="3">
        <v>38.979999999999997</v>
      </c>
    </row>
    <row r="164" spans="1:3" x14ac:dyDescent="0.25">
      <c r="A164" s="18">
        <v>40854</v>
      </c>
      <c r="B164" s="3">
        <v>6</v>
      </c>
      <c r="C164" s="3">
        <v>42.71</v>
      </c>
    </row>
    <row r="165" spans="1:3" x14ac:dyDescent="0.25">
      <c r="A165" s="18">
        <v>40854</v>
      </c>
      <c r="B165" s="3">
        <v>7</v>
      </c>
      <c r="C165" s="3">
        <v>46.6</v>
      </c>
    </row>
    <row r="166" spans="1:3" x14ac:dyDescent="0.25">
      <c r="A166" s="18">
        <v>40854</v>
      </c>
      <c r="B166" s="3">
        <v>8</v>
      </c>
      <c r="C166" s="3">
        <v>45.78</v>
      </c>
    </row>
    <row r="167" spans="1:3" x14ac:dyDescent="0.25">
      <c r="A167" s="18">
        <v>40854</v>
      </c>
      <c r="B167" s="3">
        <v>9</v>
      </c>
      <c r="C167" s="3">
        <v>45.47</v>
      </c>
    </row>
    <row r="168" spans="1:3" x14ac:dyDescent="0.25">
      <c r="A168" s="18">
        <v>40854</v>
      </c>
      <c r="B168" s="3">
        <v>10</v>
      </c>
      <c r="C168" s="3">
        <v>45.45</v>
      </c>
    </row>
    <row r="169" spans="1:3" x14ac:dyDescent="0.25">
      <c r="A169" s="18">
        <v>40854</v>
      </c>
      <c r="B169" s="3">
        <v>11</v>
      </c>
      <c r="C169" s="3">
        <v>46.05</v>
      </c>
    </row>
    <row r="170" spans="1:3" x14ac:dyDescent="0.25">
      <c r="A170" s="18">
        <v>40854</v>
      </c>
      <c r="B170" s="3">
        <v>12</v>
      </c>
      <c r="C170" s="3">
        <v>46.07</v>
      </c>
    </row>
    <row r="171" spans="1:3" x14ac:dyDescent="0.25">
      <c r="A171" s="18">
        <v>40854</v>
      </c>
      <c r="B171" s="3">
        <v>13</v>
      </c>
      <c r="C171" s="3">
        <v>45.6</v>
      </c>
    </row>
    <row r="172" spans="1:3" x14ac:dyDescent="0.25">
      <c r="A172" s="18">
        <v>40854</v>
      </c>
      <c r="B172" s="3">
        <v>14</v>
      </c>
      <c r="C172" s="3">
        <v>45.68</v>
      </c>
    </row>
    <row r="173" spans="1:3" x14ac:dyDescent="0.25">
      <c r="A173" s="18">
        <v>40854</v>
      </c>
      <c r="B173" s="3">
        <v>15</v>
      </c>
      <c r="C173" s="3">
        <v>45.83</v>
      </c>
    </row>
    <row r="174" spans="1:3" x14ac:dyDescent="0.25">
      <c r="A174" s="18">
        <v>40854</v>
      </c>
      <c r="B174" s="3">
        <v>16</v>
      </c>
      <c r="C174" s="3">
        <v>47.23</v>
      </c>
    </row>
    <row r="175" spans="1:3" x14ac:dyDescent="0.25">
      <c r="A175" s="18">
        <v>40854</v>
      </c>
      <c r="B175" s="3">
        <v>17</v>
      </c>
      <c r="C175" s="3">
        <v>48.63</v>
      </c>
    </row>
    <row r="176" spans="1:3" x14ac:dyDescent="0.25">
      <c r="A176" s="18">
        <v>40854</v>
      </c>
      <c r="B176" s="3">
        <v>18</v>
      </c>
      <c r="C176" s="3">
        <v>48.76</v>
      </c>
    </row>
    <row r="177" spans="1:3" x14ac:dyDescent="0.25">
      <c r="A177" s="18">
        <v>40854</v>
      </c>
      <c r="B177" s="3">
        <v>19</v>
      </c>
      <c r="C177" s="3">
        <v>45.45</v>
      </c>
    </row>
    <row r="178" spans="1:3" x14ac:dyDescent="0.25">
      <c r="A178" s="18">
        <v>40854</v>
      </c>
      <c r="B178" s="3">
        <v>20</v>
      </c>
      <c r="C178" s="3">
        <v>42</v>
      </c>
    </row>
    <row r="179" spans="1:3" x14ac:dyDescent="0.25">
      <c r="A179" s="18">
        <v>40854</v>
      </c>
      <c r="B179" s="3">
        <v>21</v>
      </c>
      <c r="C179" s="3">
        <v>40.96</v>
      </c>
    </row>
    <row r="180" spans="1:3" x14ac:dyDescent="0.25">
      <c r="A180" s="18">
        <v>40854</v>
      </c>
      <c r="B180" s="3">
        <v>22</v>
      </c>
      <c r="C180" s="3">
        <v>40.47</v>
      </c>
    </row>
    <row r="181" spans="1:3" x14ac:dyDescent="0.25">
      <c r="A181" s="18">
        <v>40854</v>
      </c>
      <c r="B181" s="3">
        <v>23</v>
      </c>
      <c r="C181" s="3">
        <v>39.11</v>
      </c>
    </row>
    <row r="182" spans="1:3" x14ac:dyDescent="0.25">
      <c r="A182" s="18">
        <v>40855</v>
      </c>
      <c r="B182" s="3">
        <v>0</v>
      </c>
      <c r="C182" s="3">
        <v>38.9</v>
      </c>
    </row>
    <row r="183" spans="1:3" x14ac:dyDescent="0.25">
      <c r="A183" s="18">
        <v>40855</v>
      </c>
      <c r="B183" s="3">
        <v>1</v>
      </c>
      <c r="C183" s="3">
        <v>38.409999999999997</v>
      </c>
    </row>
    <row r="184" spans="1:3" x14ac:dyDescent="0.25">
      <c r="A184" s="18">
        <v>40855</v>
      </c>
      <c r="B184" s="3">
        <v>2</v>
      </c>
      <c r="C184" s="3">
        <v>38.67</v>
      </c>
    </row>
    <row r="185" spans="1:3" x14ac:dyDescent="0.25">
      <c r="A185" s="18">
        <v>40855</v>
      </c>
      <c r="B185" s="3">
        <v>3</v>
      </c>
      <c r="C185" s="3">
        <v>38.15</v>
      </c>
    </row>
    <row r="186" spans="1:3" x14ac:dyDescent="0.25">
      <c r="A186" s="18">
        <v>40855</v>
      </c>
      <c r="B186" s="3">
        <v>4</v>
      </c>
      <c r="C186" s="3">
        <v>38.85</v>
      </c>
    </row>
    <row r="187" spans="1:3" x14ac:dyDescent="0.25">
      <c r="A187" s="18">
        <v>40855</v>
      </c>
      <c r="B187" s="3">
        <v>5</v>
      </c>
      <c r="C187" s="3">
        <v>40.46</v>
      </c>
    </row>
    <row r="188" spans="1:3" x14ac:dyDescent="0.25">
      <c r="A188" s="18">
        <v>40855</v>
      </c>
      <c r="B188" s="3">
        <v>6</v>
      </c>
      <c r="C188" s="3">
        <v>43.21</v>
      </c>
    </row>
    <row r="189" spans="1:3" x14ac:dyDescent="0.25">
      <c r="A189" s="18">
        <v>40855</v>
      </c>
      <c r="B189" s="3">
        <v>7</v>
      </c>
      <c r="C189" s="3">
        <v>46.87</v>
      </c>
    </row>
    <row r="190" spans="1:3" x14ac:dyDescent="0.25">
      <c r="A190" s="18">
        <v>40855</v>
      </c>
      <c r="B190" s="3">
        <v>8</v>
      </c>
      <c r="C190" s="3">
        <v>46.6</v>
      </c>
    </row>
    <row r="191" spans="1:3" x14ac:dyDescent="0.25">
      <c r="A191" s="18">
        <v>40855</v>
      </c>
      <c r="B191" s="3">
        <v>9</v>
      </c>
      <c r="C191" s="3">
        <v>45.75</v>
      </c>
    </row>
    <row r="192" spans="1:3" x14ac:dyDescent="0.25">
      <c r="A192" s="18">
        <v>40855</v>
      </c>
      <c r="B192" s="3">
        <v>10</v>
      </c>
      <c r="C192" s="3">
        <v>45.42</v>
      </c>
    </row>
    <row r="193" spans="1:3" x14ac:dyDescent="0.25">
      <c r="A193" s="18">
        <v>40855</v>
      </c>
      <c r="B193" s="3">
        <v>11</v>
      </c>
      <c r="C193" s="3">
        <v>45.46</v>
      </c>
    </row>
    <row r="194" spans="1:3" x14ac:dyDescent="0.25">
      <c r="A194" s="18">
        <v>40855</v>
      </c>
      <c r="B194" s="3">
        <v>12</v>
      </c>
      <c r="C194" s="3">
        <v>45.41</v>
      </c>
    </row>
    <row r="195" spans="1:3" x14ac:dyDescent="0.25">
      <c r="A195" s="18">
        <v>40855</v>
      </c>
      <c r="B195" s="3">
        <v>13</v>
      </c>
      <c r="C195" s="3">
        <v>44.48</v>
      </c>
    </row>
    <row r="196" spans="1:3" x14ac:dyDescent="0.25">
      <c r="A196" s="18">
        <v>40855</v>
      </c>
      <c r="B196" s="3">
        <v>14</v>
      </c>
      <c r="C196" s="3">
        <v>44</v>
      </c>
    </row>
    <row r="197" spans="1:3" x14ac:dyDescent="0.25">
      <c r="A197" s="18">
        <v>40855</v>
      </c>
      <c r="B197" s="3">
        <v>15</v>
      </c>
      <c r="C197" s="3">
        <v>44.61</v>
      </c>
    </row>
    <row r="198" spans="1:3" x14ac:dyDescent="0.25">
      <c r="A198" s="18">
        <v>40855</v>
      </c>
      <c r="B198" s="3">
        <v>16</v>
      </c>
      <c r="C198" s="3">
        <v>48.46</v>
      </c>
    </row>
    <row r="199" spans="1:3" x14ac:dyDescent="0.25">
      <c r="A199" s="18">
        <v>40855</v>
      </c>
      <c r="B199" s="3">
        <v>17</v>
      </c>
      <c r="C199" s="3">
        <v>53.86</v>
      </c>
    </row>
    <row r="200" spans="1:3" x14ac:dyDescent="0.25">
      <c r="A200" s="18">
        <v>40855</v>
      </c>
      <c r="B200" s="3">
        <v>18</v>
      </c>
      <c r="C200" s="3">
        <v>50.77</v>
      </c>
    </row>
    <row r="201" spans="1:3" x14ac:dyDescent="0.25">
      <c r="A201" s="18">
        <v>40855</v>
      </c>
      <c r="B201" s="3">
        <v>19</v>
      </c>
      <c r="C201" s="3">
        <v>46.98</v>
      </c>
    </row>
    <row r="202" spans="1:3" x14ac:dyDescent="0.25">
      <c r="A202" s="18">
        <v>40855</v>
      </c>
      <c r="B202" s="3">
        <v>20</v>
      </c>
      <c r="C202" s="3">
        <v>43.56</v>
      </c>
    </row>
    <row r="203" spans="1:3" x14ac:dyDescent="0.25">
      <c r="A203" s="18">
        <v>40855</v>
      </c>
      <c r="B203" s="3">
        <v>21</v>
      </c>
      <c r="C203" s="3">
        <v>42.27</v>
      </c>
    </row>
    <row r="204" spans="1:3" x14ac:dyDescent="0.25">
      <c r="A204" s="18">
        <v>40855</v>
      </c>
      <c r="B204" s="3">
        <v>22</v>
      </c>
      <c r="C204" s="3">
        <v>41.05</v>
      </c>
    </row>
    <row r="205" spans="1:3" x14ac:dyDescent="0.25">
      <c r="A205" s="18">
        <v>40855</v>
      </c>
      <c r="B205" s="3">
        <v>23</v>
      </c>
      <c r="C205" s="3">
        <v>39.700000000000003</v>
      </c>
    </row>
    <row r="206" spans="1:3" x14ac:dyDescent="0.25">
      <c r="A206" s="18">
        <v>40856</v>
      </c>
      <c r="B206" s="3">
        <v>0</v>
      </c>
      <c r="C206" s="3">
        <v>39.74</v>
      </c>
    </row>
    <row r="207" spans="1:3" x14ac:dyDescent="0.25">
      <c r="A207" s="18">
        <v>40856</v>
      </c>
      <c r="B207" s="3">
        <v>1</v>
      </c>
      <c r="C207" s="3">
        <v>38.86</v>
      </c>
    </row>
    <row r="208" spans="1:3" x14ac:dyDescent="0.25">
      <c r="A208" s="18">
        <v>40856</v>
      </c>
      <c r="B208" s="3">
        <v>2</v>
      </c>
      <c r="C208" s="3">
        <v>38.950000000000003</v>
      </c>
    </row>
    <row r="209" spans="1:3" x14ac:dyDescent="0.25">
      <c r="A209" s="18">
        <v>40856</v>
      </c>
      <c r="B209" s="3">
        <v>3</v>
      </c>
      <c r="C209" s="3">
        <v>39.26</v>
      </c>
    </row>
    <row r="210" spans="1:3" x14ac:dyDescent="0.25">
      <c r="A210" s="18">
        <v>40856</v>
      </c>
      <c r="B210" s="3">
        <v>4</v>
      </c>
      <c r="C210" s="3">
        <v>39.909999999999997</v>
      </c>
    </row>
    <row r="211" spans="1:3" x14ac:dyDescent="0.25">
      <c r="A211" s="18">
        <v>40856</v>
      </c>
      <c r="B211" s="3">
        <v>5</v>
      </c>
      <c r="C211" s="3">
        <v>41.34</v>
      </c>
    </row>
    <row r="212" spans="1:3" x14ac:dyDescent="0.25">
      <c r="A212" s="18">
        <v>40856</v>
      </c>
      <c r="B212" s="3">
        <v>6</v>
      </c>
      <c r="C212" s="3">
        <v>44.54</v>
      </c>
    </row>
    <row r="213" spans="1:3" x14ac:dyDescent="0.25">
      <c r="A213" s="18">
        <v>40856</v>
      </c>
      <c r="B213" s="3">
        <v>7</v>
      </c>
      <c r="C213" s="3">
        <v>47.5</v>
      </c>
    </row>
    <row r="214" spans="1:3" x14ac:dyDescent="0.25">
      <c r="A214" s="18">
        <v>40856</v>
      </c>
      <c r="B214" s="3">
        <v>8</v>
      </c>
      <c r="C214" s="3">
        <v>47.36</v>
      </c>
    </row>
    <row r="215" spans="1:3" x14ac:dyDescent="0.25">
      <c r="A215" s="18">
        <v>40856</v>
      </c>
      <c r="B215" s="3">
        <v>9</v>
      </c>
      <c r="C215" s="3">
        <v>47.18</v>
      </c>
    </row>
    <row r="216" spans="1:3" x14ac:dyDescent="0.25">
      <c r="A216" s="18">
        <v>40856</v>
      </c>
      <c r="B216" s="3">
        <v>10</v>
      </c>
      <c r="C216" s="3">
        <v>46.33</v>
      </c>
    </row>
    <row r="217" spans="1:3" x14ac:dyDescent="0.25">
      <c r="A217" s="18">
        <v>40856</v>
      </c>
      <c r="B217" s="3">
        <v>11</v>
      </c>
      <c r="C217" s="3">
        <v>46.3</v>
      </c>
    </row>
    <row r="218" spans="1:3" x14ac:dyDescent="0.25">
      <c r="A218" s="18">
        <v>40856</v>
      </c>
      <c r="B218" s="3">
        <v>12</v>
      </c>
      <c r="C218" s="3">
        <v>46.05</v>
      </c>
    </row>
    <row r="219" spans="1:3" x14ac:dyDescent="0.25">
      <c r="A219" s="18">
        <v>40856</v>
      </c>
      <c r="B219" s="3">
        <v>13</v>
      </c>
      <c r="C219" s="3">
        <v>45.98</v>
      </c>
    </row>
    <row r="220" spans="1:3" x14ac:dyDescent="0.25">
      <c r="A220" s="18">
        <v>40856</v>
      </c>
      <c r="B220" s="3">
        <v>14</v>
      </c>
      <c r="C220" s="3">
        <v>45.24</v>
      </c>
    </row>
    <row r="221" spans="1:3" x14ac:dyDescent="0.25">
      <c r="A221" s="18">
        <v>40856</v>
      </c>
      <c r="B221" s="3">
        <v>15</v>
      </c>
      <c r="C221" s="3">
        <v>45.91</v>
      </c>
    </row>
    <row r="222" spans="1:3" x14ac:dyDescent="0.25">
      <c r="A222" s="18">
        <v>40856</v>
      </c>
      <c r="B222" s="3">
        <v>16</v>
      </c>
      <c r="C222" s="3">
        <v>49.39</v>
      </c>
    </row>
    <row r="223" spans="1:3" x14ac:dyDescent="0.25">
      <c r="A223" s="18">
        <v>40856</v>
      </c>
      <c r="B223" s="3">
        <v>17</v>
      </c>
      <c r="C223" s="3">
        <v>50.22</v>
      </c>
    </row>
    <row r="224" spans="1:3" x14ac:dyDescent="0.25">
      <c r="A224" s="18">
        <v>40856</v>
      </c>
      <c r="B224" s="3">
        <v>18</v>
      </c>
      <c r="C224" s="3">
        <v>47.32</v>
      </c>
    </row>
    <row r="225" spans="1:3" x14ac:dyDescent="0.25">
      <c r="A225" s="18">
        <v>40856</v>
      </c>
      <c r="B225" s="3">
        <v>19</v>
      </c>
      <c r="C225" s="3">
        <v>45.96</v>
      </c>
    </row>
    <row r="226" spans="1:3" x14ac:dyDescent="0.25">
      <c r="A226" s="18">
        <v>40856</v>
      </c>
      <c r="B226" s="3">
        <v>20</v>
      </c>
      <c r="C226" s="3">
        <v>44.51</v>
      </c>
    </row>
    <row r="227" spans="1:3" x14ac:dyDescent="0.25">
      <c r="A227" s="18">
        <v>40856</v>
      </c>
      <c r="B227" s="3">
        <v>21</v>
      </c>
      <c r="C227" s="3">
        <v>43.25</v>
      </c>
    </row>
    <row r="228" spans="1:3" x14ac:dyDescent="0.25">
      <c r="A228" s="18">
        <v>40856</v>
      </c>
      <c r="B228" s="3">
        <v>22</v>
      </c>
      <c r="C228" s="3">
        <v>42.5</v>
      </c>
    </row>
    <row r="229" spans="1:3" x14ac:dyDescent="0.25">
      <c r="A229" s="18">
        <v>40856</v>
      </c>
      <c r="B229" s="3">
        <v>23</v>
      </c>
      <c r="C229" s="3">
        <v>40.380000000000003</v>
      </c>
    </row>
    <row r="230" spans="1:3" x14ac:dyDescent="0.25">
      <c r="A230" s="18">
        <v>40857</v>
      </c>
      <c r="B230" s="3">
        <v>0</v>
      </c>
      <c r="C230" s="3">
        <v>40.630000000000003</v>
      </c>
    </row>
    <row r="231" spans="1:3" x14ac:dyDescent="0.25">
      <c r="A231" s="18">
        <v>40857</v>
      </c>
      <c r="B231" s="3">
        <v>1</v>
      </c>
      <c r="C231" s="3">
        <v>39.76</v>
      </c>
    </row>
    <row r="232" spans="1:3" x14ac:dyDescent="0.25">
      <c r="A232" s="18">
        <v>40857</v>
      </c>
      <c r="B232" s="3">
        <v>2</v>
      </c>
      <c r="C232" s="3">
        <v>39.840000000000003</v>
      </c>
    </row>
    <row r="233" spans="1:3" x14ac:dyDescent="0.25">
      <c r="A233" s="18">
        <v>40857</v>
      </c>
      <c r="B233" s="3">
        <v>3</v>
      </c>
      <c r="C233" s="3">
        <v>39.93</v>
      </c>
    </row>
    <row r="234" spans="1:3" x14ac:dyDescent="0.25">
      <c r="A234" s="18">
        <v>40857</v>
      </c>
      <c r="B234" s="3">
        <v>4</v>
      </c>
      <c r="C234" s="3">
        <v>41.02</v>
      </c>
    </row>
    <row r="235" spans="1:3" x14ac:dyDescent="0.25">
      <c r="A235" s="18">
        <v>40857</v>
      </c>
      <c r="B235" s="3">
        <v>5</v>
      </c>
      <c r="C235" s="3">
        <v>42.75</v>
      </c>
    </row>
    <row r="236" spans="1:3" x14ac:dyDescent="0.25">
      <c r="A236" s="18">
        <v>40857</v>
      </c>
      <c r="B236" s="3">
        <v>6</v>
      </c>
      <c r="C236" s="3">
        <v>44.91</v>
      </c>
    </row>
    <row r="237" spans="1:3" x14ac:dyDescent="0.25">
      <c r="A237" s="18">
        <v>40857</v>
      </c>
      <c r="B237" s="3">
        <v>7</v>
      </c>
      <c r="C237" s="3">
        <v>46.71</v>
      </c>
    </row>
    <row r="238" spans="1:3" x14ac:dyDescent="0.25">
      <c r="A238" s="18">
        <v>40857</v>
      </c>
      <c r="B238" s="3">
        <v>8</v>
      </c>
      <c r="C238" s="3">
        <v>48.69</v>
      </c>
    </row>
    <row r="239" spans="1:3" x14ac:dyDescent="0.25">
      <c r="A239" s="18">
        <v>40857</v>
      </c>
      <c r="B239" s="3">
        <v>9</v>
      </c>
      <c r="C239" s="3">
        <v>46.97</v>
      </c>
    </row>
    <row r="240" spans="1:3" x14ac:dyDescent="0.25">
      <c r="A240" s="18">
        <v>40857</v>
      </c>
      <c r="B240" s="3">
        <v>10</v>
      </c>
      <c r="C240" s="3">
        <v>46.2</v>
      </c>
    </row>
    <row r="241" spans="1:3" x14ac:dyDescent="0.25">
      <c r="A241" s="18">
        <v>40857</v>
      </c>
      <c r="B241" s="3">
        <v>11</v>
      </c>
      <c r="C241" s="3">
        <v>46.19</v>
      </c>
    </row>
    <row r="242" spans="1:3" x14ac:dyDescent="0.25">
      <c r="A242" s="18">
        <v>40857</v>
      </c>
      <c r="B242" s="3">
        <v>12</v>
      </c>
      <c r="C242" s="3">
        <v>46.12</v>
      </c>
    </row>
    <row r="243" spans="1:3" x14ac:dyDescent="0.25">
      <c r="A243" s="18">
        <v>40857</v>
      </c>
      <c r="B243" s="3">
        <v>13</v>
      </c>
      <c r="C243" s="3">
        <v>45</v>
      </c>
    </row>
    <row r="244" spans="1:3" x14ac:dyDescent="0.25">
      <c r="A244" s="18">
        <v>40857</v>
      </c>
      <c r="B244" s="3">
        <v>14</v>
      </c>
      <c r="C244" s="3">
        <v>44.9</v>
      </c>
    </row>
    <row r="245" spans="1:3" x14ac:dyDescent="0.25">
      <c r="A245" s="18">
        <v>40857</v>
      </c>
      <c r="B245" s="3">
        <v>15</v>
      </c>
      <c r="C245" s="3">
        <v>44.99</v>
      </c>
    </row>
    <row r="246" spans="1:3" x14ac:dyDescent="0.25">
      <c r="A246" s="18">
        <v>40857</v>
      </c>
      <c r="B246" s="3">
        <v>16</v>
      </c>
      <c r="C246" s="3">
        <v>48.49</v>
      </c>
    </row>
    <row r="247" spans="1:3" x14ac:dyDescent="0.25">
      <c r="A247" s="18">
        <v>40857</v>
      </c>
      <c r="B247" s="3">
        <v>17</v>
      </c>
      <c r="C247" s="3">
        <v>50.61</v>
      </c>
    </row>
    <row r="248" spans="1:3" x14ac:dyDescent="0.25">
      <c r="A248" s="18">
        <v>40857</v>
      </c>
      <c r="B248" s="3">
        <v>18</v>
      </c>
      <c r="C248" s="3">
        <v>48.23</v>
      </c>
    </row>
    <row r="249" spans="1:3" x14ac:dyDescent="0.25">
      <c r="A249" s="18">
        <v>40857</v>
      </c>
      <c r="B249" s="3">
        <v>19</v>
      </c>
      <c r="C249" s="3">
        <v>45.04</v>
      </c>
    </row>
    <row r="250" spans="1:3" x14ac:dyDescent="0.25">
      <c r="A250" s="18">
        <v>40857</v>
      </c>
      <c r="B250" s="3">
        <v>20</v>
      </c>
      <c r="C250" s="3">
        <v>44.18</v>
      </c>
    </row>
    <row r="251" spans="1:3" x14ac:dyDescent="0.25">
      <c r="A251" s="18">
        <v>40857</v>
      </c>
      <c r="B251" s="3">
        <v>21</v>
      </c>
      <c r="C251" s="3">
        <v>43.03</v>
      </c>
    </row>
    <row r="252" spans="1:3" x14ac:dyDescent="0.25">
      <c r="A252" s="18">
        <v>40857</v>
      </c>
      <c r="B252" s="3">
        <v>22</v>
      </c>
      <c r="C252" s="3">
        <v>41.86</v>
      </c>
    </row>
    <row r="253" spans="1:3" x14ac:dyDescent="0.25">
      <c r="A253" s="18">
        <v>40857</v>
      </c>
      <c r="B253" s="3">
        <v>23</v>
      </c>
      <c r="C253" s="3">
        <v>40.619999999999997</v>
      </c>
    </row>
    <row r="254" spans="1:3" x14ac:dyDescent="0.25">
      <c r="A254" s="18">
        <v>40858</v>
      </c>
      <c r="B254" s="3">
        <v>0</v>
      </c>
      <c r="C254" s="3">
        <v>40.619999999999997</v>
      </c>
    </row>
    <row r="255" spans="1:3" x14ac:dyDescent="0.25">
      <c r="A255" s="18">
        <v>40858</v>
      </c>
      <c r="B255" s="3">
        <v>1</v>
      </c>
      <c r="C255" s="3">
        <v>39.700000000000003</v>
      </c>
    </row>
    <row r="256" spans="1:3" x14ac:dyDescent="0.25">
      <c r="A256" s="18">
        <v>40858</v>
      </c>
      <c r="B256" s="3">
        <v>2</v>
      </c>
      <c r="C256" s="3">
        <v>39.619999999999997</v>
      </c>
    </row>
    <row r="257" spans="1:3" x14ac:dyDescent="0.25">
      <c r="A257" s="18">
        <v>40858</v>
      </c>
      <c r="B257" s="3">
        <v>3</v>
      </c>
      <c r="C257" s="3">
        <v>39.799999999999997</v>
      </c>
    </row>
    <row r="258" spans="1:3" x14ac:dyDescent="0.25">
      <c r="A258" s="18">
        <v>40858</v>
      </c>
      <c r="B258" s="3">
        <v>4</v>
      </c>
      <c r="C258" s="3">
        <v>39.47</v>
      </c>
    </row>
    <row r="259" spans="1:3" x14ac:dyDescent="0.25">
      <c r="A259" s="18">
        <v>40858</v>
      </c>
      <c r="B259" s="3">
        <v>5</v>
      </c>
      <c r="C259" s="3">
        <v>41.04</v>
      </c>
    </row>
    <row r="260" spans="1:3" x14ac:dyDescent="0.25">
      <c r="A260" s="18">
        <v>40858</v>
      </c>
      <c r="B260" s="3">
        <v>6</v>
      </c>
      <c r="C260" s="3">
        <v>44.1</v>
      </c>
    </row>
    <row r="261" spans="1:3" x14ac:dyDescent="0.25">
      <c r="A261" s="18">
        <v>40858</v>
      </c>
      <c r="B261" s="3">
        <v>7</v>
      </c>
      <c r="C261" s="3">
        <v>46.92</v>
      </c>
    </row>
    <row r="262" spans="1:3" x14ac:dyDescent="0.25">
      <c r="A262" s="18">
        <v>40858</v>
      </c>
      <c r="B262" s="3">
        <v>8</v>
      </c>
      <c r="C262" s="3">
        <v>46.44</v>
      </c>
    </row>
    <row r="263" spans="1:3" x14ac:dyDescent="0.25">
      <c r="A263" s="18">
        <v>40858</v>
      </c>
      <c r="B263" s="3">
        <v>9</v>
      </c>
      <c r="C263" s="3">
        <v>45.76</v>
      </c>
    </row>
    <row r="264" spans="1:3" x14ac:dyDescent="0.25">
      <c r="A264" s="18">
        <v>40858</v>
      </c>
      <c r="B264" s="3">
        <v>10</v>
      </c>
      <c r="C264" s="3">
        <v>45.8</v>
      </c>
    </row>
    <row r="265" spans="1:3" x14ac:dyDescent="0.25">
      <c r="A265" s="18">
        <v>40858</v>
      </c>
      <c r="B265" s="3">
        <v>11</v>
      </c>
      <c r="C265" s="3">
        <v>45.79</v>
      </c>
    </row>
    <row r="266" spans="1:3" x14ac:dyDescent="0.25">
      <c r="A266" s="18">
        <v>40858</v>
      </c>
      <c r="B266" s="3">
        <v>12</v>
      </c>
      <c r="C266" s="3">
        <v>45.16</v>
      </c>
    </row>
    <row r="267" spans="1:3" x14ac:dyDescent="0.25">
      <c r="A267" s="18">
        <v>40858</v>
      </c>
      <c r="B267" s="3">
        <v>13</v>
      </c>
      <c r="C267" s="3">
        <v>44.44</v>
      </c>
    </row>
    <row r="268" spans="1:3" x14ac:dyDescent="0.25">
      <c r="A268" s="18">
        <v>40858</v>
      </c>
      <c r="B268" s="3">
        <v>14</v>
      </c>
      <c r="C268" s="3">
        <v>43.65</v>
      </c>
    </row>
    <row r="269" spans="1:3" x14ac:dyDescent="0.25">
      <c r="A269" s="18">
        <v>40858</v>
      </c>
      <c r="B269" s="3">
        <v>15</v>
      </c>
      <c r="C269" s="3">
        <v>43.47</v>
      </c>
    </row>
    <row r="270" spans="1:3" x14ac:dyDescent="0.25">
      <c r="A270" s="18">
        <v>40858</v>
      </c>
      <c r="B270" s="3">
        <v>16</v>
      </c>
      <c r="C270" s="3">
        <v>44.69</v>
      </c>
    </row>
    <row r="271" spans="1:3" x14ac:dyDescent="0.25">
      <c r="A271" s="18">
        <v>40858</v>
      </c>
      <c r="B271" s="3">
        <v>17</v>
      </c>
      <c r="C271" s="3">
        <v>46.62</v>
      </c>
    </row>
    <row r="272" spans="1:3" x14ac:dyDescent="0.25">
      <c r="A272" s="18">
        <v>40858</v>
      </c>
      <c r="B272" s="3">
        <v>18</v>
      </c>
      <c r="C272" s="3">
        <v>44.78</v>
      </c>
    </row>
    <row r="273" spans="1:3" x14ac:dyDescent="0.25">
      <c r="A273" s="18">
        <v>40858</v>
      </c>
      <c r="B273" s="3">
        <v>19</v>
      </c>
      <c r="C273" s="3">
        <v>43.21</v>
      </c>
    </row>
    <row r="274" spans="1:3" x14ac:dyDescent="0.25">
      <c r="A274" s="18">
        <v>40858</v>
      </c>
      <c r="B274" s="3">
        <v>20</v>
      </c>
      <c r="C274" s="3">
        <v>42.73</v>
      </c>
    </row>
    <row r="275" spans="1:3" x14ac:dyDescent="0.25">
      <c r="A275" s="18">
        <v>40858</v>
      </c>
      <c r="B275" s="3">
        <v>21</v>
      </c>
      <c r="C275" s="3">
        <v>42.22</v>
      </c>
    </row>
    <row r="276" spans="1:3" x14ac:dyDescent="0.25">
      <c r="A276" s="18">
        <v>40858</v>
      </c>
      <c r="B276" s="3">
        <v>22</v>
      </c>
      <c r="C276" s="3">
        <v>41.74</v>
      </c>
    </row>
    <row r="277" spans="1:3" x14ac:dyDescent="0.25">
      <c r="A277" s="18">
        <v>40858</v>
      </c>
      <c r="B277" s="3">
        <v>23</v>
      </c>
      <c r="C277" s="3">
        <v>40.619999999999997</v>
      </c>
    </row>
    <row r="278" spans="1:3" x14ac:dyDescent="0.25">
      <c r="A278" s="18">
        <v>40859</v>
      </c>
      <c r="B278" s="3">
        <v>0</v>
      </c>
      <c r="C278" s="3">
        <v>40.67</v>
      </c>
    </row>
    <row r="279" spans="1:3" x14ac:dyDescent="0.25">
      <c r="A279" s="18">
        <v>40859</v>
      </c>
      <c r="B279" s="3">
        <v>1</v>
      </c>
      <c r="C279" s="3">
        <v>39.39</v>
      </c>
    </row>
    <row r="280" spans="1:3" x14ac:dyDescent="0.25">
      <c r="A280" s="18">
        <v>40859</v>
      </c>
      <c r="B280" s="3">
        <v>2</v>
      </c>
      <c r="C280" s="3">
        <v>37.700000000000003</v>
      </c>
    </row>
    <row r="281" spans="1:3" x14ac:dyDescent="0.25">
      <c r="A281" s="18">
        <v>40859</v>
      </c>
      <c r="B281" s="3">
        <v>3</v>
      </c>
      <c r="C281" s="3">
        <v>37.33</v>
      </c>
    </row>
    <row r="282" spans="1:3" x14ac:dyDescent="0.25">
      <c r="A282" s="18">
        <v>40859</v>
      </c>
      <c r="B282" s="3">
        <v>4</v>
      </c>
      <c r="C282" s="3">
        <v>37.85</v>
      </c>
    </row>
    <row r="283" spans="1:3" x14ac:dyDescent="0.25">
      <c r="A283" s="18">
        <v>40859</v>
      </c>
      <c r="B283" s="3">
        <v>5</v>
      </c>
      <c r="C283" s="3">
        <v>38.81</v>
      </c>
    </row>
    <row r="284" spans="1:3" x14ac:dyDescent="0.25">
      <c r="A284" s="18">
        <v>40859</v>
      </c>
      <c r="B284" s="3">
        <v>6</v>
      </c>
      <c r="C284" s="3">
        <v>39.97</v>
      </c>
    </row>
    <row r="285" spans="1:3" x14ac:dyDescent="0.25">
      <c r="A285" s="18">
        <v>40859</v>
      </c>
      <c r="B285" s="3">
        <v>7</v>
      </c>
      <c r="C285" s="3">
        <v>41.55</v>
      </c>
    </row>
    <row r="286" spans="1:3" x14ac:dyDescent="0.25">
      <c r="A286" s="18">
        <v>40859</v>
      </c>
      <c r="B286" s="3">
        <v>8</v>
      </c>
      <c r="C286" s="3">
        <v>42.59</v>
      </c>
    </row>
    <row r="287" spans="1:3" x14ac:dyDescent="0.25">
      <c r="A287" s="18">
        <v>40859</v>
      </c>
      <c r="B287" s="3">
        <v>9</v>
      </c>
      <c r="C287" s="3">
        <v>42.78</v>
      </c>
    </row>
    <row r="288" spans="1:3" x14ac:dyDescent="0.25">
      <c r="A288" s="18">
        <v>40859</v>
      </c>
      <c r="B288" s="3">
        <v>10</v>
      </c>
      <c r="C288" s="3">
        <v>42.88</v>
      </c>
    </row>
    <row r="289" spans="1:3" x14ac:dyDescent="0.25">
      <c r="A289" s="18">
        <v>40859</v>
      </c>
      <c r="B289" s="3">
        <v>11</v>
      </c>
      <c r="C289" s="3">
        <v>42.82</v>
      </c>
    </row>
    <row r="290" spans="1:3" x14ac:dyDescent="0.25">
      <c r="A290" s="18">
        <v>40859</v>
      </c>
      <c r="B290" s="3">
        <v>12</v>
      </c>
      <c r="C290" s="3">
        <v>42.04</v>
      </c>
    </row>
    <row r="291" spans="1:3" x14ac:dyDescent="0.25">
      <c r="A291" s="18">
        <v>40859</v>
      </c>
      <c r="B291" s="3">
        <v>13</v>
      </c>
      <c r="C291" s="3">
        <v>41.82</v>
      </c>
    </row>
    <row r="292" spans="1:3" x14ac:dyDescent="0.25">
      <c r="A292" s="18">
        <v>40859</v>
      </c>
      <c r="B292" s="3">
        <v>14</v>
      </c>
      <c r="C292" s="3">
        <v>42.08</v>
      </c>
    </row>
    <row r="293" spans="1:3" x14ac:dyDescent="0.25">
      <c r="A293" s="18">
        <v>40859</v>
      </c>
      <c r="B293" s="3">
        <v>15</v>
      </c>
      <c r="C293" s="3">
        <v>42.78</v>
      </c>
    </row>
    <row r="294" spans="1:3" x14ac:dyDescent="0.25">
      <c r="A294" s="18">
        <v>40859</v>
      </c>
      <c r="B294" s="3">
        <v>16</v>
      </c>
      <c r="C294" s="3">
        <v>44.43</v>
      </c>
    </row>
    <row r="295" spans="1:3" x14ac:dyDescent="0.25">
      <c r="A295" s="18">
        <v>40859</v>
      </c>
      <c r="B295" s="3">
        <v>17</v>
      </c>
      <c r="C295" s="3">
        <v>47.96</v>
      </c>
    </row>
    <row r="296" spans="1:3" x14ac:dyDescent="0.25">
      <c r="A296" s="18">
        <v>40859</v>
      </c>
      <c r="B296" s="3">
        <v>18</v>
      </c>
      <c r="C296" s="3">
        <v>46.84</v>
      </c>
    </row>
    <row r="297" spans="1:3" x14ac:dyDescent="0.25">
      <c r="A297" s="18">
        <v>40859</v>
      </c>
      <c r="B297" s="3">
        <v>19</v>
      </c>
      <c r="C297" s="3">
        <v>44.77</v>
      </c>
    </row>
    <row r="298" spans="1:3" x14ac:dyDescent="0.25">
      <c r="A298" s="18">
        <v>40859</v>
      </c>
      <c r="B298" s="3">
        <v>20</v>
      </c>
      <c r="C298" s="3">
        <v>43.4</v>
      </c>
    </row>
    <row r="299" spans="1:3" x14ac:dyDescent="0.25">
      <c r="A299" s="18">
        <v>40859</v>
      </c>
      <c r="B299" s="3">
        <v>21</v>
      </c>
      <c r="C299" s="3">
        <v>43.04</v>
      </c>
    </row>
    <row r="300" spans="1:3" x14ac:dyDescent="0.25">
      <c r="A300" s="18">
        <v>40859</v>
      </c>
      <c r="B300" s="3">
        <v>22</v>
      </c>
      <c r="C300" s="3">
        <v>42.97</v>
      </c>
    </row>
    <row r="301" spans="1:3" x14ac:dyDescent="0.25">
      <c r="A301" s="18">
        <v>40859</v>
      </c>
      <c r="B301" s="3">
        <v>23</v>
      </c>
      <c r="C301" s="3">
        <v>41.87</v>
      </c>
    </row>
    <row r="302" spans="1:3" x14ac:dyDescent="0.25">
      <c r="A302" s="18">
        <v>40860</v>
      </c>
      <c r="B302" s="3">
        <v>0</v>
      </c>
      <c r="C302" s="3">
        <v>42.45</v>
      </c>
    </row>
    <row r="303" spans="1:3" x14ac:dyDescent="0.25">
      <c r="A303" s="18">
        <v>40860</v>
      </c>
      <c r="B303" s="3">
        <v>1</v>
      </c>
      <c r="C303" s="3">
        <v>41.04</v>
      </c>
    </row>
    <row r="304" spans="1:3" x14ac:dyDescent="0.25">
      <c r="A304" s="18">
        <v>40860</v>
      </c>
      <c r="B304" s="3">
        <v>2</v>
      </c>
      <c r="C304" s="3">
        <v>39.24</v>
      </c>
    </row>
    <row r="305" spans="1:3" x14ac:dyDescent="0.25">
      <c r="A305" s="18">
        <v>40860</v>
      </c>
      <c r="B305" s="3">
        <v>3</v>
      </c>
      <c r="C305" s="3">
        <v>39.15</v>
      </c>
    </row>
    <row r="306" spans="1:3" x14ac:dyDescent="0.25">
      <c r="A306" s="18">
        <v>40860</v>
      </c>
      <c r="B306" s="3">
        <v>4</v>
      </c>
      <c r="C306" s="3">
        <v>39.31</v>
      </c>
    </row>
    <row r="307" spans="1:3" x14ac:dyDescent="0.25">
      <c r="A307" s="18">
        <v>40860</v>
      </c>
      <c r="B307" s="3">
        <v>5</v>
      </c>
      <c r="C307" s="3">
        <v>39.32</v>
      </c>
    </row>
    <row r="308" spans="1:3" x14ac:dyDescent="0.25">
      <c r="A308" s="18">
        <v>40860</v>
      </c>
      <c r="B308" s="3">
        <v>6</v>
      </c>
      <c r="C308" s="3">
        <v>38.869999999999997</v>
      </c>
    </row>
    <row r="309" spans="1:3" x14ac:dyDescent="0.25">
      <c r="A309" s="18">
        <v>40860</v>
      </c>
      <c r="B309" s="3">
        <v>7</v>
      </c>
      <c r="C309" s="3">
        <v>39.03</v>
      </c>
    </row>
    <row r="310" spans="1:3" x14ac:dyDescent="0.25">
      <c r="A310" s="18">
        <v>40860</v>
      </c>
      <c r="B310" s="3">
        <v>8</v>
      </c>
      <c r="C310" s="3">
        <v>40.049999999999997</v>
      </c>
    </row>
    <row r="311" spans="1:3" x14ac:dyDescent="0.25">
      <c r="A311" s="18">
        <v>40860</v>
      </c>
      <c r="B311" s="3">
        <v>9</v>
      </c>
      <c r="C311" s="3">
        <v>42.84</v>
      </c>
    </row>
    <row r="312" spans="1:3" x14ac:dyDescent="0.25">
      <c r="A312" s="18">
        <v>40860</v>
      </c>
      <c r="B312" s="3">
        <v>10</v>
      </c>
      <c r="C312" s="3">
        <v>43.64</v>
      </c>
    </row>
    <row r="313" spans="1:3" x14ac:dyDescent="0.25">
      <c r="A313" s="18">
        <v>40860</v>
      </c>
      <c r="B313" s="3">
        <v>11</v>
      </c>
      <c r="C313" s="3">
        <v>43.8</v>
      </c>
    </row>
    <row r="314" spans="1:3" x14ac:dyDescent="0.25">
      <c r="A314" s="18">
        <v>40860</v>
      </c>
      <c r="B314" s="3">
        <v>12</v>
      </c>
      <c r="C314" s="3">
        <v>43.68</v>
      </c>
    </row>
    <row r="315" spans="1:3" x14ac:dyDescent="0.25">
      <c r="A315" s="18">
        <v>40860</v>
      </c>
      <c r="B315" s="3">
        <v>13</v>
      </c>
      <c r="C315" s="3">
        <v>43.14</v>
      </c>
    </row>
    <row r="316" spans="1:3" x14ac:dyDescent="0.25">
      <c r="A316" s="18">
        <v>40860</v>
      </c>
      <c r="B316" s="3">
        <v>14</v>
      </c>
      <c r="C316" s="3">
        <v>42.45</v>
      </c>
    </row>
    <row r="317" spans="1:3" x14ac:dyDescent="0.25">
      <c r="A317" s="18">
        <v>40860</v>
      </c>
      <c r="B317" s="3">
        <v>15</v>
      </c>
      <c r="C317" s="3">
        <v>43.04</v>
      </c>
    </row>
    <row r="318" spans="1:3" x14ac:dyDescent="0.25">
      <c r="A318" s="18">
        <v>40860</v>
      </c>
      <c r="B318" s="3">
        <v>16</v>
      </c>
      <c r="C318" s="3">
        <v>46</v>
      </c>
    </row>
    <row r="319" spans="1:3" x14ac:dyDescent="0.25">
      <c r="A319" s="18">
        <v>40860</v>
      </c>
      <c r="B319" s="3">
        <v>17</v>
      </c>
      <c r="C319" s="3">
        <v>48.09</v>
      </c>
    </row>
    <row r="320" spans="1:3" x14ac:dyDescent="0.25">
      <c r="A320" s="18">
        <v>40860</v>
      </c>
      <c r="B320" s="3">
        <v>18</v>
      </c>
      <c r="C320" s="3">
        <v>47.72</v>
      </c>
    </row>
    <row r="321" spans="1:3" x14ac:dyDescent="0.25">
      <c r="A321" s="18">
        <v>40860</v>
      </c>
      <c r="B321" s="3">
        <v>19</v>
      </c>
      <c r="C321" s="3">
        <v>46.35</v>
      </c>
    </row>
    <row r="322" spans="1:3" x14ac:dyDescent="0.25">
      <c r="A322" s="18">
        <v>40860</v>
      </c>
      <c r="B322" s="3">
        <v>20</v>
      </c>
      <c r="C322" s="3">
        <v>44.12</v>
      </c>
    </row>
    <row r="323" spans="1:3" x14ac:dyDescent="0.25">
      <c r="A323" s="18">
        <v>40860</v>
      </c>
      <c r="B323" s="3">
        <v>21</v>
      </c>
      <c r="C323" s="3">
        <v>43.95</v>
      </c>
    </row>
    <row r="324" spans="1:3" x14ac:dyDescent="0.25">
      <c r="A324" s="18">
        <v>40860</v>
      </c>
      <c r="B324" s="3">
        <v>22</v>
      </c>
      <c r="C324" s="3">
        <v>43.03</v>
      </c>
    </row>
    <row r="325" spans="1:3" x14ac:dyDescent="0.25">
      <c r="A325" s="18">
        <v>40860</v>
      </c>
      <c r="B325" s="3">
        <v>23</v>
      </c>
      <c r="C325" s="3">
        <v>41.26</v>
      </c>
    </row>
    <row r="326" spans="1:3" x14ac:dyDescent="0.25">
      <c r="A326" s="18">
        <v>40861</v>
      </c>
      <c r="B326" s="3">
        <v>0</v>
      </c>
      <c r="C326" s="3">
        <v>41.37</v>
      </c>
    </row>
    <row r="327" spans="1:3" x14ac:dyDescent="0.25">
      <c r="A327" s="18">
        <v>40861</v>
      </c>
      <c r="B327" s="3">
        <v>1</v>
      </c>
      <c r="C327" s="3">
        <v>40.18</v>
      </c>
    </row>
    <row r="328" spans="1:3" x14ac:dyDescent="0.25">
      <c r="A328" s="18">
        <v>40861</v>
      </c>
      <c r="B328" s="3">
        <v>2</v>
      </c>
      <c r="C328" s="3">
        <v>39.020000000000003</v>
      </c>
    </row>
    <row r="329" spans="1:3" x14ac:dyDescent="0.25">
      <c r="A329" s="18">
        <v>40861</v>
      </c>
      <c r="B329" s="3">
        <v>3</v>
      </c>
      <c r="C329" s="3">
        <v>38.96</v>
      </c>
    </row>
    <row r="330" spans="1:3" x14ac:dyDescent="0.25">
      <c r="A330" s="18">
        <v>40861</v>
      </c>
      <c r="B330" s="3">
        <v>4</v>
      </c>
      <c r="C330" s="3">
        <v>39.770000000000003</v>
      </c>
    </row>
    <row r="331" spans="1:3" x14ac:dyDescent="0.25">
      <c r="A331" s="18">
        <v>40861</v>
      </c>
      <c r="B331" s="3">
        <v>5</v>
      </c>
      <c r="C331" s="3">
        <v>42.45</v>
      </c>
    </row>
    <row r="332" spans="1:3" x14ac:dyDescent="0.25">
      <c r="A332" s="18">
        <v>40861</v>
      </c>
      <c r="B332" s="3">
        <v>6</v>
      </c>
      <c r="C332" s="3">
        <v>45.54</v>
      </c>
    </row>
    <row r="333" spans="1:3" x14ac:dyDescent="0.25">
      <c r="A333" s="18">
        <v>40861</v>
      </c>
      <c r="B333" s="3">
        <v>7</v>
      </c>
      <c r="C333" s="3">
        <v>47.5</v>
      </c>
    </row>
    <row r="334" spans="1:3" x14ac:dyDescent="0.25">
      <c r="A334" s="18">
        <v>40861</v>
      </c>
      <c r="B334" s="3">
        <v>8</v>
      </c>
      <c r="C334" s="3">
        <v>47.37</v>
      </c>
    </row>
    <row r="335" spans="1:3" x14ac:dyDescent="0.25">
      <c r="A335" s="18">
        <v>40861</v>
      </c>
      <c r="B335" s="3">
        <v>9</v>
      </c>
      <c r="C335" s="3">
        <v>46.72</v>
      </c>
    </row>
    <row r="336" spans="1:3" x14ac:dyDescent="0.25">
      <c r="A336" s="18">
        <v>40861</v>
      </c>
      <c r="B336" s="3">
        <v>10</v>
      </c>
      <c r="C336" s="3">
        <v>46.41</v>
      </c>
    </row>
    <row r="337" spans="1:3" x14ac:dyDescent="0.25">
      <c r="A337" s="18">
        <v>40861</v>
      </c>
      <c r="B337" s="3">
        <v>11</v>
      </c>
      <c r="C337" s="3">
        <v>46.42</v>
      </c>
    </row>
    <row r="338" spans="1:3" x14ac:dyDescent="0.25">
      <c r="A338" s="18">
        <v>40861</v>
      </c>
      <c r="B338" s="3">
        <v>12</v>
      </c>
      <c r="C338" s="3">
        <v>46.47</v>
      </c>
    </row>
    <row r="339" spans="1:3" x14ac:dyDescent="0.25">
      <c r="A339" s="18">
        <v>40861</v>
      </c>
      <c r="B339" s="3">
        <v>13</v>
      </c>
      <c r="C339" s="3">
        <v>46.49</v>
      </c>
    </row>
    <row r="340" spans="1:3" x14ac:dyDescent="0.25">
      <c r="A340" s="18">
        <v>40861</v>
      </c>
      <c r="B340" s="3">
        <v>14</v>
      </c>
      <c r="C340" s="3">
        <v>46.59</v>
      </c>
    </row>
    <row r="341" spans="1:3" x14ac:dyDescent="0.25">
      <c r="A341" s="18">
        <v>40861</v>
      </c>
      <c r="B341" s="3">
        <v>15</v>
      </c>
      <c r="C341" s="3">
        <v>46.72</v>
      </c>
    </row>
    <row r="342" spans="1:3" x14ac:dyDescent="0.25">
      <c r="A342" s="18">
        <v>40861</v>
      </c>
      <c r="B342" s="3">
        <v>16</v>
      </c>
      <c r="C342" s="3">
        <v>48.42</v>
      </c>
    </row>
    <row r="343" spans="1:3" x14ac:dyDescent="0.25">
      <c r="A343" s="18">
        <v>40861</v>
      </c>
      <c r="B343" s="3">
        <v>17</v>
      </c>
      <c r="C343" s="3">
        <v>49.95</v>
      </c>
    </row>
    <row r="344" spans="1:3" x14ac:dyDescent="0.25">
      <c r="A344" s="18">
        <v>40861</v>
      </c>
      <c r="B344" s="3">
        <v>18</v>
      </c>
      <c r="C344" s="3">
        <v>47.79</v>
      </c>
    </row>
    <row r="345" spans="1:3" x14ac:dyDescent="0.25">
      <c r="A345" s="18">
        <v>40861</v>
      </c>
      <c r="B345" s="3">
        <v>19</v>
      </c>
      <c r="C345" s="3">
        <v>45.88</v>
      </c>
    </row>
    <row r="346" spans="1:3" x14ac:dyDescent="0.25">
      <c r="A346" s="18">
        <v>40861</v>
      </c>
      <c r="B346" s="3">
        <v>20</v>
      </c>
      <c r="C346" s="3">
        <v>44.99</v>
      </c>
    </row>
    <row r="347" spans="1:3" x14ac:dyDescent="0.25">
      <c r="A347" s="18">
        <v>40861</v>
      </c>
      <c r="B347" s="3">
        <v>21</v>
      </c>
      <c r="C347" s="3">
        <v>44.54</v>
      </c>
    </row>
    <row r="348" spans="1:3" x14ac:dyDescent="0.25">
      <c r="A348" s="18">
        <v>40861</v>
      </c>
      <c r="B348" s="3">
        <v>22</v>
      </c>
      <c r="C348" s="3">
        <v>43.56</v>
      </c>
    </row>
    <row r="349" spans="1:3" x14ac:dyDescent="0.25">
      <c r="A349" s="18">
        <v>40861</v>
      </c>
      <c r="B349" s="3">
        <v>23</v>
      </c>
      <c r="C349" s="3">
        <v>42.08</v>
      </c>
    </row>
    <row r="350" spans="1:3" x14ac:dyDescent="0.25">
      <c r="A350" s="18">
        <v>40862</v>
      </c>
      <c r="B350" s="3">
        <v>0</v>
      </c>
      <c r="C350" s="3">
        <v>42.23</v>
      </c>
    </row>
    <row r="351" spans="1:3" x14ac:dyDescent="0.25">
      <c r="A351" s="18">
        <v>40862</v>
      </c>
      <c r="B351" s="3">
        <v>1</v>
      </c>
      <c r="C351" s="3">
        <v>41.78</v>
      </c>
    </row>
    <row r="352" spans="1:3" x14ac:dyDescent="0.25">
      <c r="A352" s="18">
        <v>40862</v>
      </c>
      <c r="B352" s="3">
        <v>2</v>
      </c>
      <c r="C352" s="3">
        <v>41.69</v>
      </c>
    </row>
    <row r="353" spans="1:3" x14ac:dyDescent="0.25">
      <c r="A353" s="18">
        <v>40862</v>
      </c>
      <c r="B353" s="3">
        <v>3</v>
      </c>
      <c r="C353" s="3">
        <v>41.2</v>
      </c>
    </row>
    <row r="354" spans="1:3" x14ac:dyDescent="0.25">
      <c r="A354" s="18">
        <v>40862</v>
      </c>
      <c r="B354" s="3">
        <v>4</v>
      </c>
      <c r="C354" s="3">
        <v>41.69</v>
      </c>
    </row>
    <row r="355" spans="1:3" x14ac:dyDescent="0.25">
      <c r="A355" s="18">
        <v>40862</v>
      </c>
      <c r="B355" s="3">
        <v>5</v>
      </c>
      <c r="C355" s="3">
        <v>43.6</v>
      </c>
    </row>
    <row r="356" spans="1:3" x14ac:dyDescent="0.25">
      <c r="A356" s="18">
        <v>40862</v>
      </c>
      <c r="B356" s="3">
        <v>6</v>
      </c>
      <c r="C356" s="3">
        <v>45.65</v>
      </c>
    </row>
    <row r="357" spans="1:3" x14ac:dyDescent="0.25">
      <c r="A357" s="18">
        <v>40862</v>
      </c>
      <c r="B357" s="3">
        <v>7</v>
      </c>
      <c r="C357" s="3">
        <v>47.85</v>
      </c>
    </row>
    <row r="358" spans="1:3" x14ac:dyDescent="0.25">
      <c r="A358" s="18">
        <v>40862</v>
      </c>
      <c r="B358" s="3">
        <v>8</v>
      </c>
      <c r="C358" s="3">
        <v>48.32</v>
      </c>
    </row>
    <row r="359" spans="1:3" x14ac:dyDescent="0.25">
      <c r="A359" s="18">
        <v>40862</v>
      </c>
      <c r="B359" s="3">
        <v>9</v>
      </c>
      <c r="C359" s="3">
        <v>46.86</v>
      </c>
    </row>
    <row r="360" spans="1:3" x14ac:dyDescent="0.25">
      <c r="A360" s="18">
        <v>40862</v>
      </c>
      <c r="B360" s="3">
        <v>10</v>
      </c>
      <c r="C360" s="3">
        <v>46.45</v>
      </c>
    </row>
    <row r="361" spans="1:3" x14ac:dyDescent="0.25">
      <c r="A361" s="18">
        <v>40862</v>
      </c>
      <c r="B361" s="3">
        <v>11</v>
      </c>
      <c r="C361" s="3">
        <v>46.46</v>
      </c>
    </row>
    <row r="362" spans="1:3" x14ac:dyDescent="0.25">
      <c r="A362" s="18">
        <v>40862</v>
      </c>
      <c r="B362" s="3">
        <v>12</v>
      </c>
      <c r="C362" s="3">
        <v>47.05</v>
      </c>
    </row>
    <row r="363" spans="1:3" x14ac:dyDescent="0.25">
      <c r="A363" s="18">
        <v>40862</v>
      </c>
      <c r="B363" s="3">
        <v>13</v>
      </c>
      <c r="C363" s="3">
        <v>46.88</v>
      </c>
    </row>
    <row r="364" spans="1:3" x14ac:dyDescent="0.25">
      <c r="A364" s="18">
        <v>40862</v>
      </c>
      <c r="B364" s="3">
        <v>14</v>
      </c>
      <c r="C364" s="3">
        <v>46.4</v>
      </c>
    </row>
    <row r="365" spans="1:3" x14ac:dyDescent="0.25">
      <c r="A365" s="18">
        <v>40862</v>
      </c>
      <c r="B365" s="3">
        <v>15</v>
      </c>
      <c r="C365" s="3">
        <v>46.92</v>
      </c>
    </row>
    <row r="366" spans="1:3" x14ac:dyDescent="0.25">
      <c r="A366" s="18">
        <v>40862</v>
      </c>
      <c r="B366" s="3">
        <v>16</v>
      </c>
      <c r="C366" s="3">
        <v>51.64</v>
      </c>
    </row>
    <row r="367" spans="1:3" x14ac:dyDescent="0.25">
      <c r="A367" s="18">
        <v>40862</v>
      </c>
      <c r="B367" s="3">
        <v>17</v>
      </c>
      <c r="C367" s="3">
        <v>59.72</v>
      </c>
    </row>
    <row r="368" spans="1:3" x14ac:dyDescent="0.25">
      <c r="A368" s="18">
        <v>40862</v>
      </c>
      <c r="B368" s="3">
        <v>18</v>
      </c>
      <c r="C368" s="3">
        <v>49.98</v>
      </c>
    </row>
    <row r="369" spans="1:3" x14ac:dyDescent="0.25">
      <c r="A369" s="18">
        <v>40862</v>
      </c>
      <c r="B369" s="3">
        <v>19</v>
      </c>
      <c r="C369" s="3">
        <v>46.31</v>
      </c>
    </row>
    <row r="370" spans="1:3" x14ac:dyDescent="0.25">
      <c r="A370" s="18">
        <v>40862</v>
      </c>
      <c r="B370" s="3">
        <v>20</v>
      </c>
      <c r="C370" s="3">
        <v>45.58</v>
      </c>
    </row>
    <row r="371" spans="1:3" x14ac:dyDescent="0.25">
      <c r="A371" s="18">
        <v>40862</v>
      </c>
      <c r="B371" s="3">
        <v>21</v>
      </c>
      <c r="C371" s="3">
        <v>45.2</v>
      </c>
    </row>
    <row r="372" spans="1:3" x14ac:dyDescent="0.25">
      <c r="A372" s="18">
        <v>40862</v>
      </c>
      <c r="B372" s="3">
        <v>22</v>
      </c>
      <c r="C372" s="3">
        <v>43.83</v>
      </c>
    </row>
    <row r="373" spans="1:3" x14ac:dyDescent="0.25">
      <c r="A373" s="18">
        <v>40862</v>
      </c>
      <c r="B373" s="3">
        <v>23</v>
      </c>
      <c r="C373" s="3">
        <v>42.34</v>
      </c>
    </row>
    <row r="374" spans="1:3" x14ac:dyDescent="0.25">
      <c r="A374" s="18">
        <v>40863</v>
      </c>
      <c r="B374" s="3">
        <v>0</v>
      </c>
      <c r="C374" s="3">
        <v>42.1</v>
      </c>
    </row>
    <row r="375" spans="1:3" x14ac:dyDescent="0.25">
      <c r="A375" s="18">
        <v>40863</v>
      </c>
      <c r="B375" s="3">
        <v>1</v>
      </c>
      <c r="C375" s="3">
        <v>41.33</v>
      </c>
    </row>
    <row r="376" spans="1:3" x14ac:dyDescent="0.25">
      <c r="A376" s="18">
        <v>40863</v>
      </c>
      <c r="B376" s="3">
        <v>2</v>
      </c>
      <c r="C376" s="3">
        <v>41.14</v>
      </c>
    </row>
    <row r="377" spans="1:3" x14ac:dyDescent="0.25">
      <c r="A377" s="18">
        <v>40863</v>
      </c>
      <c r="B377" s="3">
        <v>3</v>
      </c>
      <c r="C377" s="3">
        <v>40.72</v>
      </c>
    </row>
    <row r="378" spans="1:3" x14ac:dyDescent="0.25">
      <c r="A378" s="18">
        <v>40863</v>
      </c>
      <c r="B378" s="3">
        <v>4</v>
      </c>
      <c r="C378" s="3">
        <v>41.02</v>
      </c>
    </row>
    <row r="379" spans="1:3" x14ac:dyDescent="0.25">
      <c r="A379" s="18">
        <v>40863</v>
      </c>
      <c r="B379" s="3">
        <v>5</v>
      </c>
      <c r="C379" s="3">
        <v>43.87</v>
      </c>
    </row>
    <row r="380" spans="1:3" x14ac:dyDescent="0.25">
      <c r="A380" s="18">
        <v>40863</v>
      </c>
      <c r="B380" s="3">
        <v>6</v>
      </c>
      <c r="C380" s="3">
        <v>46.03</v>
      </c>
    </row>
    <row r="381" spans="1:3" x14ac:dyDescent="0.25">
      <c r="A381" s="18">
        <v>40863</v>
      </c>
      <c r="B381" s="3">
        <v>7</v>
      </c>
      <c r="C381" s="3">
        <v>46.33</v>
      </c>
    </row>
    <row r="382" spans="1:3" x14ac:dyDescent="0.25">
      <c r="A382" s="18">
        <v>40863</v>
      </c>
      <c r="B382" s="3">
        <v>8</v>
      </c>
      <c r="C382" s="3">
        <v>47.24</v>
      </c>
    </row>
    <row r="383" spans="1:3" x14ac:dyDescent="0.25">
      <c r="A383" s="18">
        <v>40863</v>
      </c>
      <c r="B383" s="3">
        <v>9</v>
      </c>
      <c r="C383" s="3">
        <v>46.35</v>
      </c>
    </row>
    <row r="384" spans="1:3" x14ac:dyDescent="0.25">
      <c r="A384" s="18">
        <v>40863</v>
      </c>
      <c r="B384" s="3">
        <v>10</v>
      </c>
      <c r="C384" s="3">
        <v>46.28</v>
      </c>
    </row>
    <row r="385" spans="1:3" x14ac:dyDescent="0.25">
      <c r="A385" s="18">
        <v>40863</v>
      </c>
      <c r="B385" s="3">
        <v>11</v>
      </c>
      <c r="C385" s="3">
        <v>45.92</v>
      </c>
    </row>
    <row r="386" spans="1:3" x14ac:dyDescent="0.25">
      <c r="A386" s="18">
        <v>40863</v>
      </c>
      <c r="B386" s="3">
        <v>12</v>
      </c>
      <c r="C386" s="3">
        <v>45.94</v>
      </c>
    </row>
    <row r="387" spans="1:3" x14ac:dyDescent="0.25">
      <c r="A387" s="18">
        <v>40863</v>
      </c>
      <c r="B387" s="3">
        <v>13</v>
      </c>
      <c r="C387" s="3">
        <v>45.54</v>
      </c>
    </row>
    <row r="388" spans="1:3" x14ac:dyDescent="0.25">
      <c r="A388" s="18">
        <v>40863</v>
      </c>
      <c r="B388" s="3">
        <v>14</v>
      </c>
      <c r="C388" s="3">
        <v>45.53</v>
      </c>
    </row>
    <row r="389" spans="1:3" x14ac:dyDescent="0.25">
      <c r="A389" s="18">
        <v>40863</v>
      </c>
      <c r="B389" s="3">
        <v>15</v>
      </c>
      <c r="C389" s="3">
        <v>46.29</v>
      </c>
    </row>
    <row r="390" spans="1:3" x14ac:dyDescent="0.25">
      <c r="A390" s="18">
        <v>40863</v>
      </c>
      <c r="B390" s="3">
        <v>16</v>
      </c>
      <c r="C390" s="3">
        <v>47.91</v>
      </c>
    </row>
    <row r="391" spans="1:3" x14ac:dyDescent="0.25">
      <c r="A391" s="18">
        <v>40863</v>
      </c>
      <c r="B391" s="3">
        <v>17</v>
      </c>
      <c r="C391" s="3">
        <v>51.38</v>
      </c>
    </row>
    <row r="392" spans="1:3" x14ac:dyDescent="0.25">
      <c r="A392" s="18">
        <v>40863</v>
      </c>
      <c r="B392" s="3">
        <v>18</v>
      </c>
      <c r="C392" s="3">
        <v>46.31</v>
      </c>
    </row>
    <row r="393" spans="1:3" x14ac:dyDescent="0.25">
      <c r="A393" s="18">
        <v>40863</v>
      </c>
      <c r="B393" s="3">
        <v>19</v>
      </c>
      <c r="C393" s="3">
        <v>45.55</v>
      </c>
    </row>
    <row r="394" spans="1:3" x14ac:dyDescent="0.25">
      <c r="A394" s="18">
        <v>40863</v>
      </c>
      <c r="B394" s="3">
        <v>20</v>
      </c>
      <c r="C394" s="3">
        <v>44.86</v>
      </c>
    </row>
    <row r="395" spans="1:3" x14ac:dyDescent="0.25">
      <c r="A395" s="18">
        <v>40863</v>
      </c>
      <c r="B395" s="3">
        <v>21</v>
      </c>
      <c r="C395" s="3">
        <v>44.28</v>
      </c>
    </row>
    <row r="396" spans="1:3" x14ac:dyDescent="0.25">
      <c r="A396" s="18">
        <v>40863</v>
      </c>
      <c r="B396" s="3">
        <v>22</v>
      </c>
      <c r="C396" s="3">
        <v>43.86</v>
      </c>
    </row>
    <row r="397" spans="1:3" x14ac:dyDescent="0.25">
      <c r="A397" s="18">
        <v>40863</v>
      </c>
      <c r="B397" s="3">
        <v>23</v>
      </c>
      <c r="C397" s="3">
        <v>42.52</v>
      </c>
    </row>
    <row r="398" spans="1:3" x14ac:dyDescent="0.25">
      <c r="A398" s="18">
        <v>40864</v>
      </c>
      <c r="B398" s="3">
        <v>0</v>
      </c>
      <c r="C398" s="3">
        <v>42.5</v>
      </c>
    </row>
    <row r="399" spans="1:3" x14ac:dyDescent="0.25">
      <c r="A399" s="18">
        <v>40864</v>
      </c>
      <c r="B399" s="3">
        <v>1</v>
      </c>
      <c r="C399" s="3">
        <v>42.09</v>
      </c>
    </row>
    <row r="400" spans="1:3" x14ac:dyDescent="0.25">
      <c r="A400" s="18">
        <v>40864</v>
      </c>
      <c r="B400" s="3">
        <v>2</v>
      </c>
      <c r="C400" s="3">
        <v>42.11</v>
      </c>
    </row>
    <row r="401" spans="1:3" x14ac:dyDescent="0.25">
      <c r="A401" s="18">
        <v>40864</v>
      </c>
      <c r="B401" s="3">
        <v>3</v>
      </c>
      <c r="C401" s="3">
        <v>41.98</v>
      </c>
    </row>
    <row r="402" spans="1:3" x14ac:dyDescent="0.25">
      <c r="A402" s="18">
        <v>40864</v>
      </c>
      <c r="B402" s="3">
        <v>4</v>
      </c>
      <c r="C402" s="3">
        <v>42.61</v>
      </c>
    </row>
    <row r="403" spans="1:3" x14ac:dyDescent="0.25">
      <c r="A403" s="18">
        <v>40864</v>
      </c>
      <c r="B403" s="3">
        <v>5</v>
      </c>
      <c r="C403" s="3">
        <v>43.69</v>
      </c>
    </row>
    <row r="404" spans="1:3" x14ac:dyDescent="0.25">
      <c r="A404" s="18">
        <v>40864</v>
      </c>
      <c r="B404" s="3">
        <v>6</v>
      </c>
      <c r="C404" s="3">
        <v>45.83</v>
      </c>
    </row>
    <row r="405" spans="1:3" x14ac:dyDescent="0.25">
      <c r="A405" s="18">
        <v>40864</v>
      </c>
      <c r="B405" s="3">
        <v>7</v>
      </c>
      <c r="C405" s="3">
        <v>46.37</v>
      </c>
    </row>
    <row r="406" spans="1:3" x14ac:dyDescent="0.25">
      <c r="A406" s="18">
        <v>40864</v>
      </c>
      <c r="B406" s="3">
        <v>8</v>
      </c>
      <c r="C406" s="3">
        <v>47.19</v>
      </c>
    </row>
    <row r="407" spans="1:3" x14ac:dyDescent="0.25">
      <c r="A407" s="18">
        <v>40864</v>
      </c>
      <c r="B407" s="3">
        <v>9</v>
      </c>
      <c r="C407" s="3">
        <v>46.29</v>
      </c>
    </row>
    <row r="408" spans="1:3" x14ac:dyDescent="0.25">
      <c r="A408" s="18">
        <v>40864</v>
      </c>
      <c r="B408" s="3">
        <v>10</v>
      </c>
      <c r="C408" s="3">
        <v>46.25</v>
      </c>
    </row>
    <row r="409" spans="1:3" x14ac:dyDescent="0.25">
      <c r="A409" s="18">
        <v>40864</v>
      </c>
      <c r="B409" s="3">
        <v>11</v>
      </c>
      <c r="C409" s="3">
        <v>46.29</v>
      </c>
    </row>
    <row r="410" spans="1:3" x14ac:dyDescent="0.25">
      <c r="A410" s="18">
        <v>40864</v>
      </c>
      <c r="B410" s="3">
        <v>12</v>
      </c>
      <c r="C410" s="3">
        <v>46.32</v>
      </c>
    </row>
    <row r="411" spans="1:3" x14ac:dyDescent="0.25">
      <c r="A411" s="18">
        <v>40864</v>
      </c>
      <c r="B411" s="3">
        <v>13</v>
      </c>
      <c r="C411" s="3">
        <v>46.27</v>
      </c>
    </row>
    <row r="412" spans="1:3" x14ac:dyDescent="0.25">
      <c r="A412" s="18">
        <v>40864</v>
      </c>
      <c r="B412" s="3">
        <v>14</v>
      </c>
      <c r="C412" s="3">
        <v>46.31</v>
      </c>
    </row>
    <row r="413" spans="1:3" x14ac:dyDescent="0.25">
      <c r="A413" s="18">
        <v>40864</v>
      </c>
      <c r="B413" s="3">
        <v>15</v>
      </c>
      <c r="C413" s="3">
        <v>47.82</v>
      </c>
    </row>
    <row r="414" spans="1:3" x14ac:dyDescent="0.25">
      <c r="A414" s="18">
        <v>40864</v>
      </c>
      <c r="B414" s="3">
        <v>16</v>
      </c>
      <c r="C414" s="3">
        <v>50.76</v>
      </c>
    </row>
    <row r="415" spans="1:3" x14ac:dyDescent="0.25">
      <c r="A415" s="18">
        <v>40864</v>
      </c>
      <c r="B415" s="3">
        <v>17</v>
      </c>
      <c r="C415" s="3">
        <v>55.95</v>
      </c>
    </row>
    <row r="416" spans="1:3" x14ac:dyDescent="0.25">
      <c r="A416" s="18">
        <v>40864</v>
      </c>
      <c r="B416" s="3">
        <v>18</v>
      </c>
      <c r="C416" s="3">
        <v>54.91</v>
      </c>
    </row>
    <row r="417" spans="1:3" x14ac:dyDescent="0.25">
      <c r="A417" s="18">
        <v>40864</v>
      </c>
      <c r="B417" s="3">
        <v>19</v>
      </c>
      <c r="C417" s="3">
        <v>48.93</v>
      </c>
    </row>
    <row r="418" spans="1:3" x14ac:dyDescent="0.25">
      <c r="A418" s="18">
        <v>40864</v>
      </c>
      <c r="B418" s="3">
        <v>20</v>
      </c>
      <c r="C418" s="3">
        <v>46.28</v>
      </c>
    </row>
    <row r="419" spans="1:3" x14ac:dyDescent="0.25">
      <c r="A419" s="18">
        <v>40864</v>
      </c>
      <c r="B419" s="3">
        <v>21</v>
      </c>
      <c r="C419" s="3">
        <v>46.22</v>
      </c>
    </row>
    <row r="420" spans="1:3" x14ac:dyDescent="0.25">
      <c r="A420" s="18">
        <v>40864</v>
      </c>
      <c r="B420" s="3">
        <v>22</v>
      </c>
      <c r="C420" s="3">
        <v>45.01</v>
      </c>
    </row>
    <row r="421" spans="1:3" x14ac:dyDescent="0.25">
      <c r="A421" s="18">
        <v>40864</v>
      </c>
      <c r="B421" s="3">
        <v>23</v>
      </c>
      <c r="C421" s="3">
        <v>43.6</v>
      </c>
    </row>
    <row r="422" spans="1:3" x14ac:dyDescent="0.25">
      <c r="A422" s="18">
        <v>40865</v>
      </c>
      <c r="B422" s="3">
        <v>0</v>
      </c>
      <c r="C422" s="3">
        <v>42.69</v>
      </c>
    </row>
    <row r="423" spans="1:3" x14ac:dyDescent="0.25">
      <c r="A423" s="18">
        <v>40865</v>
      </c>
      <c r="B423" s="3">
        <v>1</v>
      </c>
      <c r="C423" s="3">
        <v>42.25</v>
      </c>
    </row>
    <row r="424" spans="1:3" x14ac:dyDescent="0.25">
      <c r="A424" s="18">
        <v>40865</v>
      </c>
      <c r="B424" s="3">
        <v>2</v>
      </c>
      <c r="C424" s="3">
        <v>41.78</v>
      </c>
    </row>
    <row r="425" spans="1:3" x14ac:dyDescent="0.25">
      <c r="A425" s="18">
        <v>40865</v>
      </c>
      <c r="B425" s="3">
        <v>3</v>
      </c>
      <c r="C425" s="3">
        <v>41.26</v>
      </c>
    </row>
    <row r="426" spans="1:3" x14ac:dyDescent="0.25">
      <c r="A426" s="18">
        <v>40865</v>
      </c>
      <c r="B426" s="3">
        <v>4</v>
      </c>
      <c r="C426" s="3">
        <v>41.08</v>
      </c>
    </row>
    <row r="427" spans="1:3" x14ac:dyDescent="0.25">
      <c r="A427" s="18">
        <v>40865</v>
      </c>
      <c r="B427" s="3">
        <v>5</v>
      </c>
      <c r="C427" s="3">
        <v>43.35</v>
      </c>
    </row>
    <row r="428" spans="1:3" x14ac:dyDescent="0.25">
      <c r="A428" s="18">
        <v>40865</v>
      </c>
      <c r="B428" s="3">
        <v>6</v>
      </c>
      <c r="C428" s="3">
        <v>46.82</v>
      </c>
    </row>
    <row r="429" spans="1:3" x14ac:dyDescent="0.25">
      <c r="A429" s="18">
        <v>40865</v>
      </c>
      <c r="B429" s="3">
        <v>7</v>
      </c>
      <c r="C429" s="3">
        <v>49.97</v>
      </c>
    </row>
    <row r="430" spans="1:3" x14ac:dyDescent="0.25">
      <c r="A430" s="18">
        <v>40865</v>
      </c>
      <c r="B430" s="3">
        <v>8</v>
      </c>
      <c r="C430" s="3">
        <v>50.87</v>
      </c>
    </row>
    <row r="431" spans="1:3" x14ac:dyDescent="0.25">
      <c r="A431" s="18">
        <v>40865</v>
      </c>
      <c r="B431" s="3">
        <v>9</v>
      </c>
      <c r="C431" s="3">
        <v>49.33</v>
      </c>
    </row>
    <row r="432" spans="1:3" x14ac:dyDescent="0.25">
      <c r="A432" s="18">
        <v>40865</v>
      </c>
      <c r="B432" s="3">
        <v>10</v>
      </c>
      <c r="C432" s="3">
        <v>48.19</v>
      </c>
    </row>
    <row r="433" spans="1:3" x14ac:dyDescent="0.25">
      <c r="A433" s="18">
        <v>40865</v>
      </c>
      <c r="B433" s="3">
        <v>11</v>
      </c>
      <c r="C433" s="3">
        <v>47.63</v>
      </c>
    </row>
    <row r="434" spans="1:3" x14ac:dyDescent="0.25">
      <c r="A434" s="18">
        <v>40865</v>
      </c>
      <c r="B434" s="3">
        <v>12</v>
      </c>
      <c r="C434" s="3">
        <v>46.66</v>
      </c>
    </row>
    <row r="435" spans="1:3" x14ac:dyDescent="0.25">
      <c r="A435" s="18">
        <v>40865</v>
      </c>
      <c r="B435" s="3">
        <v>13</v>
      </c>
      <c r="C435" s="3">
        <v>45.63</v>
      </c>
    </row>
    <row r="436" spans="1:3" x14ac:dyDescent="0.25">
      <c r="A436" s="18">
        <v>40865</v>
      </c>
      <c r="B436" s="3">
        <v>14</v>
      </c>
      <c r="C436" s="3">
        <v>45.05</v>
      </c>
    </row>
    <row r="437" spans="1:3" x14ac:dyDescent="0.25">
      <c r="A437" s="18">
        <v>40865</v>
      </c>
      <c r="B437" s="3">
        <v>15</v>
      </c>
      <c r="C437" s="3">
        <v>45.3</v>
      </c>
    </row>
    <row r="438" spans="1:3" x14ac:dyDescent="0.25">
      <c r="A438" s="18">
        <v>40865</v>
      </c>
      <c r="B438" s="3">
        <v>16</v>
      </c>
      <c r="C438" s="3">
        <v>45.99</v>
      </c>
    </row>
    <row r="439" spans="1:3" x14ac:dyDescent="0.25">
      <c r="A439" s="18">
        <v>40865</v>
      </c>
      <c r="B439" s="3">
        <v>17</v>
      </c>
      <c r="C439" s="3">
        <v>46.21</v>
      </c>
    </row>
    <row r="440" spans="1:3" x14ac:dyDescent="0.25">
      <c r="A440" s="18">
        <v>40865</v>
      </c>
      <c r="B440" s="3">
        <v>18</v>
      </c>
      <c r="C440" s="3">
        <v>45.75</v>
      </c>
    </row>
    <row r="441" spans="1:3" x14ac:dyDescent="0.25">
      <c r="A441" s="18">
        <v>40865</v>
      </c>
      <c r="B441" s="3">
        <v>19</v>
      </c>
      <c r="C441" s="3">
        <v>44.06</v>
      </c>
    </row>
    <row r="442" spans="1:3" x14ac:dyDescent="0.25">
      <c r="A442" s="18">
        <v>40865</v>
      </c>
      <c r="B442" s="3">
        <v>20</v>
      </c>
      <c r="C442" s="3">
        <v>43.08</v>
      </c>
    </row>
    <row r="443" spans="1:3" x14ac:dyDescent="0.25">
      <c r="A443" s="18">
        <v>40865</v>
      </c>
      <c r="B443" s="3">
        <v>21</v>
      </c>
      <c r="C443" s="3">
        <v>42.55</v>
      </c>
    </row>
    <row r="444" spans="1:3" x14ac:dyDescent="0.25">
      <c r="A444" s="18">
        <v>40865</v>
      </c>
      <c r="B444" s="3">
        <v>22</v>
      </c>
      <c r="C444" s="3">
        <v>42.23</v>
      </c>
    </row>
    <row r="445" spans="1:3" x14ac:dyDescent="0.25">
      <c r="A445" s="18">
        <v>40865</v>
      </c>
      <c r="B445" s="3">
        <v>23</v>
      </c>
      <c r="C445" s="3">
        <v>41.37</v>
      </c>
    </row>
    <row r="446" spans="1:3" x14ac:dyDescent="0.25">
      <c r="A446" s="18">
        <v>40866</v>
      </c>
      <c r="B446" s="3">
        <v>0</v>
      </c>
      <c r="C446" s="3">
        <v>40.94</v>
      </c>
    </row>
    <row r="447" spans="1:3" x14ac:dyDescent="0.25">
      <c r="A447" s="18">
        <v>40866</v>
      </c>
      <c r="B447" s="3">
        <v>1</v>
      </c>
      <c r="C447" s="3">
        <v>40.57</v>
      </c>
    </row>
    <row r="448" spans="1:3" x14ac:dyDescent="0.25">
      <c r="A448" s="18">
        <v>40866</v>
      </c>
      <c r="B448" s="3">
        <v>2</v>
      </c>
      <c r="C448" s="3">
        <v>40.32</v>
      </c>
    </row>
    <row r="449" spans="1:3" x14ac:dyDescent="0.25">
      <c r="A449" s="18">
        <v>40866</v>
      </c>
      <c r="B449" s="3">
        <v>3</v>
      </c>
      <c r="C449" s="3">
        <v>40.229999999999997</v>
      </c>
    </row>
    <row r="450" spans="1:3" x14ac:dyDescent="0.25">
      <c r="A450" s="18">
        <v>40866</v>
      </c>
      <c r="B450" s="3">
        <v>4</v>
      </c>
      <c r="C450" s="3">
        <v>40.39</v>
      </c>
    </row>
    <row r="451" spans="1:3" x14ac:dyDescent="0.25">
      <c r="A451" s="18">
        <v>40866</v>
      </c>
      <c r="B451" s="3">
        <v>5</v>
      </c>
      <c r="C451" s="3">
        <v>40.93</v>
      </c>
    </row>
    <row r="452" spans="1:3" x14ac:dyDescent="0.25">
      <c r="A452" s="18">
        <v>40866</v>
      </c>
      <c r="B452" s="3">
        <v>6</v>
      </c>
      <c r="C452" s="3">
        <v>41.57</v>
      </c>
    </row>
    <row r="453" spans="1:3" x14ac:dyDescent="0.25">
      <c r="A453" s="18">
        <v>40866</v>
      </c>
      <c r="B453" s="3">
        <v>7</v>
      </c>
      <c r="C453" s="3">
        <v>41.74</v>
      </c>
    </row>
    <row r="454" spans="1:3" x14ac:dyDescent="0.25">
      <c r="A454" s="18">
        <v>40866</v>
      </c>
      <c r="B454" s="3">
        <v>8</v>
      </c>
      <c r="C454" s="3">
        <v>42.08</v>
      </c>
    </row>
    <row r="455" spans="1:3" x14ac:dyDescent="0.25">
      <c r="A455" s="18">
        <v>40866</v>
      </c>
      <c r="B455" s="3">
        <v>9</v>
      </c>
      <c r="C455" s="3">
        <v>42.33</v>
      </c>
    </row>
    <row r="456" spans="1:3" x14ac:dyDescent="0.25">
      <c r="A456" s="18">
        <v>40866</v>
      </c>
      <c r="B456" s="3">
        <v>10</v>
      </c>
      <c r="C456" s="3">
        <v>42.58</v>
      </c>
    </row>
    <row r="457" spans="1:3" x14ac:dyDescent="0.25">
      <c r="A457" s="18">
        <v>40866</v>
      </c>
      <c r="B457" s="3">
        <v>11</v>
      </c>
      <c r="C457" s="3">
        <v>42.57</v>
      </c>
    </row>
    <row r="458" spans="1:3" x14ac:dyDescent="0.25">
      <c r="A458" s="18">
        <v>40866</v>
      </c>
      <c r="B458" s="3">
        <v>12</v>
      </c>
      <c r="C458" s="3">
        <v>42.55</v>
      </c>
    </row>
    <row r="459" spans="1:3" x14ac:dyDescent="0.25">
      <c r="A459" s="18">
        <v>40866</v>
      </c>
      <c r="B459" s="3">
        <v>13</v>
      </c>
      <c r="C459" s="3">
        <v>42.4</v>
      </c>
    </row>
    <row r="460" spans="1:3" x14ac:dyDescent="0.25">
      <c r="A460" s="18">
        <v>40866</v>
      </c>
      <c r="B460" s="3">
        <v>14</v>
      </c>
      <c r="C460" s="3">
        <v>42.35</v>
      </c>
    </row>
    <row r="461" spans="1:3" x14ac:dyDescent="0.25">
      <c r="A461" s="18">
        <v>40866</v>
      </c>
      <c r="B461" s="3">
        <v>15</v>
      </c>
      <c r="C461" s="3">
        <v>42.7</v>
      </c>
    </row>
    <row r="462" spans="1:3" x14ac:dyDescent="0.25">
      <c r="A462" s="18">
        <v>40866</v>
      </c>
      <c r="B462" s="3">
        <v>16</v>
      </c>
      <c r="C462" s="3">
        <v>43.37</v>
      </c>
    </row>
    <row r="463" spans="1:3" x14ac:dyDescent="0.25">
      <c r="A463" s="18">
        <v>40866</v>
      </c>
      <c r="B463" s="3">
        <v>17</v>
      </c>
      <c r="C463" s="3">
        <v>43.94</v>
      </c>
    </row>
    <row r="464" spans="1:3" x14ac:dyDescent="0.25">
      <c r="A464" s="18">
        <v>40866</v>
      </c>
      <c r="B464" s="3">
        <v>18</v>
      </c>
      <c r="C464" s="3">
        <v>43.74</v>
      </c>
    </row>
    <row r="465" spans="1:3" x14ac:dyDescent="0.25">
      <c r="A465" s="18">
        <v>40866</v>
      </c>
      <c r="B465" s="3">
        <v>19</v>
      </c>
      <c r="C465" s="3">
        <v>42.99</v>
      </c>
    </row>
    <row r="466" spans="1:3" x14ac:dyDescent="0.25">
      <c r="A466" s="18">
        <v>40866</v>
      </c>
      <c r="B466" s="3">
        <v>20</v>
      </c>
      <c r="C466" s="3">
        <v>42.63</v>
      </c>
    </row>
    <row r="467" spans="1:3" x14ac:dyDescent="0.25">
      <c r="A467" s="18">
        <v>40866</v>
      </c>
      <c r="B467" s="3">
        <v>21</v>
      </c>
      <c r="C467" s="3">
        <v>42.52</v>
      </c>
    </row>
    <row r="468" spans="1:3" x14ac:dyDescent="0.25">
      <c r="A468" s="18">
        <v>40866</v>
      </c>
      <c r="B468" s="3">
        <v>22</v>
      </c>
      <c r="C468" s="3">
        <v>42.39</v>
      </c>
    </row>
    <row r="469" spans="1:3" x14ac:dyDescent="0.25">
      <c r="A469" s="18">
        <v>40866</v>
      </c>
      <c r="B469" s="3">
        <v>23</v>
      </c>
      <c r="C469" s="3">
        <v>41.81</v>
      </c>
    </row>
    <row r="470" spans="1:3" x14ac:dyDescent="0.25">
      <c r="A470" s="18">
        <v>40867</v>
      </c>
      <c r="B470" s="3">
        <v>0</v>
      </c>
      <c r="C470" s="3">
        <v>41.78</v>
      </c>
    </row>
    <row r="471" spans="1:3" x14ac:dyDescent="0.25">
      <c r="A471" s="18">
        <v>40867</v>
      </c>
      <c r="B471" s="3">
        <v>1</v>
      </c>
      <c r="C471" s="3">
        <v>41.16</v>
      </c>
    </row>
    <row r="472" spans="1:3" x14ac:dyDescent="0.25">
      <c r="A472" s="18">
        <v>40867</v>
      </c>
      <c r="B472" s="3">
        <v>2</v>
      </c>
      <c r="C472" s="3">
        <v>40.9</v>
      </c>
    </row>
    <row r="473" spans="1:3" x14ac:dyDescent="0.25">
      <c r="A473" s="18">
        <v>40867</v>
      </c>
      <c r="B473" s="3">
        <v>3</v>
      </c>
      <c r="C473" s="3">
        <v>40.869999999999997</v>
      </c>
    </row>
    <row r="474" spans="1:3" x14ac:dyDescent="0.25">
      <c r="A474" s="18">
        <v>40867</v>
      </c>
      <c r="B474" s="3">
        <v>4</v>
      </c>
      <c r="C474" s="3">
        <v>40.04</v>
      </c>
    </row>
    <row r="475" spans="1:3" x14ac:dyDescent="0.25">
      <c r="A475" s="18">
        <v>40867</v>
      </c>
      <c r="B475" s="3">
        <v>5</v>
      </c>
      <c r="C475" s="3">
        <v>39.590000000000003</v>
      </c>
    </row>
    <row r="476" spans="1:3" x14ac:dyDescent="0.25">
      <c r="A476" s="18">
        <v>40867</v>
      </c>
      <c r="B476" s="3">
        <v>6</v>
      </c>
      <c r="C476" s="3">
        <v>40.659999999999997</v>
      </c>
    </row>
    <row r="477" spans="1:3" x14ac:dyDescent="0.25">
      <c r="A477" s="18">
        <v>40867</v>
      </c>
      <c r="B477" s="3">
        <v>7</v>
      </c>
      <c r="C477" s="3">
        <v>40.78</v>
      </c>
    </row>
    <row r="478" spans="1:3" x14ac:dyDescent="0.25">
      <c r="A478" s="18">
        <v>40867</v>
      </c>
      <c r="B478" s="3">
        <v>8</v>
      </c>
      <c r="C478" s="3">
        <v>41.36</v>
      </c>
    </row>
    <row r="479" spans="1:3" x14ac:dyDescent="0.25">
      <c r="A479" s="18">
        <v>40867</v>
      </c>
      <c r="B479" s="3">
        <v>9</v>
      </c>
      <c r="C479" s="3">
        <v>42.01</v>
      </c>
    </row>
    <row r="480" spans="1:3" x14ac:dyDescent="0.25">
      <c r="A480" s="18">
        <v>40867</v>
      </c>
      <c r="B480" s="3">
        <v>10</v>
      </c>
      <c r="C480" s="3">
        <v>42.38</v>
      </c>
    </row>
    <row r="481" spans="1:3" x14ac:dyDescent="0.25">
      <c r="A481" s="18">
        <v>40867</v>
      </c>
      <c r="B481" s="3">
        <v>11</v>
      </c>
      <c r="C481" s="3">
        <v>42.57</v>
      </c>
    </row>
    <row r="482" spans="1:3" x14ac:dyDescent="0.25">
      <c r="A482" s="18">
        <v>40867</v>
      </c>
      <c r="B482" s="3">
        <v>12</v>
      </c>
      <c r="C482" s="3">
        <v>42.59</v>
      </c>
    </row>
    <row r="483" spans="1:3" x14ac:dyDescent="0.25">
      <c r="A483" s="18">
        <v>40867</v>
      </c>
      <c r="B483" s="3">
        <v>13</v>
      </c>
      <c r="C483" s="3">
        <v>42.44</v>
      </c>
    </row>
    <row r="484" spans="1:3" x14ac:dyDescent="0.25">
      <c r="A484" s="18">
        <v>40867</v>
      </c>
      <c r="B484" s="3">
        <v>14</v>
      </c>
      <c r="C484" s="3">
        <v>42.45</v>
      </c>
    </row>
    <row r="485" spans="1:3" x14ac:dyDescent="0.25">
      <c r="A485" s="18">
        <v>40867</v>
      </c>
      <c r="B485" s="3">
        <v>15</v>
      </c>
      <c r="C485" s="3">
        <v>42.59</v>
      </c>
    </row>
    <row r="486" spans="1:3" x14ac:dyDescent="0.25">
      <c r="A486" s="18">
        <v>40867</v>
      </c>
      <c r="B486" s="3">
        <v>16</v>
      </c>
      <c r="C486" s="3">
        <v>42.91</v>
      </c>
    </row>
    <row r="487" spans="1:3" x14ac:dyDescent="0.25">
      <c r="A487" s="18">
        <v>40867</v>
      </c>
      <c r="B487" s="3">
        <v>17</v>
      </c>
      <c r="C487" s="3">
        <v>43.11</v>
      </c>
    </row>
    <row r="488" spans="1:3" x14ac:dyDescent="0.25">
      <c r="A488" s="18">
        <v>40867</v>
      </c>
      <c r="B488" s="3">
        <v>18</v>
      </c>
      <c r="C488" s="3">
        <v>43.13</v>
      </c>
    </row>
    <row r="489" spans="1:3" x14ac:dyDescent="0.25">
      <c r="A489" s="18">
        <v>40867</v>
      </c>
      <c r="B489" s="3">
        <v>19</v>
      </c>
      <c r="C489" s="3">
        <v>42.89</v>
      </c>
    </row>
    <row r="490" spans="1:3" x14ac:dyDescent="0.25">
      <c r="A490" s="18">
        <v>40867</v>
      </c>
      <c r="B490" s="3">
        <v>20</v>
      </c>
      <c r="C490" s="3">
        <v>42.87</v>
      </c>
    </row>
    <row r="491" spans="1:3" x14ac:dyDescent="0.25">
      <c r="A491" s="18">
        <v>40867</v>
      </c>
      <c r="B491" s="3">
        <v>21</v>
      </c>
      <c r="C491" s="3">
        <v>42.65</v>
      </c>
    </row>
    <row r="492" spans="1:3" x14ac:dyDescent="0.25">
      <c r="A492" s="18">
        <v>40867</v>
      </c>
      <c r="B492" s="3">
        <v>22</v>
      </c>
      <c r="C492" s="3">
        <v>42.45</v>
      </c>
    </row>
    <row r="493" spans="1:3" x14ac:dyDescent="0.25">
      <c r="A493" s="18">
        <v>40867</v>
      </c>
      <c r="B493" s="3">
        <v>23</v>
      </c>
      <c r="C493" s="3">
        <v>41.91</v>
      </c>
    </row>
    <row r="494" spans="1:3" x14ac:dyDescent="0.25">
      <c r="A494" s="18">
        <v>40868</v>
      </c>
      <c r="B494" s="3">
        <v>0</v>
      </c>
      <c r="C494" s="3">
        <v>39.99</v>
      </c>
    </row>
    <row r="495" spans="1:3" x14ac:dyDescent="0.25">
      <c r="A495" s="18">
        <v>40868</v>
      </c>
      <c r="B495" s="3">
        <v>1</v>
      </c>
      <c r="C495" s="3">
        <v>39.729999999999997</v>
      </c>
    </row>
    <row r="496" spans="1:3" x14ac:dyDescent="0.25">
      <c r="A496" s="18">
        <v>40868</v>
      </c>
      <c r="B496" s="3">
        <v>2</v>
      </c>
      <c r="C496" s="3">
        <v>39.76</v>
      </c>
    </row>
    <row r="497" spans="1:3" x14ac:dyDescent="0.25">
      <c r="A497" s="18">
        <v>40868</v>
      </c>
      <c r="B497" s="3">
        <v>3</v>
      </c>
      <c r="C497" s="3">
        <v>39.81</v>
      </c>
    </row>
    <row r="498" spans="1:3" x14ac:dyDescent="0.25">
      <c r="A498" s="18">
        <v>40868</v>
      </c>
      <c r="B498" s="3">
        <v>4</v>
      </c>
      <c r="C498" s="3">
        <v>39.94</v>
      </c>
    </row>
    <row r="499" spans="1:3" x14ac:dyDescent="0.25">
      <c r="A499" s="18">
        <v>40868</v>
      </c>
      <c r="B499" s="3">
        <v>5</v>
      </c>
      <c r="C499" s="3">
        <v>41.94</v>
      </c>
    </row>
    <row r="500" spans="1:3" x14ac:dyDescent="0.25">
      <c r="A500" s="18">
        <v>40868</v>
      </c>
      <c r="B500" s="3">
        <v>6</v>
      </c>
      <c r="C500" s="3">
        <v>43.01</v>
      </c>
    </row>
    <row r="501" spans="1:3" x14ac:dyDescent="0.25">
      <c r="A501" s="18">
        <v>40868</v>
      </c>
      <c r="B501" s="3">
        <v>7</v>
      </c>
      <c r="C501" s="3">
        <v>44.13</v>
      </c>
    </row>
    <row r="502" spans="1:3" x14ac:dyDescent="0.25">
      <c r="A502" s="18">
        <v>40868</v>
      </c>
      <c r="B502" s="3">
        <v>8</v>
      </c>
      <c r="C502" s="3">
        <v>43.89</v>
      </c>
    </row>
    <row r="503" spans="1:3" x14ac:dyDescent="0.25">
      <c r="A503" s="18">
        <v>40868</v>
      </c>
      <c r="B503" s="3">
        <v>9</v>
      </c>
      <c r="C503" s="3">
        <v>43.74</v>
      </c>
    </row>
    <row r="504" spans="1:3" x14ac:dyDescent="0.25">
      <c r="A504" s="18">
        <v>40868</v>
      </c>
      <c r="B504" s="3">
        <v>10</v>
      </c>
      <c r="C504" s="3">
        <v>43.95</v>
      </c>
    </row>
    <row r="505" spans="1:3" x14ac:dyDescent="0.25">
      <c r="A505" s="18">
        <v>40868</v>
      </c>
      <c r="B505" s="3">
        <v>11</v>
      </c>
      <c r="C505" s="3">
        <v>43.87</v>
      </c>
    </row>
    <row r="506" spans="1:3" x14ac:dyDescent="0.25">
      <c r="A506" s="18">
        <v>40868</v>
      </c>
      <c r="B506" s="3">
        <v>12</v>
      </c>
      <c r="C506" s="3">
        <v>43.89</v>
      </c>
    </row>
    <row r="507" spans="1:3" x14ac:dyDescent="0.25">
      <c r="A507" s="18">
        <v>40868</v>
      </c>
      <c r="B507" s="3">
        <v>13</v>
      </c>
      <c r="C507" s="3">
        <v>43.86</v>
      </c>
    </row>
    <row r="508" spans="1:3" x14ac:dyDescent="0.25">
      <c r="A508" s="18">
        <v>40868</v>
      </c>
      <c r="B508" s="3">
        <v>14</v>
      </c>
      <c r="C508" s="3">
        <v>43.91</v>
      </c>
    </row>
    <row r="509" spans="1:3" x14ac:dyDescent="0.25">
      <c r="A509" s="18">
        <v>40868</v>
      </c>
      <c r="B509" s="3">
        <v>15</v>
      </c>
      <c r="C509" s="3">
        <v>44.6</v>
      </c>
    </row>
    <row r="510" spans="1:3" x14ac:dyDescent="0.25">
      <c r="A510" s="18">
        <v>40868</v>
      </c>
      <c r="B510" s="3">
        <v>16</v>
      </c>
      <c r="C510" s="3">
        <v>45.37</v>
      </c>
    </row>
    <row r="511" spans="1:3" x14ac:dyDescent="0.25">
      <c r="A511" s="18">
        <v>40868</v>
      </c>
      <c r="B511" s="3">
        <v>17</v>
      </c>
      <c r="C511" s="3">
        <v>46.12</v>
      </c>
    </row>
    <row r="512" spans="1:3" x14ac:dyDescent="0.25">
      <c r="A512" s="18">
        <v>40868</v>
      </c>
      <c r="B512" s="3">
        <v>18</v>
      </c>
      <c r="C512" s="3">
        <v>45.04</v>
      </c>
    </row>
    <row r="513" spans="1:3" x14ac:dyDescent="0.25">
      <c r="A513" s="18">
        <v>40868</v>
      </c>
      <c r="B513" s="3">
        <v>19</v>
      </c>
      <c r="C513" s="3">
        <v>43.44</v>
      </c>
    </row>
    <row r="514" spans="1:3" x14ac:dyDescent="0.25">
      <c r="A514" s="18">
        <v>40868</v>
      </c>
      <c r="B514" s="3">
        <v>20</v>
      </c>
      <c r="C514" s="3">
        <v>42.79</v>
      </c>
    </row>
    <row r="515" spans="1:3" x14ac:dyDescent="0.25">
      <c r="A515" s="18">
        <v>40868</v>
      </c>
      <c r="B515" s="3">
        <v>21</v>
      </c>
      <c r="C515" s="3">
        <v>42.74</v>
      </c>
    </row>
    <row r="516" spans="1:3" x14ac:dyDescent="0.25">
      <c r="A516" s="18">
        <v>40868</v>
      </c>
      <c r="B516" s="3">
        <v>22</v>
      </c>
      <c r="C516" s="3">
        <v>41.97</v>
      </c>
    </row>
    <row r="517" spans="1:3" x14ac:dyDescent="0.25">
      <c r="A517" s="18">
        <v>40868</v>
      </c>
      <c r="B517" s="3">
        <v>23</v>
      </c>
      <c r="C517" s="3">
        <v>41.07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542"/>
  <sheetViews>
    <sheetView tabSelected="1" workbookViewId="0">
      <selection activeCell="H9" sqref="H9"/>
    </sheetView>
  </sheetViews>
  <sheetFormatPr defaultRowHeight="15" x14ac:dyDescent="0.25"/>
  <cols>
    <col min="1" max="1" width="11.28515625" style="3" customWidth="1"/>
    <col min="2" max="3" width="9.140625" style="3"/>
    <col min="4" max="4" width="10.7109375" style="3" bestFit="1" customWidth="1"/>
    <col min="5" max="5" width="9.140625" style="3"/>
    <col min="6" max="7" width="10.140625" style="3" bestFit="1" customWidth="1"/>
    <col min="8" max="8" width="21.5703125" style="3" bestFit="1" customWidth="1"/>
    <col min="9" max="9" width="9.140625" style="3"/>
    <col min="10" max="10" width="25.28515625" style="3" bestFit="1" customWidth="1"/>
    <col min="11" max="11" width="10.7109375" style="3" bestFit="1" customWidth="1"/>
    <col min="12" max="12" width="20.5703125" style="3" bestFit="1" customWidth="1"/>
    <col min="13" max="14" width="13.28515625" style="3" bestFit="1" customWidth="1"/>
    <col min="15" max="15" width="18.28515625" style="3" customWidth="1"/>
    <col min="16" max="18" width="13.28515625" style="3" bestFit="1" customWidth="1"/>
    <col min="19" max="19" width="10.5703125" style="3" customWidth="1"/>
    <col min="20" max="20" width="9.140625" style="3"/>
    <col min="21" max="21" width="17.85546875" style="3" customWidth="1"/>
    <col min="22" max="22" width="13.28515625" style="3" bestFit="1" customWidth="1"/>
    <col min="23" max="23" width="20.85546875" style="3" bestFit="1" customWidth="1"/>
    <col min="24" max="24" width="17.85546875" style="3" customWidth="1"/>
    <col min="25" max="25" width="10.7109375" style="3" customWidth="1"/>
    <col min="26" max="26" width="12.7109375" style="3" bestFit="1" customWidth="1"/>
    <col min="27" max="27" width="14" style="3" bestFit="1" customWidth="1"/>
    <col min="28" max="28" width="13.7109375" style="3" customWidth="1"/>
    <col min="29" max="29" width="19.28515625" style="3" bestFit="1" customWidth="1"/>
    <col min="30" max="30" width="19.28515625" style="3" customWidth="1"/>
    <col min="31" max="31" width="11.7109375" style="3" bestFit="1" customWidth="1"/>
    <col min="32" max="32" width="12.7109375" style="3" bestFit="1" customWidth="1"/>
    <col min="33" max="33" width="16.28515625" style="3" customWidth="1"/>
    <col min="34" max="16384" width="9.140625" style="3"/>
  </cols>
  <sheetData>
    <row r="2" spans="1:34" x14ac:dyDescent="0.25">
      <c r="D2" s="25"/>
      <c r="E2" s="25"/>
      <c r="H2" s="3" t="s">
        <v>32</v>
      </c>
      <c r="I2" s="6" t="s">
        <v>40</v>
      </c>
      <c r="R2" s="23" t="s">
        <v>56</v>
      </c>
      <c r="S2" s="24" t="s">
        <v>66</v>
      </c>
      <c r="T2" s="23" t="s">
        <v>57</v>
      </c>
      <c r="U2" s="24" t="s">
        <v>67</v>
      </c>
      <c r="V2" s="23" t="s">
        <v>65</v>
      </c>
      <c r="W2" s="24" t="s">
        <v>64</v>
      </c>
      <c r="X2" s="3" t="s">
        <v>55</v>
      </c>
      <c r="Y2" s="3" t="s">
        <v>45</v>
      </c>
      <c r="Z2" s="23" t="s">
        <v>43</v>
      </c>
      <c r="AA2" s="23" t="s">
        <v>59</v>
      </c>
      <c r="AB2" s="24" t="s">
        <v>60</v>
      </c>
      <c r="AC2" s="24" t="s">
        <v>61</v>
      </c>
      <c r="AD2" s="3" t="s">
        <v>58</v>
      </c>
      <c r="AE2" s="23" t="s">
        <v>62</v>
      </c>
      <c r="AF2" s="24" t="s">
        <v>63</v>
      </c>
      <c r="AG2" s="3" t="s">
        <v>41</v>
      </c>
      <c r="AH2" s="3" t="s">
        <v>42</v>
      </c>
    </row>
    <row r="3" spans="1:34" x14ac:dyDescent="0.25">
      <c r="A3" s="25"/>
      <c r="B3" s="25"/>
      <c r="D3" s="26"/>
      <c r="E3" s="27"/>
      <c r="J3" s="3" t="s">
        <v>44</v>
      </c>
      <c r="K3" s="3">
        <v>45</v>
      </c>
      <c r="P3" s="3" t="s">
        <v>68</v>
      </c>
      <c r="Q3" s="3" t="s">
        <v>50</v>
      </c>
      <c r="R3" s="23"/>
      <c r="S3" s="24"/>
      <c r="T3" s="23"/>
      <c r="U3" s="24"/>
      <c r="V3" s="23"/>
      <c r="W3" s="24"/>
      <c r="X3" s="3">
        <v>90.62</v>
      </c>
      <c r="Y3" s="3">
        <f>X3*7*24</f>
        <v>15224.16</v>
      </c>
      <c r="Z3" s="23">
        <f>AVERAGE(C15:C182)</f>
        <v>40.153333333333336</v>
      </c>
      <c r="AA3" s="23">
        <f>($K$3-Z3)*24*7*$X$3</f>
        <v>73786.428799999965</v>
      </c>
      <c r="AB3" s="24">
        <f>AVERAGE(C15:C182)</f>
        <v>40.153333333333336</v>
      </c>
      <c r="AC3" s="24">
        <f>($K$3-AB3)*24*7*$X$3</f>
        <v>73786.428799999965</v>
      </c>
      <c r="AD3" s="3">
        <f>-Y3*$K$5</f>
        <v>-55720.425600000002</v>
      </c>
      <c r="AE3" s="23">
        <f>AD3+AA3</f>
        <v>18066.003199999963</v>
      </c>
      <c r="AF3" s="24">
        <f>AD3+AC3</f>
        <v>18066.003199999963</v>
      </c>
      <c r="AG3" s="3">
        <v>0</v>
      </c>
      <c r="AH3" s="3">
        <f>AE3+AG3</f>
        <v>18066.003199999963</v>
      </c>
    </row>
    <row r="4" spans="1:34" x14ac:dyDescent="0.25">
      <c r="A4" s="26"/>
      <c r="B4" s="27"/>
      <c r="D4" s="26"/>
      <c r="E4" s="27"/>
      <c r="J4" s="3" t="s">
        <v>21</v>
      </c>
      <c r="K4" s="3">
        <f>X8*24*35</f>
        <v>49245.840000000011</v>
      </c>
      <c r="P4" s="3" t="s">
        <v>69</v>
      </c>
      <c r="Q4" s="3" t="s">
        <v>51</v>
      </c>
      <c r="R4" s="23">
        <v>0.62987633052232195</v>
      </c>
      <c r="S4" s="24"/>
      <c r="T4" s="23">
        <v>9.7590866849217896E-3</v>
      </c>
      <c r="U4" s="24"/>
      <c r="V4" s="23">
        <f>AVERAGE(E15:E21)</f>
        <v>45.861428571428569</v>
      </c>
      <c r="W4" s="24"/>
      <c r="X4" s="3">
        <v>37.42</v>
      </c>
      <c r="Y4" s="3">
        <f t="shared" ref="Y4:Y7" si="0">X4*7*24</f>
        <v>6286.5599999999995</v>
      </c>
      <c r="AA4" s="3">
        <v>0</v>
      </c>
      <c r="AB4" s="24">
        <f>AVERAGE(C183:C350)</f>
        <v>43.336488095238089</v>
      </c>
      <c r="AC4" s="24">
        <f>($K$3-AB4)*24*7*$X$4</f>
        <v>10457.767400000042</v>
      </c>
      <c r="AD4" s="3">
        <f t="shared" ref="AD4:AD7" si="1">-Y4*$K$5</f>
        <v>-23008.809600000001</v>
      </c>
      <c r="AE4" s="23">
        <f t="shared" ref="AE4:AE7" si="2">AD4+AA4</f>
        <v>-23008.809600000001</v>
      </c>
      <c r="AF4" s="24">
        <f t="shared" ref="AF4:AF7" si="3">AD4+AC4</f>
        <v>-12551.042199999958</v>
      </c>
      <c r="AG4" s="3">
        <f>X14</f>
        <v>7460.1418016335638</v>
      </c>
      <c r="AH4" s="3">
        <f>AE4+AG4</f>
        <v>-15548.667798366438</v>
      </c>
    </row>
    <row r="5" spans="1:34" x14ac:dyDescent="0.25">
      <c r="D5" s="26"/>
      <c r="E5" s="27"/>
      <c r="J5" s="3" t="s">
        <v>9</v>
      </c>
      <c r="K5" s="3">
        <v>3.66</v>
      </c>
      <c r="P5" s="3" t="s">
        <v>70</v>
      </c>
      <c r="Q5" s="3" t="s">
        <v>52</v>
      </c>
      <c r="R5" s="23">
        <v>0.83956789203634097</v>
      </c>
      <c r="S5" s="24">
        <v>0.62987633052232195</v>
      </c>
      <c r="T5" s="23">
        <v>1.0587268553291E-2</v>
      </c>
      <c r="U5" s="24">
        <v>9.2091867139825999E-3</v>
      </c>
      <c r="V5" s="23">
        <f>AVERAGE(E22:E28)</f>
        <v>50.800000000000047</v>
      </c>
      <c r="W5" s="24">
        <f>AVERAGE(G22:G28)</f>
        <v>45.178571428571395</v>
      </c>
      <c r="X5" s="3">
        <v>16.43</v>
      </c>
      <c r="Y5" s="3">
        <f t="shared" si="0"/>
        <v>2760.24</v>
      </c>
      <c r="AA5" s="3">
        <v>0</v>
      </c>
      <c r="AD5" s="3">
        <f t="shared" si="1"/>
        <v>-10102.4784</v>
      </c>
      <c r="AE5" s="23">
        <f t="shared" si="2"/>
        <v>-10102.4784</v>
      </c>
      <c r="AF5" s="24">
        <f t="shared" si="3"/>
        <v>-10102.4784</v>
      </c>
      <c r="AG5" s="3">
        <f>X15</f>
        <v>2902.4223482212055</v>
      </c>
      <c r="AH5" s="3">
        <f>AE5+AG5</f>
        <v>-7200.0560517787944</v>
      </c>
    </row>
    <row r="6" spans="1:34" x14ac:dyDescent="0.25">
      <c r="D6" s="26"/>
      <c r="E6" s="27"/>
      <c r="K6" s="2">
        <v>40854</v>
      </c>
      <c r="L6" s="3" t="s">
        <v>29</v>
      </c>
      <c r="M6" s="2">
        <v>40861</v>
      </c>
      <c r="P6" s="3" t="s">
        <v>71</v>
      </c>
      <c r="Q6" s="3" t="s">
        <v>53</v>
      </c>
      <c r="R6" s="23">
        <v>0.85819740194185401</v>
      </c>
      <c r="S6" s="24">
        <v>0.83956789203634097</v>
      </c>
      <c r="T6" s="23">
        <v>1.1368329127793699E-2</v>
      </c>
      <c r="U6" s="24">
        <v>1.01513678345723E-2</v>
      </c>
      <c r="V6" s="23">
        <f>AVERAGE(E29:E35)</f>
        <v>51.249999999999886</v>
      </c>
      <c r="W6" s="24">
        <f>AVERAGE(G29:G35)</f>
        <v>44.400000000000041</v>
      </c>
      <c r="X6" s="3">
        <v>76.540000000000006</v>
      </c>
      <c r="Y6" s="3">
        <f t="shared" si="0"/>
        <v>12858.720000000001</v>
      </c>
      <c r="AA6" s="3">
        <v>0</v>
      </c>
      <c r="AD6" s="3">
        <f t="shared" si="1"/>
        <v>-47062.915200000003</v>
      </c>
      <c r="AE6" s="23">
        <f t="shared" si="2"/>
        <v>-47062.915200000003</v>
      </c>
      <c r="AF6" s="24">
        <f t="shared" si="3"/>
        <v>-47062.915200000003</v>
      </c>
      <c r="AG6" s="3">
        <f>X16</f>
        <v>20282.016108916756</v>
      </c>
      <c r="AH6" s="3">
        <f>AE6+AG6</f>
        <v>-26780.899091083247</v>
      </c>
    </row>
    <row r="7" spans="1:34" x14ac:dyDescent="0.25">
      <c r="D7" s="26"/>
      <c r="E7" s="27"/>
      <c r="J7" s="3" t="s">
        <v>11</v>
      </c>
      <c r="K7" s="4">
        <f>AVERAGE(C39:C206)</f>
        <v>40.418095238095241</v>
      </c>
      <c r="M7" s="3">
        <f>AVERAGE(C39:C374)</f>
        <v>42.01273809523812</v>
      </c>
      <c r="P7" s="3" t="s">
        <v>72</v>
      </c>
      <c r="Q7" s="3" t="s">
        <v>54</v>
      </c>
      <c r="R7" s="23">
        <v>0.84565960697100295</v>
      </c>
      <c r="S7" s="24">
        <v>0.85819740194185401</v>
      </c>
      <c r="T7" s="23">
        <v>1.2054585080490199E-2</v>
      </c>
      <c r="U7" s="24">
        <v>1.1036397519203401E-2</v>
      </c>
      <c r="V7" s="23">
        <f>AVERAGE(E36:E42)</f>
        <v>49.999999999999872</v>
      </c>
      <c r="W7" s="24">
        <f>AVERAGE(G36:G42)</f>
        <v>45.150000000000205</v>
      </c>
      <c r="X7" s="3">
        <v>72.12</v>
      </c>
      <c r="Y7" s="3">
        <f t="shared" si="0"/>
        <v>12116.16</v>
      </c>
      <c r="AA7" s="3">
        <v>0</v>
      </c>
      <c r="AD7" s="3">
        <f t="shared" si="1"/>
        <v>-44345.145600000003</v>
      </c>
      <c r="AE7" s="23">
        <f t="shared" si="2"/>
        <v>-44345.145600000003</v>
      </c>
      <c r="AF7" s="24">
        <f t="shared" si="3"/>
        <v>-44345.145600000003</v>
      </c>
      <c r="AG7" s="3">
        <f>X17</f>
        <v>28645.686758019074</v>
      </c>
      <c r="AH7" s="3">
        <f>AE7+AG7</f>
        <v>-15699.45884198093</v>
      </c>
    </row>
    <row r="8" spans="1:34" x14ac:dyDescent="0.25">
      <c r="D8" s="26"/>
      <c r="E8" s="27"/>
      <c r="J8" s="3" t="s">
        <v>17</v>
      </c>
      <c r="K8" s="3">
        <v>0.58849760765987102</v>
      </c>
      <c r="L8" s="7">
        <v>0.72255499999999995</v>
      </c>
      <c r="M8" s="3">
        <v>0.62296223066516798</v>
      </c>
      <c r="X8" s="22">
        <f>AVERAGE(X3:X7)</f>
        <v>58.626000000000012</v>
      </c>
      <c r="AE8" s="1">
        <f>SUM(AE3:AE7)</f>
        <v>-106453.34560000004</v>
      </c>
      <c r="AF8" s="1">
        <f>SUM(AF3:AF7)</f>
        <v>-95995.578200000004</v>
      </c>
      <c r="AG8" s="1">
        <f>SUM(AG3:AG7)</f>
        <v>59290.267016790604</v>
      </c>
      <c r="AH8" s="1">
        <f>SUM(AH3:AH7)</f>
        <v>-47163.078583209448</v>
      </c>
    </row>
    <row r="9" spans="1:34" x14ac:dyDescent="0.25">
      <c r="D9" s="26"/>
      <c r="E9" s="27"/>
      <c r="J9" s="3" t="s">
        <v>20</v>
      </c>
      <c r="K9" s="9">
        <v>1.1677692200749781E-2</v>
      </c>
      <c r="M9" s="9">
        <v>1.0540307092834746E-2</v>
      </c>
      <c r="W9" s="8"/>
      <c r="AA9" s="16"/>
    </row>
    <row r="10" spans="1:34" x14ac:dyDescent="0.25">
      <c r="J10" s="3" t="s">
        <v>22</v>
      </c>
      <c r="K10" s="3">
        <v>49.659516137893</v>
      </c>
      <c r="L10" s="3">
        <f>AVERAGE(E23:E38)</f>
        <v>50.717044658878024</v>
      </c>
      <c r="M10" s="3">
        <v>45.3626922562785</v>
      </c>
      <c r="W10" s="8"/>
    </row>
    <row r="11" spans="1:34" x14ac:dyDescent="0.25">
      <c r="K11" s="2"/>
      <c r="T11" s="10"/>
    </row>
    <row r="12" spans="1:34" x14ac:dyDescent="0.25">
      <c r="H12" s="3" t="s">
        <v>38</v>
      </c>
    </row>
    <row r="13" spans="1:34" x14ac:dyDescent="0.25">
      <c r="A13" s="3" t="s">
        <v>34</v>
      </c>
      <c r="D13" s="3" t="s">
        <v>39</v>
      </c>
      <c r="F13" s="3" t="s">
        <v>73</v>
      </c>
      <c r="H13" s="21" t="s">
        <v>23</v>
      </c>
      <c r="I13" s="12" t="s">
        <v>7</v>
      </c>
      <c r="J13" s="12" t="s">
        <v>0</v>
      </c>
      <c r="K13" s="12" t="s">
        <v>1</v>
      </c>
      <c r="L13" s="12" t="s">
        <v>2</v>
      </c>
      <c r="M13" s="12" t="s">
        <v>3</v>
      </c>
      <c r="N13" s="12" t="s">
        <v>4</v>
      </c>
      <c r="O13" s="12" t="s">
        <v>5</v>
      </c>
      <c r="P13" s="12" t="s">
        <v>11</v>
      </c>
      <c r="Q13" s="12" t="s">
        <v>12</v>
      </c>
      <c r="R13" s="12" t="s">
        <v>6</v>
      </c>
      <c r="S13" s="12" t="s">
        <v>13</v>
      </c>
      <c r="T13" s="12" t="s">
        <v>15</v>
      </c>
      <c r="U13" s="12" t="s">
        <v>14</v>
      </c>
      <c r="V13" s="12" t="s">
        <v>10</v>
      </c>
      <c r="W13" s="12" t="s">
        <v>16</v>
      </c>
      <c r="X13" s="12" t="s">
        <v>24</v>
      </c>
      <c r="Y13" s="12" t="s">
        <v>25</v>
      </c>
      <c r="Z13" s="12" t="s">
        <v>26</v>
      </c>
      <c r="AA13" s="12"/>
      <c r="AB13" s="12"/>
      <c r="AC13" s="13"/>
      <c r="AD13" s="13"/>
    </row>
    <row r="14" spans="1:34" x14ac:dyDescent="0.25">
      <c r="A14" s="3" t="s">
        <v>35</v>
      </c>
      <c r="B14" s="3" t="s">
        <v>36</v>
      </c>
      <c r="C14" s="3" t="s">
        <v>28</v>
      </c>
      <c r="D14" s="11" t="s">
        <v>37</v>
      </c>
      <c r="E14" s="11" t="s">
        <v>28</v>
      </c>
      <c r="F14" s="25"/>
      <c r="G14" s="25" t="s">
        <v>28</v>
      </c>
      <c r="H14" s="2">
        <v>40854</v>
      </c>
      <c r="I14" s="4" t="s">
        <v>9</v>
      </c>
      <c r="J14" s="16" t="s">
        <v>46</v>
      </c>
      <c r="K14" s="2">
        <v>40854</v>
      </c>
      <c r="L14" s="2">
        <v>40860</v>
      </c>
      <c r="M14" s="3">
        <v>45</v>
      </c>
      <c r="N14" s="23">
        <f>V4</f>
        <v>45.861428571428569</v>
      </c>
      <c r="O14" s="23">
        <f>R4</f>
        <v>0.62987633052232195</v>
      </c>
      <c r="T14" s="3">
        <v>1</v>
      </c>
      <c r="U14" s="3">
        <v>45</v>
      </c>
      <c r="V14" s="23">
        <f>T4</f>
        <v>9.7590866849217896E-3</v>
      </c>
      <c r="W14" s="8">
        <f>B76Future(H14,I14,N14,U14,L14,O14,V14)*T14</f>
        <v>1.1866810786238522</v>
      </c>
      <c r="X14" s="1">
        <f>W14*Y4</f>
        <v>7460.1418016335638</v>
      </c>
      <c r="Y14" s="1"/>
      <c r="Z14" s="1"/>
    </row>
    <row r="15" spans="1:34" x14ac:dyDescent="0.25">
      <c r="A15" s="2">
        <v>40847</v>
      </c>
      <c r="B15" s="3">
        <v>0</v>
      </c>
      <c r="C15" s="4">
        <v>36.11</v>
      </c>
      <c r="D15" s="26">
        <v>40854</v>
      </c>
      <c r="E15" s="27">
        <v>42.9</v>
      </c>
      <c r="H15" s="2">
        <v>40854</v>
      </c>
      <c r="I15" s="4" t="s">
        <v>9</v>
      </c>
      <c r="J15" s="16" t="s">
        <v>47</v>
      </c>
      <c r="K15" s="2">
        <v>40861</v>
      </c>
      <c r="L15" s="2">
        <v>40867</v>
      </c>
      <c r="M15" s="3">
        <v>45</v>
      </c>
      <c r="N15" s="23">
        <f>V5</f>
        <v>50.800000000000047</v>
      </c>
      <c r="O15" s="23">
        <f>R5</f>
        <v>0.83956789203634097</v>
      </c>
      <c r="T15" s="3">
        <f t="shared" ref="T15:T17" si="4">IF(H15&gt;K15,R15/(Q15+R15),1)</f>
        <v>1</v>
      </c>
      <c r="U15" s="3">
        <f>IF(H15&gt;K15,(S15/R15)*M15-(Q15/R15)*P15,M15)</f>
        <v>45</v>
      </c>
      <c r="V15" s="23">
        <f>T5</f>
        <v>1.0587268553291E-2</v>
      </c>
      <c r="W15" s="8">
        <f t="shared" ref="W15:W17" si="5">B76Future(H15,I15,N15,U15,L15,O15,V15)*T15</f>
        <v>1.0515108643528119</v>
      </c>
      <c r="X15" s="1">
        <f>W15*Y5</f>
        <v>2902.4223482212055</v>
      </c>
      <c r="Y15" s="1"/>
      <c r="Z15" s="1"/>
    </row>
    <row r="16" spans="1:34" x14ac:dyDescent="0.25">
      <c r="A16" s="2">
        <v>40847</v>
      </c>
      <c r="B16" s="3">
        <v>1</v>
      </c>
      <c r="C16" s="4">
        <v>35.590000000000003</v>
      </c>
      <c r="D16" s="26">
        <v>40855</v>
      </c>
      <c r="E16" s="27">
        <v>45</v>
      </c>
      <c r="H16" s="2">
        <v>40854</v>
      </c>
      <c r="I16" s="4" t="s">
        <v>9</v>
      </c>
      <c r="J16" s="16" t="s">
        <v>48</v>
      </c>
      <c r="K16" s="2">
        <v>40868</v>
      </c>
      <c r="L16" s="2">
        <v>40874</v>
      </c>
      <c r="M16" s="3">
        <v>45</v>
      </c>
      <c r="N16" s="23">
        <f>V6</f>
        <v>51.249999999999886</v>
      </c>
      <c r="O16" s="23">
        <f>R6</f>
        <v>0.85819740194185401</v>
      </c>
      <c r="T16" s="3">
        <f t="shared" si="4"/>
        <v>1</v>
      </c>
      <c r="U16" s="3">
        <f t="shared" ref="U16:U17" si="6">IF(H16&gt;K16,(S16/R16)*M16-(Q16/R16)*P16,M16)</f>
        <v>45</v>
      </c>
      <c r="V16" s="23">
        <f>T6</f>
        <v>1.1368329127793699E-2</v>
      </c>
      <c r="W16" s="8">
        <f t="shared" si="5"/>
        <v>1.5772966600809999</v>
      </c>
      <c r="X16" s="1">
        <f>W16*Y6</f>
        <v>20282.016108916756</v>
      </c>
      <c r="Y16" s="1"/>
      <c r="Z16" s="1"/>
    </row>
    <row r="17" spans="1:26" x14ac:dyDescent="0.25">
      <c r="A17" s="2">
        <v>40847</v>
      </c>
      <c r="B17" s="3">
        <v>2</v>
      </c>
      <c r="C17" s="4">
        <v>35.96</v>
      </c>
      <c r="D17" s="26">
        <v>40856</v>
      </c>
      <c r="E17" s="27">
        <v>47.43</v>
      </c>
      <c r="H17" s="2">
        <v>40854</v>
      </c>
      <c r="I17" s="4" t="s">
        <v>9</v>
      </c>
      <c r="J17" s="16" t="s">
        <v>49</v>
      </c>
      <c r="K17" s="2">
        <v>40875</v>
      </c>
      <c r="L17" s="2">
        <v>40881</v>
      </c>
      <c r="M17" s="3">
        <v>45</v>
      </c>
      <c r="N17" s="23">
        <f>V7</f>
        <v>49.999999999999872</v>
      </c>
      <c r="O17" s="23">
        <f>R7</f>
        <v>0.84565960697100295</v>
      </c>
      <c r="T17" s="3">
        <f t="shared" si="4"/>
        <v>1</v>
      </c>
      <c r="U17" s="3">
        <f t="shared" si="6"/>
        <v>45</v>
      </c>
      <c r="V17" s="23">
        <f>T7</f>
        <v>1.2054585080490199E-2</v>
      </c>
      <c r="W17" s="8">
        <f t="shared" si="5"/>
        <v>2.3642545788450362</v>
      </c>
      <c r="X17" s="1">
        <f>W17*Y7</f>
        <v>28645.686758019074</v>
      </c>
      <c r="Y17" s="1"/>
      <c r="Z17" s="1"/>
    </row>
    <row r="18" spans="1:26" x14ac:dyDescent="0.25">
      <c r="A18" s="2">
        <v>40847</v>
      </c>
      <c r="B18" s="3">
        <v>3</v>
      </c>
      <c r="C18" s="4">
        <v>36.64</v>
      </c>
      <c r="D18" s="26">
        <v>40857</v>
      </c>
      <c r="E18" s="27">
        <v>47.500000000000099</v>
      </c>
      <c r="H18" s="2"/>
      <c r="I18" s="4"/>
      <c r="J18" s="16"/>
      <c r="K18" s="2"/>
      <c r="L18" s="2"/>
      <c r="V18" s="17"/>
      <c r="W18" s="8"/>
      <c r="X18" s="1">
        <f>SUM(X14:X17)</f>
        <v>59290.267016790604</v>
      </c>
      <c r="Y18" s="1">
        <f>AE8</f>
        <v>-106453.34560000004</v>
      </c>
      <c r="Z18" s="1">
        <f>Y18+X18</f>
        <v>-47163.078583209441</v>
      </c>
    </row>
    <row r="19" spans="1:26" x14ac:dyDescent="0.25">
      <c r="A19" s="2">
        <v>40847</v>
      </c>
      <c r="B19" s="3">
        <v>4</v>
      </c>
      <c r="C19" s="4">
        <v>37.36</v>
      </c>
      <c r="D19" s="26">
        <v>40858</v>
      </c>
      <c r="E19" s="27">
        <v>48</v>
      </c>
      <c r="H19" s="16"/>
      <c r="I19" s="4"/>
      <c r="J19" s="16"/>
      <c r="K19" s="2"/>
      <c r="L19" s="2"/>
      <c r="W19" s="8"/>
      <c r="X19" s="4"/>
    </row>
    <row r="20" spans="1:26" x14ac:dyDescent="0.25">
      <c r="A20" s="2">
        <v>40847</v>
      </c>
      <c r="B20" s="3">
        <v>5</v>
      </c>
      <c r="C20" s="4">
        <v>38.549999999999997</v>
      </c>
      <c r="D20" s="26">
        <v>40859</v>
      </c>
      <c r="E20" s="27">
        <v>45.100000000000101</v>
      </c>
      <c r="H20" s="16" t="s">
        <v>27</v>
      </c>
      <c r="I20" s="4"/>
      <c r="J20" s="16"/>
      <c r="K20" s="2"/>
      <c r="L20" s="2"/>
      <c r="W20" s="8"/>
    </row>
    <row r="21" spans="1:26" x14ac:dyDescent="0.25">
      <c r="A21" s="2">
        <v>40847</v>
      </c>
      <c r="B21" s="3">
        <v>6</v>
      </c>
      <c r="C21" s="4">
        <v>40.82</v>
      </c>
      <c r="D21" s="26">
        <v>40860</v>
      </c>
      <c r="E21" s="27">
        <v>45.099999999999802</v>
      </c>
      <c r="H21" s="2">
        <v>40861</v>
      </c>
      <c r="I21" s="4" t="s">
        <v>9</v>
      </c>
      <c r="J21" s="16" t="s">
        <v>47</v>
      </c>
      <c r="K21" s="2">
        <v>40861</v>
      </c>
      <c r="L21" s="2">
        <v>40867</v>
      </c>
      <c r="M21" s="3">
        <v>45</v>
      </c>
      <c r="N21" s="23">
        <f>V5</f>
        <v>50.800000000000047</v>
      </c>
      <c r="O21" s="23">
        <f>R5</f>
        <v>0.83956789203634097</v>
      </c>
      <c r="T21" s="3">
        <f t="shared" ref="T21:T23" si="7">IF(H21&gt;K21,R21/(Q21+R21),1)</f>
        <v>1</v>
      </c>
      <c r="U21" s="3">
        <f>IF(H21&gt;K21,(S21/R21)*M21-(Q21/R21)*P21,M21)</f>
        <v>45</v>
      </c>
      <c r="V21" s="23">
        <f>T5</f>
        <v>1.0587268553291E-2</v>
      </c>
      <c r="W21" s="8">
        <f t="shared" ref="W21:W23" si="8">B76Future(H21,I21,N21,U21,L21,O21,V21)*T21</f>
        <v>0.42613700737262389</v>
      </c>
      <c r="X21" s="1">
        <f>W21*Y5</f>
        <v>1176.2404132302113</v>
      </c>
    </row>
    <row r="22" spans="1:26" x14ac:dyDescent="0.25">
      <c r="A22" s="2">
        <v>40847</v>
      </c>
      <c r="B22" s="3">
        <v>7</v>
      </c>
      <c r="C22" s="4">
        <v>43.21</v>
      </c>
      <c r="D22" s="26">
        <v>40861</v>
      </c>
      <c r="E22" s="27">
        <v>52.566156629489903</v>
      </c>
      <c r="F22" s="26">
        <v>40861</v>
      </c>
      <c r="G22" s="27">
        <v>44.8</v>
      </c>
      <c r="H22" s="2">
        <v>40861</v>
      </c>
      <c r="I22" s="4" t="s">
        <v>9</v>
      </c>
      <c r="J22" s="16" t="s">
        <v>48</v>
      </c>
      <c r="K22" s="2">
        <v>40868</v>
      </c>
      <c r="L22" s="2">
        <v>40874</v>
      </c>
      <c r="M22" s="3">
        <v>45</v>
      </c>
      <c r="N22" s="23">
        <f>$V$6</f>
        <v>51.249999999999886</v>
      </c>
      <c r="O22" s="23">
        <f>R6</f>
        <v>0.85819740194185401</v>
      </c>
      <c r="T22" s="3">
        <f t="shared" si="7"/>
        <v>1</v>
      </c>
      <c r="U22" s="3">
        <f t="shared" ref="U22:U23" si="9">IF(H22&gt;K22,(S22/R22)*M22-(Q22/R22)*P22,M22)</f>
        <v>45</v>
      </c>
      <c r="V22" s="23">
        <f t="shared" ref="V22:V23" si="10">T6</f>
        <v>1.1368329127793699E-2</v>
      </c>
      <c r="W22" s="8">
        <f t="shared" si="8"/>
        <v>1.0133782362577191</v>
      </c>
      <c r="X22" s="1">
        <f>W22*Y6</f>
        <v>13030.746994131858</v>
      </c>
    </row>
    <row r="23" spans="1:26" x14ac:dyDescent="0.25">
      <c r="A23" s="2">
        <v>40847</v>
      </c>
      <c r="B23" s="3">
        <v>8</v>
      </c>
      <c r="C23" s="4">
        <v>44.08</v>
      </c>
      <c r="D23" s="14">
        <v>40862</v>
      </c>
      <c r="E23" s="15">
        <v>52.667765363861498</v>
      </c>
      <c r="F23" s="26">
        <v>40862</v>
      </c>
      <c r="G23" s="27">
        <v>46.7</v>
      </c>
      <c r="H23" s="2">
        <v>40861</v>
      </c>
      <c r="I23" s="4" t="s">
        <v>9</v>
      </c>
      <c r="J23" s="16" t="s">
        <v>49</v>
      </c>
      <c r="K23" s="2">
        <v>40875</v>
      </c>
      <c r="L23" s="2">
        <v>40881</v>
      </c>
      <c r="M23" s="3">
        <v>45</v>
      </c>
      <c r="N23" s="23">
        <f>$V$7</f>
        <v>49.999999999999872</v>
      </c>
      <c r="O23" s="23">
        <f>R7</f>
        <v>0.84565960697100295</v>
      </c>
      <c r="T23" s="3">
        <f t="shared" si="7"/>
        <v>1</v>
      </c>
      <c r="U23" s="3">
        <f t="shared" si="9"/>
        <v>45</v>
      </c>
      <c r="V23" s="23">
        <f t="shared" si="10"/>
        <v>1.2054585080490199E-2</v>
      </c>
      <c r="W23" s="8">
        <f t="shared" si="8"/>
        <v>1.8399510013508087</v>
      </c>
      <c r="X23" s="1">
        <f>W23*Y7</f>
        <v>22293.140724526613</v>
      </c>
    </row>
    <row r="24" spans="1:26" x14ac:dyDescent="0.25">
      <c r="A24" s="2">
        <v>40847</v>
      </c>
      <c r="B24" s="3">
        <v>9</v>
      </c>
      <c r="C24" s="4">
        <v>44.81</v>
      </c>
      <c r="D24" s="14">
        <v>40863</v>
      </c>
      <c r="E24" s="15">
        <v>53.110428537447604</v>
      </c>
      <c r="F24" s="26">
        <v>40863</v>
      </c>
      <c r="G24" s="27">
        <v>47.249999999999901</v>
      </c>
      <c r="H24" s="2"/>
      <c r="I24" s="4"/>
      <c r="J24" s="16"/>
      <c r="K24" s="2"/>
      <c r="L24" s="2"/>
      <c r="V24" s="17"/>
      <c r="W24" s="8"/>
      <c r="X24" s="1">
        <f>SUM(X21:X23)</f>
        <v>36500.128131888683</v>
      </c>
      <c r="Y24" s="1">
        <f>$AF$8</f>
        <v>-95995.578200000004</v>
      </c>
      <c r="Z24" s="1">
        <f>Y24+X24</f>
        <v>-59495.45006811132</v>
      </c>
    </row>
    <row r="25" spans="1:26" x14ac:dyDescent="0.25">
      <c r="A25" s="2">
        <v>40847</v>
      </c>
      <c r="B25" s="3">
        <v>10</v>
      </c>
      <c r="C25" s="4">
        <v>43.93</v>
      </c>
      <c r="D25" s="14">
        <v>40864</v>
      </c>
      <c r="E25" s="15">
        <v>51.955404050919803</v>
      </c>
      <c r="F25" s="26">
        <v>40864</v>
      </c>
      <c r="G25" s="27">
        <v>47.000000000000099</v>
      </c>
      <c r="H25" s="16"/>
      <c r="I25" s="4"/>
      <c r="J25" s="16"/>
      <c r="K25" s="2"/>
      <c r="L25" s="2"/>
      <c r="W25" s="8"/>
      <c r="X25" s="4"/>
    </row>
    <row r="26" spans="1:26" x14ac:dyDescent="0.25">
      <c r="A26" s="2">
        <v>40847</v>
      </c>
      <c r="B26" s="3">
        <v>11</v>
      </c>
      <c r="C26" s="4">
        <v>42.99</v>
      </c>
      <c r="D26" s="14">
        <v>40865</v>
      </c>
      <c r="E26" s="15">
        <v>50.651028551258598</v>
      </c>
      <c r="F26" s="26">
        <v>40865</v>
      </c>
      <c r="G26" s="27">
        <v>46.499999999999901</v>
      </c>
      <c r="H26" s="16" t="s">
        <v>30</v>
      </c>
      <c r="I26" s="4"/>
      <c r="J26" s="16"/>
      <c r="K26" s="2"/>
      <c r="L26" s="2"/>
      <c r="W26" s="8"/>
    </row>
    <row r="27" spans="1:26" x14ac:dyDescent="0.25">
      <c r="A27" s="2">
        <v>40847</v>
      </c>
      <c r="B27" s="3">
        <v>12</v>
      </c>
      <c r="C27" s="4">
        <v>42.11</v>
      </c>
      <c r="D27" s="14">
        <v>40866</v>
      </c>
      <c r="E27" s="15">
        <v>47.803262455230801</v>
      </c>
      <c r="F27" s="26">
        <v>40866</v>
      </c>
      <c r="G27" s="27">
        <v>42</v>
      </c>
      <c r="H27" s="2">
        <v>40861</v>
      </c>
      <c r="I27" s="4" t="s">
        <v>9</v>
      </c>
      <c r="J27" s="16" t="s">
        <v>47</v>
      </c>
      <c r="K27" s="2">
        <v>40861</v>
      </c>
      <c r="L27" s="2">
        <v>40867</v>
      </c>
      <c r="M27" s="3">
        <v>45</v>
      </c>
      <c r="N27" s="24">
        <f>$W$5</f>
        <v>45.178571428571395</v>
      </c>
      <c r="O27" s="23">
        <f>R5</f>
        <v>0.83956789203634097</v>
      </c>
      <c r="T27" s="3">
        <f t="shared" ref="T27:T29" si="11">IF(H27&gt;K27,R27/(Q27+R27),1)</f>
        <v>1</v>
      </c>
      <c r="U27" s="3">
        <f>IF(H27&gt;K27,(S27/R27)*M27-(Q27/R27)*P27,M27)</f>
        <v>45</v>
      </c>
      <c r="V27" s="23">
        <f>T5</f>
        <v>1.0587268553291E-2</v>
      </c>
      <c r="W27" s="8">
        <f t="shared" ref="W27:W29" si="12">B76Future(H27,I27,N27,U27,L27,O27,V27)*T27</f>
        <v>2.0017642993627924</v>
      </c>
      <c r="X27" s="1">
        <f>W27*Y5</f>
        <v>5525.3498896731535</v>
      </c>
    </row>
    <row r="28" spans="1:26" x14ac:dyDescent="0.25">
      <c r="A28" s="2">
        <v>40847</v>
      </c>
      <c r="B28" s="3">
        <v>13</v>
      </c>
      <c r="C28" s="4">
        <v>41.87</v>
      </c>
      <c r="D28" s="14">
        <v>40867</v>
      </c>
      <c r="E28" s="15">
        <v>46.8459544117921</v>
      </c>
      <c r="F28" s="26">
        <v>40867</v>
      </c>
      <c r="G28" s="27">
        <v>41.999999999999901</v>
      </c>
      <c r="H28" s="2">
        <v>40861</v>
      </c>
      <c r="I28" s="4" t="s">
        <v>9</v>
      </c>
      <c r="J28" s="16" t="s">
        <v>48</v>
      </c>
      <c r="K28" s="2">
        <v>40868</v>
      </c>
      <c r="L28" s="2">
        <v>40874</v>
      </c>
      <c r="M28" s="3">
        <v>45</v>
      </c>
      <c r="N28" s="24">
        <f>$W$6</f>
        <v>44.400000000000041</v>
      </c>
      <c r="O28" s="23">
        <f>R6</f>
        <v>0.85819740194185401</v>
      </c>
      <c r="T28" s="3">
        <f t="shared" si="11"/>
        <v>1</v>
      </c>
      <c r="U28" s="3">
        <f t="shared" ref="U28:U29" si="13">IF(H28&gt;K28,(S28/R28)*M28-(Q28/R28)*P28,M28)</f>
        <v>45</v>
      </c>
      <c r="V28" s="23">
        <f>T6</f>
        <v>1.1368329127793699E-2</v>
      </c>
      <c r="W28" s="8">
        <f t="shared" si="12"/>
        <v>3.3018010435478105</v>
      </c>
      <c r="X28" s="1">
        <f>W28*Y6</f>
        <v>42456.935114689106</v>
      </c>
    </row>
    <row r="29" spans="1:26" x14ac:dyDescent="0.25">
      <c r="A29" s="2">
        <v>40847</v>
      </c>
      <c r="B29" s="3">
        <v>14</v>
      </c>
      <c r="C29" s="4">
        <v>42.17</v>
      </c>
      <c r="D29" s="14">
        <v>40868</v>
      </c>
      <c r="E29" s="15">
        <v>52.6120027580467</v>
      </c>
      <c r="F29" s="26">
        <v>40868</v>
      </c>
      <c r="G29" s="27">
        <v>45.871635296874302</v>
      </c>
      <c r="H29" s="2">
        <v>40861</v>
      </c>
      <c r="I29" s="4" t="s">
        <v>9</v>
      </c>
      <c r="J29" s="16" t="s">
        <v>49</v>
      </c>
      <c r="K29" s="2">
        <v>40875</v>
      </c>
      <c r="L29" s="2">
        <v>40881</v>
      </c>
      <c r="M29" s="3">
        <v>45</v>
      </c>
      <c r="N29" s="24">
        <f>$W$7</f>
        <v>45.150000000000205</v>
      </c>
      <c r="O29" s="23">
        <f>R7</f>
        <v>0.84565960697100295</v>
      </c>
      <c r="T29" s="3">
        <f t="shared" si="11"/>
        <v>1</v>
      </c>
      <c r="U29" s="3">
        <f t="shared" si="13"/>
        <v>45</v>
      </c>
      <c r="V29" s="23">
        <f>T7</f>
        <v>1.2054585080490199E-2</v>
      </c>
      <c r="W29" s="8">
        <f t="shared" si="12"/>
        <v>3.5643498693095554</v>
      </c>
      <c r="X29" s="1">
        <f>W29*Y7</f>
        <v>43186.233312533666</v>
      </c>
    </row>
    <row r="30" spans="1:26" x14ac:dyDescent="0.25">
      <c r="A30" s="2">
        <v>40847</v>
      </c>
      <c r="B30" s="3">
        <v>15</v>
      </c>
      <c r="C30" s="4">
        <v>42.11</v>
      </c>
      <c r="D30" s="14">
        <v>40869</v>
      </c>
      <c r="E30" s="15">
        <v>52.691385087814503</v>
      </c>
      <c r="F30" s="26">
        <v>40869</v>
      </c>
      <c r="G30" s="27">
        <v>45.956521244932503</v>
      </c>
      <c r="H30" s="16"/>
      <c r="I30" s="4"/>
      <c r="J30" s="16"/>
      <c r="K30" s="2"/>
      <c r="L30" s="2"/>
      <c r="W30" s="8"/>
      <c r="X30" s="1">
        <f>SUM(X27:X29)</f>
        <v>91168.518316895934</v>
      </c>
      <c r="Y30" s="1">
        <f>$AF$8</f>
        <v>-95995.578200000004</v>
      </c>
      <c r="Z30" s="1">
        <f>Y30+X30</f>
        <v>-4827.0598831040697</v>
      </c>
    </row>
    <row r="31" spans="1:26" x14ac:dyDescent="0.25">
      <c r="A31" s="2">
        <v>40847</v>
      </c>
      <c r="B31" s="3">
        <v>16</v>
      </c>
      <c r="C31" s="4">
        <v>43.46</v>
      </c>
      <c r="D31" s="14">
        <v>40870</v>
      </c>
      <c r="E31" s="15">
        <v>53.048701417961901</v>
      </c>
      <c r="F31" s="26">
        <v>40870</v>
      </c>
      <c r="G31" s="27">
        <v>46.328618766923</v>
      </c>
      <c r="H31" s="16" t="s">
        <v>31</v>
      </c>
      <c r="I31" s="4"/>
      <c r="J31" s="16"/>
      <c r="K31" s="2"/>
      <c r="L31" s="2"/>
      <c r="W31" s="8"/>
      <c r="X31" s="4"/>
    </row>
    <row r="32" spans="1:26" x14ac:dyDescent="0.25">
      <c r="A32" s="2">
        <v>40847</v>
      </c>
      <c r="B32" s="3">
        <v>17</v>
      </c>
      <c r="C32" s="4">
        <v>46.13</v>
      </c>
      <c r="D32" s="14">
        <v>40871</v>
      </c>
      <c r="E32" s="15">
        <v>52.1726980769851</v>
      </c>
      <c r="F32" s="26">
        <v>40871</v>
      </c>
      <c r="G32" s="27">
        <v>45.369346074378299</v>
      </c>
      <c r="H32" s="2">
        <v>40861</v>
      </c>
      <c r="I32" s="4" t="s">
        <v>9</v>
      </c>
      <c r="J32" s="16" t="s">
        <v>47</v>
      </c>
      <c r="K32" s="2">
        <v>40861</v>
      </c>
      <c r="L32" s="2">
        <v>40867</v>
      </c>
      <c r="M32" s="3">
        <v>45</v>
      </c>
      <c r="N32" s="24">
        <f>$W$5</f>
        <v>45.178571428571395</v>
      </c>
      <c r="O32" s="24">
        <f>S5</f>
        <v>0.62987633052232195</v>
      </c>
      <c r="T32" s="3">
        <f t="shared" ref="T32:T34" si="14">IF(H32&gt;K32,R32/(Q32+R32),1)</f>
        <v>1</v>
      </c>
      <c r="U32" s="3">
        <f>IF(H32&gt;K32,(S32/R32)*M32-(Q32/R32)*P32,M32)</f>
        <v>45</v>
      </c>
      <c r="V32" s="23">
        <f>T5</f>
        <v>1.0587268553291E-2</v>
      </c>
      <c r="W32" s="8">
        <f t="shared" ref="W32:W34" si="15">B76Future(H32,I32,N32,U32,L32,O32,V32)*T32</f>
        <v>1.4805980564913663</v>
      </c>
      <c r="X32" s="1">
        <f>W32*Y5</f>
        <v>4086.8059794497285</v>
      </c>
    </row>
    <row r="33" spans="1:26" x14ac:dyDescent="0.25">
      <c r="A33" s="2">
        <v>40847</v>
      </c>
      <c r="B33" s="3">
        <v>18</v>
      </c>
      <c r="C33" s="3">
        <v>46.2</v>
      </c>
      <c r="D33" s="14">
        <v>40872</v>
      </c>
      <c r="E33" s="15">
        <v>51.1523735844779</v>
      </c>
      <c r="F33" s="26">
        <v>40872</v>
      </c>
      <c r="G33" s="27">
        <v>44.279494094795197</v>
      </c>
      <c r="H33" s="2">
        <v>40861</v>
      </c>
      <c r="I33" s="4" t="s">
        <v>9</v>
      </c>
      <c r="J33" s="16" t="s">
        <v>48</v>
      </c>
      <c r="K33" s="2">
        <v>40868</v>
      </c>
      <c r="L33" s="2">
        <v>40874</v>
      </c>
      <c r="M33" s="3">
        <v>45</v>
      </c>
      <c r="N33" s="24">
        <f>$W$6</f>
        <v>44.400000000000041</v>
      </c>
      <c r="O33" s="24">
        <f>S6</f>
        <v>0.83956789203634097</v>
      </c>
      <c r="T33" s="3">
        <f t="shared" si="14"/>
        <v>1</v>
      </c>
      <c r="U33" s="3">
        <f t="shared" ref="U33:U34" si="16">IF(H33&gt;K33,(S33/R33)*M33-(Q33/R33)*P33,M33)</f>
        <v>45</v>
      </c>
      <c r="V33" s="23">
        <f t="shared" ref="V33:V34" si="17">T6</f>
        <v>1.1368329127793699E-2</v>
      </c>
      <c r="W33" s="8">
        <f t="shared" si="15"/>
        <v>3.237202725262788</v>
      </c>
      <c r="X33" s="1">
        <f>W33*Y6</f>
        <v>41626.283427391121</v>
      </c>
    </row>
    <row r="34" spans="1:26" x14ac:dyDescent="0.25">
      <c r="A34" s="2">
        <v>40847</v>
      </c>
      <c r="B34" s="3">
        <v>19</v>
      </c>
      <c r="C34" s="3">
        <v>43.43</v>
      </c>
      <c r="D34" s="14">
        <v>40873</v>
      </c>
      <c r="E34" s="15">
        <v>48.924976657348502</v>
      </c>
      <c r="F34" s="26">
        <v>40873</v>
      </c>
      <c r="G34" s="27">
        <v>41.9000470173089</v>
      </c>
      <c r="H34" s="2">
        <v>40861</v>
      </c>
      <c r="I34" s="4" t="s">
        <v>9</v>
      </c>
      <c r="J34" s="16" t="s">
        <v>49</v>
      </c>
      <c r="K34" s="2">
        <v>40875</v>
      </c>
      <c r="L34" s="2">
        <v>40881</v>
      </c>
      <c r="M34" s="3">
        <v>45</v>
      </c>
      <c r="N34" s="24">
        <f>$W$7</f>
        <v>45.150000000000205</v>
      </c>
      <c r="O34" s="24">
        <f>S7</f>
        <v>0.85819740194185401</v>
      </c>
      <c r="T34" s="3">
        <f t="shared" si="14"/>
        <v>1</v>
      </c>
      <c r="U34" s="3">
        <f t="shared" si="16"/>
        <v>45</v>
      </c>
      <c r="V34" s="23">
        <f t="shared" si="17"/>
        <v>1.2054585080490199E-2</v>
      </c>
      <c r="W34" s="8">
        <f t="shared" si="15"/>
        <v>3.6181030130668179</v>
      </c>
      <c r="X34" s="1">
        <f>W34*Y7</f>
        <v>43837.515002799657</v>
      </c>
    </row>
    <row r="35" spans="1:26" x14ac:dyDescent="0.25">
      <c r="A35" s="2">
        <v>40847</v>
      </c>
      <c r="B35" s="3">
        <v>20</v>
      </c>
      <c r="C35" s="3">
        <v>40.93</v>
      </c>
      <c r="D35" s="14">
        <v>40874</v>
      </c>
      <c r="E35" s="15">
        <v>48.1478624173646</v>
      </c>
      <c r="F35" s="26">
        <v>40874</v>
      </c>
      <c r="G35" s="27">
        <v>41.094337504788101</v>
      </c>
      <c r="H35" s="2"/>
      <c r="I35" s="4"/>
      <c r="J35" s="16"/>
      <c r="K35" s="2"/>
      <c r="L35" s="2"/>
      <c r="V35" s="17"/>
      <c r="W35" s="8"/>
      <c r="X35" s="1">
        <f>SUM(X32:X34)</f>
        <v>89550.604409640509</v>
      </c>
      <c r="Y35" s="1">
        <f>$AF$8</f>
        <v>-95995.578200000004</v>
      </c>
      <c r="Z35" s="1">
        <f>Y35+X35</f>
        <v>-6444.9737903594942</v>
      </c>
    </row>
    <row r="36" spans="1:26" x14ac:dyDescent="0.25">
      <c r="A36" s="2">
        <v>40847</v>
      </c>
      <c r="B36" s="3">
        <v>21</v>
      </c>
      <c r="C36" s="3">
        <v>40.26</v>
      </c>
      <c r="D36" s="14">
        <v>40875</v>
      </c>
      <c r="E36" s="15">
        <v>49.733930247097597</v>
      </c>
      <c r="F36" s="26">
        <v>40875</v>
      </c>
      <c r="G36" s="27">
        <v>47.708433824913698</v>
      </c>
      <c r="H36" s="16"/>
      <c r="I36" s="4"/>
      <c r="J36" s="16"/>
      <c r="K36" s="2"/>
      <c r="L36" s="2"/>
      <c r="W36" s="8"/>
    </row>
    <row r="37" spans="1:26" x14ac:dyDescent="0.25">
      <c r="A37" s="2">
        <v>40847</v>
      </c>
      <c r="B37" s="3">
        <v>22</v>
      </c>
      <c r="C37" s="3">
        <v>39.06</v>
      </c>
      <c r="D37" s="14">
        <v>40876</v>
      </c>
      <c r="E37" s="15">
        <v>49.809998067115302</v>
      </c>
      <c r="F37" s="26">
        <v>40876</v>
      </c>
      <c r="G37" s="27">
        <v>47.772754299012497</v>
      </c>
      <c r="H37" s="16" t="s">
        <v>18</v>
      </c>
      <c r="I37" s="4"/>
      <c r="J37" s="16"/>
      <c r="K37" s="2"/>
      <c r="L37" s="2"/>
      <c r="W37" s="8"/>
      <c r="X37" s="4"/>
    </row>
    <row r="38" spans="1:26" x14ac:dyDescent="0.25">
      <c r="A38" s="2">
        <v>40847</v>
      </c>
      <c r="B38" s="3">
        <v>23</v>
      </c>
      <c r="C38" s="3">
        <v>37.42</v>
      </c>
      <c r="D38" s="14">
        <v>40877</v>
      </c>
      <c r="E38" s="15">
        <v>50.144942857325702</v>
      </c>
      <c r="F38" s="26">
        <v>40877</v>
      </c>
      <c r="G38" s="27">
        <v>48.0718879765301</v>
      </c>
      <c r="H38" s="2">
        <v>40861</v>
      </c>
      <c r="I38" s="4" t="s">
        <v>9</v>
      </c>
      <c r="J38" s="16" t="s">
        <v>47</v>
      </c>
      <c r="K38" s="2">
        <v>40861</v>
      </c>
      <c r="L38" s="2">
        <v>40867</v>
      </c>
      <c r="M38" s="3">
        <v>45</v>
      </c>
      <c r="N38" s="24">
        <f>$W$5</f>
        <v>45.178571428571395</v>
      </c>
      <c r="O38" s="24">
        <f>S5</f>
        <v>0.62987633052232195</v>
      </c>
      <c r="T38" s="3">
        <f t="shared" ref="T38:T40" si="18">IF(H38&gt;K38,R38/(Q38+R38),1)</f>
        <v>1</v>
      </c>
      <c r="U38" s="3">
        <f>IF(H38&gt;K38,(S38/R38)*M38-(Q38/R38)*P38,M38)</f>
        <v>45</v>
      </c>
      <c r="V38" s="24">
        <f>U5</f>
        <v>9.2091867139825999E-3</v>
      </c>
      <c r="W38" s="8">
        <f t="shared" ref="W38:W40" si="19">B76Future(H38,I38,N38,U38,L38,O38,V38)*T38</f>
        <v>1.4806371876853139</v>
      </c>
      <c r="X38" s="1">
        <f>W38*Y5</f>
        <v>4086.9139909365108</v>
      </c>
    </row>
    <row r="39" spans="1:26" x14ac:dyDescent="0.25">
      <c r="A39" s="18">
        <v>40848</v>
      </c>
      <c r="B39" s="3">
        <v>0</v>
      </c>
      <c r="C39" s="3">
        <v>37.520000000000003</v>
      </c>
      <c r="D39" s="26">
        <v>40878</v>
      </c>
      <c r="E39" s="27">
        <v>52.200883930637197</v>
      </c>
      <c r="F39" s="26">
        <v>40878</v>
      </c>
      <c r="G39" s="27">
        <v>45.491800064602998</v>
      </c>
      <c r="H39" s="2">
        <v>40861</v>
      </c>
      <c r="I39" s="4" t="s">
        <v>9</v>
      </c>
      <c r="J39" s="16" t="s">
        <v>48</v>
      </c>
      <c r="K39" s="2">
        <v>40868</v>
      </c>
      <c r="L39" s="2">
        <v>40874</v>
      </c>
      <c r="M39" s="3">
        <v>45</v>
      </c>
      <c r="N39" s="24">
        <f>$W$6</f>
        <v>44.400000000000041</v>
      </c>
      <c r="O39" s="24">
        <f>S6</f>
        <v>0.83956789203634097</v>
      </c>
      <c r="T39" s="3">
        <f t="shared" si="18"/>
        <v>1</v>
      </c>
      <c r="U39" s="3">
        <f t="shared" ref="U39:U40" si="20">IF(H39&gt;K39,(S39/R39)*M39-(Q39/R39)*P39,M39)</f>
        <v>45</v>
      </c>
      <c r="V39" s="24">
        <f t="shared" ref="V39:V40" si="21">U6</f>
        <v>1.01513678345723E-2</v>
      </c>
      <c r="W39" s="8">
        <f t="shared" si="19"/>
        <v>3.2373538348328172</v>
      </c>
      <c r="X39" s="1">
        <f>W39*Y6</f>
        <v>41628.226503041449</v>
      </c>
    </row>
    <row r="40" spans="1:26" x14ac:dyDescent="0.25">
      <c r="A40" s="18">
        <v>40848</v>
      </c>
      <c r="B40" s="3">
        <v>1</v>
      </c>
      <c r="C40" s="3">
        <v>37.1</v>
      </c>
      <c r="D40" s="26">
        <v>40879</v>
      </c>
      <c r="E40" s="27">
        <v>51.098217365855398</v>
      </c>
      <c r="F40" s="26">
        <v>40879</v>
      </c>
      <c r="G40" s="27">
        <v>44.639445005809598</v>
      </c>
      <c r="H40" s="2">
        <v>40861</v>
      </c>
      <c r="I40" s="4" t="s">
        <v>9</v>
      </c>
      <c r="J40" s="16" t="s">
        <v>49</v>
      </c>
      <c r="K40" s="2">
        <v>40875</v>
      </c>
      <c r="L40" s="2">
        <v>40881</v>
      </c>
      <c r="M40" s="3">
        <v>45</v>
      </c>
      <c r="N40" s="24">
        <f>$W$7</f>
        <v>45.150000000000205</v>
      </c>
      <c r="O40" s="24">
        <f>S7</f>
        <v>0.85819740194185401</v>
      </c>
      <c r="T40" s="3">
        <f t="shared" si="18"/>
        <v>1</v>
      </c>
      <c r="U40" s="3">
        <f t="shared" si="20"/>
        <v>45</v>
      </c>
      <c r="V40" s="24">
        <f t="shared" si="21"/>
        <v>1.1036397519203401E-2</v>
      </c>
      <c r="W40" s="8">
        <f t="shared" si="19"/>
        <v>3.6183149701165571</v>
      </c>
      <c r="X40" s="1">
        <f>W40*Y7</f>
        <v>43840.083108327424</v>
      </c>
    </row>
    <row r="41" spans="1:26" x14ac:dyDescent="0.25">
      <c r="A41" s="18">
        <v>40848</v>
      </c>
      <c r="B41" s="3">
        <v>2</v>
      </c>
      <c r="C41" s="3">
        <v>34.96</v>
      </c>
      <c r="D41" s="26">
        <v>40880</v>
      </c>
      <c r="E41" s="27">
        <v>48.370535949537597</v>
      </c>
      <c r="F41" s="26">
        <v>40880</v>
      </c>
      <c r="G41" s="27">
        <v>41.083319420924603</v>
      </c>
      <c r="H41" s="2"/>
      <c r="I41" s="4"/>
      <c r="J41" s="16"/>
      <c r="K41" s="2"/>
      <c r="L41" s="2"/>
      <c r="V41" s="17"/>
      <c r="W41" s="8"/>
      <c r="X41" s="1">
        <f>SUM(X38:X40)</f>
        <v>89555.223602305385</v>
      </c>
      <c r="Y41" s="1">
        <f>$AF$8</f>
        <v>-95995.578200000004</v>
      </c>
      <c r="Z41" s="1">
        <f>Y41+X41</f>
        <v>-6440.3545976946189</v>
      </c>
    </row>
    <row r="42" spans="1:26" x14ac:dyDescent="0.25">
      <c r="A42" s="18">
        <v>40848</v>
      </c>
      <c r="B42" s="3">
        <v>3</v>
      </c>
      <c r="C42" s="3">
        <v>32.36</v>
      </c>
      <c r="D42" s="26">
        <v>40881</v>
      </c>
      <c r="E42" s="27">
        <v>48.641491582430298</v>
      </c>
      <c r="F42" s="26">
        <v>40881</v>
      </c>
      <c r="G42" s="27">
        <v>41.282359408207903</v>
      </c>
      <c r="H42" s="16"/>
      <c r="I42" s="4"/>
      <c r="J42" s="16"/>
      <c r="K42" s="2"/>
      <c r="L42" s="2"/>
      <c r="W42" s="8"/>
    </row>
    <row r="43" spans="1:26" x14ac:dyDescent="0.25">
      <c r="A43" s="18">
        <v>40848</v>
      </c>
      <c r="B43" s="3">
        <v>4</v>
      </c>
      <c r="C43" s="3">
        <v>34.42</v>
      </c>
      <c r="G43" s="2"/>
      <c r="H43" s="16"/>
      <c r="I43" s="4"/>
      <c r="K43" s="2"/>
      <c r="L43" s="2"/>
      <c r="W43" s="8"/>
    </row>
    <row r="44" spans="1:26" x14ac:dyDescent="0.25">
      <c r="A44" s="18">
        <v>40848</v>
      </c>
      <c r="B44" s="3">
        <v>5</v>
      </c>
      <c r="C44" s="3">
        <v>37.06</v>
      </c>
      <c r="G44" s="2"/>
      <c r="H44" s="16"/>
      <c r="I44" s="4"/>
      <c r="J44" s="16"/>
      <c r="K44" s="2"/>
      <c r="L44" s="2"/>
      <c r="W44" s="8"/>
    </row>
    <row r="45" spans="1:26" x14ac:dyDescent="0.25">
      <c r="A45" s="18">
        <v>40848</v>
      </c>
      <c r="B45" s="3">
        <v>6</v>
      </c>
      <c r="C45" s="3">
        <v>40.340000000000003</v>
      </c>
      <c r="G45" s="2"/>
      <c r="H45" s="16"/>
      <c r="I45" s="4"/>
      <c r="J45" s="16"/>
      <c r="K45" s="2"/>
      <c r="L45" s="2"/>
      <c r="W45" s="8"/>
    </row>
    <row r="46" spans="1:26" x14ac:dyDescent="0.25">
      <c r="A46" s="18">
        <v>40848</v>
      </c>
      <c r="B46" s="3">
        <v>7</v>
      </c>
      <c r="C46" s="3">
        <v>41.78</v>
      </c>
      <c r="G46" s="2"/>
      <c r="H46" s="16"/>
      <c r="I46" s="4"/>
      <c r="J46" s="16"/>
      <c r="K46" s="2"/>
      <c r="L46" s="2"/>
      <c r="W46" s="8"/>
    </row>
    <row r="47" spans="1:26" x14ac:dyDescent="0.25">
      <c r="A47" s="18">
        <v>40848</v>
      </c>
      <c r="B47" s="3">
        <v>8</v>
      </c>
      <c r="C47" s="3">
        <v>42.67</v>
      </c>
      <c r="G47" s="2"/>
      <c r="H47" s="16"/>
      <c r="I47" s="4"/>
      <c r="J47" s="16"/>
      <c r="K47" s="2"/>
      <c r="L47" s="2"/>
      <c r="W47" s="8"/>
    </row>
    <row r="48" spans="1:26" x14ac:dyDescent="0.25">
      <c r="A48" s="18">
        <v>40848</v>
      </c>
      <c r="B48" s="3">
        <v>9</v>
      </c>
      <c r="C48" s="3">
        <v>42.83</v>
      </c>
      <c r="G48" s="2"/>
      <c r="H48" s="16"/>
      <c r="I48" s="4"/>
      <c r="J48" s="16"/>
      <c r="K48" s="2"/>
      <c r="L48" s="2"/>
      <c r="W48" s="8"/>
    </row>
    <row r="49" spans="1:23" x14ac:dyDescent="0.25">
      <c r="A49" s="18">
        <v>40848</v>
      </c>
      <c r="B49" s="3">
        <v>10</v>
      </c>
      <c r="C49" s="3">
        <v>42.21</v>
      </c>
      <c r="G49" s="2"/>
      <c r="H49" s="16"/>
      <c r="I49" s="4"/>
      <c r="J49" s="16"/>
      <c r="K49" s="2"/>
      <c r="L49" s="2"/>
      <c r="W49" s="8"/>
    </row>
    <row r="50" spans="1:23" x14ac:dyDescent="0.25">
      <c r="A50" s="18">
        <v>40848</v>
      </c>
      <c r="B50" s="3">
        <v>11</v>
      </c>
      <c r="C50" s="3">
        <v>42.14</v>
      </c>
      <c r="G50" s="2"/>
      <c r="H50" s="16"/>
      <c r="I50" s="4"/>
      <c r="J50" s="16"/>
      <c r="K50" s="2"/>
      <c r="L50" s="2"/>
      <c r="W50" s="8"/>
    </row>
    <row r="51" spans="1:23" x14ac:dyDescent="0.25">
      <c r="A51" s="18">
        <v>40848</v>
      </c>
      <c r="B51" s="3">
        <v>12</v>
      </c>
      <c r="C51" s="3">
        <v>41.82</v>
      </c>
      <c r="G51" s="2"/>
      <c r="H51" s="16"/>
      <c r="I51" s="25"/>
      <c r="J51" s="25"/>
      <c r="K51" s="2"/>
      <c r="L51" s="2"/>
      <c r="W51" s="8"/>
    </row>
    <row r="52" spans="1:23" x14ac:dyDescent="0.25">
      <c r="A52" s="18">
        <v>40848</v>
      </c>
      <c r="B52" s="3">
        <v>13</v>
      </c>
      <c r="C52" s="3">
        <v>41.45</v>
      </c>
      <c r="G52" s="2"/>
      <c r="H52" s="16"/>
      <c r="K52" s="2"/>
      <c r="L52" s="2"/>
      <c r="W52" s="8"/>
    </row>
    <row r="53" spans="1:23" x14ac:dyDescent="0.25">
      <c r="A53" s="18">
        <v>40848</v>
      </c>
      <c r="B53" s="3">
        <v>14</v>
      </c>
      <c r="C53" s="3">
        <v>41.25</v>
      </c>
      <c r="G53" s="2"/>
      <c r="H53" s="16"/>
      <c r="K53" s="2"/>
      <c r="L53" s="2"/>
      <c r="W53" s="8"/>
    </row>
    <row r="54" spans="1:23" x14ac:dyDescent="0.25">
      <c r="A54" s="18">
        <v>40848</v>
      </c>
      <c r="B54" s="3">
        <v>15</v>
      </c>
      <c r="C54" s="3">
        <v>41.32</v>
      </c>
      <c r="G54" s="2"/>
      <c r="H54" s="16"/>
      <c r="K54" s="2"/>
      <c r="L54" s="2"/>
      <c r="W54" s="8"/>
    </row>
    <row r="55" spans="1:23" x14ac:dyDescent="0.25">
      <c r="A55" s="18">
        <v>40848</v>
      </c>
      <c r="B55" s="3">
        <v>16</v>
      </c>
      <c r="C55" s="3">
        <v>42.39</v>
      </c>
      <c r="G55" s="2"/>
      <c r="H55" s="16"/>
      <c r="K55" s="2"/>
      <c r="L55" s="2"/>
      <c r="W55" s="8"/>
    </row>
    <row r="56" spans="1:23" x14ac:dyDescent="0.25">
      <c r="A56" s="18">
        <v>40848</v>
      </c>
      <c r="B56" s="3">
        <v>17</v>
      </c>
      <c r="C56" s="3">
        <v>45.16</v>
      </c>
      <c r="G56" s="2"/>
      <c r="H56" s="16"/>
      <c r="I56" s="4"/>
      <c r="J56" s="16"/>
      <c r="K56" s="2"/>
      <c r="L56" s="2"/>
      <c r="W56" s="8"/>
    </row>
    <row r="57" spans="1:23" x14ac:dyDescent="0.25">
      <c r="A57" s="18">
        <v>40848</v>
      </c>
      <c r="B57" s="3">
        <v>18</v>
      </c>
      <c r="C57" s="3">
        <v>44.57</v>
      </c>
      <c r="H57" s="16"/>
      <c r="I57" s="4"/>
      <c r="J57" s="16"/>
      <c r="K57" s="2"/>
      <c r="L57" s="2"/>
      <c r="W57" s="8"/>
    </row>
    <row r="58" spans="1:23" x14ac:dyDescent="0.25">
      <c r="A58" s="18">
        <v>40848</v>
      </c>
      <c r="B58" s="3">
        <v>19</v>
      </c>
      <c r="C58" s="3">
        <v>42.87</v>
      </c>
      <c r="H58" s="16"/>
      <c r="I58" s="4"/>
      <c r="J58" s="16"/>
      <c r="K58" s="2"/>
      <c r="L58" s="2"/>
      <c r="W58" s="8"/>
    </row>
    <row r="59" spans="1:23" x14ac:dyDescent="0.25">
      <c r="A59" s="18">
        <v>40848</v>
      </c>
      <c r="B59" s="3">
        <v>20</v>
      </c>
      <c r="C59" s="3">
        <v>40.99</v>
      </c>
      <c r="H59" s="16"/>
      <c r="I59" s="4"/>
      <c r="J59" s="16"/>
      <c r="K59" s="2"/>
      <c r="L59" s="2"/>
      <c r="W59" s="8"/>
    </row>
    <row r="60" spans="1:23" x14ac:dyDescent="0.25">
      <c r="A60" s="18">
        <v>40848</v>
      </c>
      <c r="B60" s="3">
        <v>21</v>
      </c>
      <c r="C60" s="3">
        <v>40.299999999999997</v>
      </c>
      <c r="H60" s="16"/>
      <c r="I60" s="4"/>
      <c r="J60" s="16"/>
      <c r="K60" s="2"/>
      <c r="L60" s="2"/>
      <c r="W60" s="8"/>
    </row>
    <row r="61" spans="1:23" x14ac:dyDescent="0.25">
      <c r="A61" s="18">
        <v>40848</v>
      </c>
      <c r="B61" s="3">
        <v>22</v>
      </c>
      <c r="C61" s="3">
        <v>39.04</v>
      </c>
      <c r="H61" s="16"/>
      <c r="I61" s="4"/>
      <c r="J61" s="16"/>
      <c r="K61" s="2"/>
      <c r="L61" s="2"/>
      <c r="W61" s="8"/>
    </row>
    <row r="62" spans="1:23" x14ac:dyDescent="0.25">
      <c r="A62" s="18">
        <v>40848</v>
      </c>
      <c r="B62" s="3">
        <v>23</v>
      </c>
      <c r="C62" s="3">
        <v>37.21</v>
      </c>
      <c r="H62" s="16"/>
      <c r="I62" s="4"/>
      <c r="J62" s="16"/>
      <c r="K62" s="2"/>
      <c r="L62" s="2"/>
      <c r="O62" s="5"/>
      <c r="W62" s="8"/>
    </row>
    <row r="63" spans="1:23" x14ac:dyDescent="0.25">
      <c r="A63" s="18">
        <v>40849</v>
      </c>
      <c r="B63" s="3">
        <v>0</v>
      </c>
      <c r="C63" s="3">
        <v>35.659999999999997</v>
      </c>
      <c r="H63" s="16"/>
    </row>
    <row r="64" spans="1:23" x14ac:dyDescent="0.25">
      <c r="A64" s="18">
        <v>40849</v>
      </c>
      <c r="B64" s="3">
        <v>1</v>
      </c>
      <c r="C64" s="3">
        <v>34.36</v>
      </c>
      <c r="H64" s="16"/>
    </row>
    <row r="65" spans="1:22" x14ac:dyDescent="0.25">
      <c r="A65" s="18">
        <v>40849</v>
      </c>
      <c r="B65" s="3">
        <v>2</v>
      </c>
      <c r="C65" s="3">
        <v>34.92</v>
      </c>
      <c r="H65" s="16"/>
      <c r="U65" s="19"/>
      <c r="V65" s="13"/>
    </row>
    <row r="66" spans="1:22" x14ac:dyDescent="0.25">
      <c r="A66" s="18">
        <v>40849</v>
      </c>
      <c r="B66" s="3">
        <v>3</v>
      </c>
      <c r="C66" s="3">
        <v>35.08</v>
      </c>
      <c r="H66" s="16"/>
      <c r="U66" s="19"/>
      <c r="V66" s="13"/>
    </row>
    <row r="67" spans="1:22" x14ac:dyDescent="0.25">
      <c r="A67" s="18">
        <v>40849</v>
      </c>
      <c r="B67" s="3">
        <v>4</v>
      </c>
      <c r="C67" s="3">
        <v>36.85</v>
      </c>
      <c r="H67" s="16"/>
      <c r="M67" s="19"/>
      <c r="N67" s="19"/>
      <c r="O67" s="19"/>
      <c r="P67" s="19"/>
      <c r="Q67" s="19"/>
      <c r="R67" s="19"/>
      <c r="U67" s="19"/>
      <c r="V67" s="13"/>
    </row>
    <row r="68" spans="1:22" x14ac:dyDescent="0.25">
      <c r="A68" s="18">
        <v>40849</v>
      </c>
      <c r="B68" s="3">
        <v>5</v>
      </c>
      <c r="C68" s="3">
        <v>38.200000000000003</v>
      </c>
      <c r="H68" s="16"/>
      <c r="M68" s="20"/>
      <c r="N68" s="20"/>
      <c r="O68" s="20"/>
      <c r="P68" s="20"/>
      <c r="Q68" s="20"/>
      <c r="R68" s="20"/>
      <c r="U68" s="19"/>
      <c r="V68" s="13"/>
    </row>
    <row r="69" spans="1:22" x14ac:dyDescent="0.25">
      <c r="A69" s="18">
        <v>40849</v>
      </c>
      <c r="B69" s="3">
        <v>6</v>
      </c>
      <c r="C69" s="3">
        <v>40.71</v>
      </c>
      <c r="M69" s="20"/>
      <c r="N69" s="20"/>
      <c r="O69" s="20"/>
      <c r="P69" s="20"/>
      <c r="Q69" s="20"/>
      <c r="R69" s="20"/>
      <c r="U69" s="19"/>
      <c r="V69" s="13"/>
    </row>
    <row r="70" spans="1:22" x14ac:dyDescent="0.25">
      <c r="A70" s="18">
        <v>40849</v>
      </c>
      <c r="B70" s="3">
        <v>7</v>
      </c>
      <c r="C70" s="3">
        <v>43.23</v>
      </c>
      <c r="M70" s="20"/>
      <c r="N70" s="20"/>
      <c r="O70" s="20"/>
      <c r="P70" s="20"/>
      <c r="Q70" s="20"/>
      <c r="R70" s="20"/>
      <c r="U70" s="19"/>
      <c r="V70" s="13"/>
    </row>
    <row r="71" spans="1:22" x14ac:dyDescent="0.25">
      <c r="A71" s="18">
        <v>40849</v>
      </c>
      <c r="B71" s="3">
        <v>8</v>
      </c>
      <c r="C71" s="3">
        <v>43.75</v>
      </c>
      <c r="M71" s="20"/>
      <c r="N71" s="20"/>
      <c r="O71" s="20"/>
      <c r="P71" s="20"/>
      <c r="Q71" s="20"/>
      <c r="R71" s="20"/>
      <c r="U71" s="19"/>
      <c r="V71" s="13"/>
    </row>
    <row r="72" spans="1:22" x14ac:dyDescent="0.25">
      <c r="A72" s="18">
        <v>40849</v>
      </c>
      <c r="B72" s="3">
        <v>9</v>
      </c>
      <c r="C72" s="3">
        <v>42.97</v>
      </c>
      <c r="M72" s="20"/>
      <c r="N72" s="20"/>
      <c r="O72" s="20"/>
      <c r="P72" s="20"/>
      <c r="Q72" s="20"/>
      <c r="R72" s="20"/>
      <c r="U72" s="19"/>
      <c r="V72" s="13"/>
    </row>
    <row r="73" spans="1:22" x14ac:dyDescent="0.25">
      <c r="A73" s="18">
        <v>40849</v>
      </c>
      <c r="B73" s="3">
        <v>10</v>
      </c>
      <c r="C73" s="3">
        <v>42.93</v>
      </c>
      <c r="M73" s="20"/>
      <c r="N73" s="20"/>
      <c r="O73" s="20"/>
      <c r="P73" s="20"/>
      <c r="Q73" s="20"/>
      <c r="R73" s="20"/>
      <c r="U73" s="19"/>
      <c r="V73" s="13"/>
    </row>
    <row r="74" spans="1:22" x14ac:dyDescent="0.25">
      <c r="A74" s="18">
        <v>40849</v>
      </c>
      <c r="B74" s="3">
        <v>11</v>
      </c>
      <c r="C74" s="3">
        <v>42.99</v>
      </c>
      <c r="M74" s="20"/>
      <c r="N74" s="20"/>
      <c r="O74" s="20"/>
      <c r="P74" s="20"/>
      <c r="Q74" s="20"/>
      <c r="R74" s="20"/>
      <c r="U74" s="19"/>
      <c r="V74" s="13"/>
    </row>
    <row r="75" spans="1:22" x14ac:dyDescent="0.25">
      <c r="A75" s="18">
        <v>40849</v>
      </c>
      <c r="B75" s="3">
        <v>12</v>
      </c>
      <c r="C75" s="3">
        <v>43.44</v>
      </c>
      <c r="M75" s="20"/>
      <c r="N75" s="20"/>
      <c r="O75" s="20"/>
      <c r="P75" s="20"/>
      <c r="Q75" s="20"/>
      <c r="R75" s="20"/>
      <c r="U75" s="19"/>
      <c r="V75" s="13"/>
    </row>
    <row r="76" spans="1:22" x14ac:dyDescent="0.25">
      <c r="A76" s="18">
        <v>40849</v>
      </c>
      <c r="B76" s="3">
        <v>13</v>
      </c>
      <c r="C76" s="3">
        <v>43.42</v>
      </c>
      <c r="M76" s="20"/>
      <c r="N76" s="20"/>
      <c r="O76" s="20"/>
      <c r="P76" s="20"/>
      <c r="Q76" s="20"/>
      <c r="R76" s="20"/>
    </row>
    <row r="77" spans="1:22" x14ac:dyDescent="0.25">
      <c r="A77" s="18">
        <v>40849</v>
      </c>
      <c r="B77" s="3">
        <v>14</v>
      </c>
      <c r="C77" s="3">
        <v>43.29</v>
      </c>
      <c r="M77" s="20"/>
      <c r="N77" s="20"/>
      <c r="O77" s="20"/>
      <c r="P77" s="20"/>
      <c r="Q77" s="20"/>
      <c r="R77" s="20"/>
    </row>
    <row r="78" spans="1:22" x14ac:dyDescent="0.25">
      <c r="A78" s="18">
        <v>40849</v>
      </c>
      <c r="B78" s="3">
        <v>15</v>
      </c>
      <c r="C78" s="3">
        <v>43.05</v>
      </c>
      <c r="M78" s="20"/>
      <c r="N78" s="20"/>
      <c r="O78" s="20"/>
      <c r="P78" s="20"/>
      <c r="Q78" s="20"/>
      <c r="R78" s="20"/>
    </row>
    <row r="79" spans="1:22" x14ac:dyDescent="0.25">
      <c r="A79" s="18">
        <v>40849</v>
      </c>
      <c r="B79" s="3">
        <v>16</v>
      </c>
      <c r="C79" s="3">
        <v>45.18</v>
      </c>
    </row>
    <row r="80" spans="1:22" x14ac:dyDescent="0.25">
      <c r="A80" s="18">
        <v>40849</v>
      </c>
      <c r="B80" s="3">
        <v>17</v>
      </c>
      <c r="C80" s="3">
        <v>45.67</v>
      </c>
    </row>
    <row r="81" spans="1:3" x14ac:dyDescent="0.25">
      <c r="A81" s="18">
        <v>40849</v>
      </c>
      <c r="B81" s="3">
        <v>18</v>
      </c>
      <c r="C81" s="3">
        <v>45.32</v>
      </c>
    </row>
    <row r="82" spans="1:3" x14ac:dyDescent="0.25">
      <c r="A82" s="18">
        <v>40849</v>
      </c>
      <c r="B82" s="3">
        <v>19</v>
      </c>
      <c r="C82" s="3">
        <v>42.93</v>
      </c>
    </row>
    <row r="83" spans="1:3" x14ac:dyDescent="0.25">
      <c r="A83" s="18">
        <v>40849</v>
      </c>
      <c r="B83" s="3">
        <v>20</v>
      </c>
      <c r="C83" s="3">
        <v>41.35</v>
      </c>
    </row>
    <row r="84" spans="1:3" x14ac:dyDescent="0.25">
      <c r="A84" s="18">
        <v>40849</v>
      </c>
      <c r="B84" s="3">
        <v>21</v>
      </c>
      <c r="C84" s="3">
        <v>40.32</v>
      </c>
    </row>
    <row r="85" spans="1:3" x14ac:dyDescent="0.25">
      <c r="A85" s="18">
        <v>40849</v>
      </c>
      <c r="B85" s="3">
        <v>22</v>
      </c>
      <c r="C85" s="3">
        <v>39.29</v>
      </c>
    </row>
    <row r="86" spans="1:3" x14ac:dyDescent="0.25">
      <c r="A86" s="18">
        <v>40849</v>
      </c>
      <c r="B86" s="3">
        <v>23</v>
      </c>
      <c r="C86" s="3">
        <v>37.700000000000003</v>
      </c>
    </row>
    <row r="87" spans="1:3" x14ac:dyDescent="0.25">
      <c r="A87" s="18">
        <v>40850</v>
      </c>
      <c r="B87" s="3">
        <v>0</v>
      </c>
      <c r="C87" s="3">
        <v>36.14</v>
      </c>
    </row>
    <row r="88" spans="1:3" x14ac:dyDescent="0.25">
      <c r="A88" s="18">
        <v>40850</v>
      </c>
      <c r="B88" s="3">
        <v>1</v>
      </c>
      <c r="C88" s="3">
        <v>35.14</v>
      </c>
    </row>
    <row r="89" spans="1:3" x14ac:dyDescent="0.25">
      <c r="A89" s="18">
        <v>40850</v>
      </c>
      <c r="B89" s="3">
        <v>2</v>
      </c>
      <c r="C89" s="3">
        <v>35.01</v>
      </c>
    </row>
    <row r="90" spans="1:3" x14ac:dyDescent="0.25">
      <c r="A90" s="18">
        <v>40850</v>
      </c>
      <c r="B90" s="3">
        <v>3</v>
      </c>
      <c r="C90" s="3">
        <v>35.18</v>
      </c>
    </row>
    <row r="91" spans="1:3" x14ac:dyDescent="0.25">
      <c r="A91" s="18">
        <v>40850</v>
      </c>
      <c r="B91" s="3">
        <v>4</v>
      </c>
      <c r="C91" s="3">
        <v>36.21</v>
      </c>
    </row>
    <row r="92" spans="1:3" x14ac:dyDescent="0.25">
      <c r="A92" s="18">
        <v>40850</v>
      </c>
      <c r="B92" s="3">
        <v>5</v>
      </c>
      <c r="C92" s="3">
        <v>37.520000000000003</v>
      </c>
    </row>
    <row r="93" spans="1:3" x14ac:dyDescent="0.25">
      <c r="A93" s="18">
        <v>40850</v>
      </c>
      <c r="B93" s="3">
        <v>6</v>
      </c>
      <c r="C93" s="3">
        <v>39.64</v>
      </c>
    </row>
    <row r="94" spans="1:3" x14ac:dyDescent="0.25">
      <c r="A94" s="18">
        <v>40850</v>
      </c>
      <c r="B94" s="3">
        <v>7</v>
      </c>
      <c r="C94" s="3">
        <v>41.05</v>
      </c>
    </row>
    <row r="95" spans="1:3" x14ac:dyDescent="0.25">
      <c r="A95" s="18">
        <v>40850</v>
      </c>
      <c r="B95" s="3">
        <v>8</v>
      </c>
      <c r="C95" s="3">
        <v>42.65</v>
      </c>
    </row>
    <row r="96" spans="1:3" x14ac:dyDescent="0.25">
      <c r="A96" s="18">
        <v>40850</v>
      </c>
      <c r="B96" s="3">
        <v>9</v>
      </c>
      <c r="C96" s="3">
        <v>41.96</v>
      </c>
    </row>
    <row r="97" spans="1:3" x14ac:dyDescent="0.25">
      <c r="A97" s="18">
        <v>40850</v>
      </c>
      <c r="B97" s="3">
        <v>10</v>
      </c>
      <c r="C97" s="3">
        <v>41.72</v>
      </c>
    </row>
    <row r="98" spans="1:3" x14ac:dyDescent="0.25">
      <c r="A98" s="18">
        <v>40850</v>
      </c>
      <c r="B98" s="3">
        <v>11</v>
      </c>
      <c r="C98" s="3">
        <v>41.79</v>
      </c>
    </row>
    <row r="99" spans="1:3" x14ac:dyDescent="0.25">
      <c r="A99" s="18">
        <v>40850</v>
      </c>
      <c r="B99" s="3">
        <v>12</v>
      </c>
      <c r="C99" s="3">
        <v>41.7</v>
      </c>
    </row>
    <row r="100" spans="1:3" x14ac:dyDescent="0.25">
      <c r="A100" s="18">
        <v>40850</v>
      </c>
      <c r="B100" s="3">
        <v>13</v>
      </c>
      <c r="C100" s="3">
        <v>41.2</v>
      </c>
    </row>
    <row r="101" spans="1:3" x14ac:dyDescent="0.25">
      <c r="A101" s="18">
        <v>40850</v>
      </c>
      <c r="B101" s="3">
        <v>14</v>
      </c>
      <c r="C101" s="3">
        <v>41.63</v>
      </c>
    </row>
    <row r="102" spans="1:3" x14ac:dyDescent="0.25">
      <c r="A102" s="18">
        <v>40850</v>
      </c>
      <c r="B102" s="3">
        <v>15</v>
      </c>
      <c r="C102" s="3">
        <v>41.71</v>
      </c>
    </row>
    <row r="103" spans="1:3" x14ac:dyDescent="0.25">
      <c r="A103" s="18">
        <v>40850</v>
      </c>
      <c r="B103" s="3">
        <v>16</v>
      </c>
      <c r="C103" s="3">
        <v>43.27</v>
      </c>
    </row>
    <row r="104" spans="1:3" x14ac:dyDescent="0.25">
      <c r="A104" s="18">
        <v>40850</v>
      </c>
      <c r="B104" s="3">
        <v>17</v>
      </c>
      <c r="C104" s="3">
        <v>45.44</v>
      </c>
    </row>
    <row r="105" spans="1:3" x14ac:dyDescent="0.25">
      <c r="A105" s="18">
        <v>40850</v>
      </c>
      <c r="B105" s="3">
        <v>18</v>
      </c>
      <c r="C105" s="3">
        <v>44.11</v>
      </c>
    </row>
    <row r="106" spans="1:3" x14ac:dyDescent="0.25">
      <c r="A106" s="18">
        <v>40850</v>
      </c>
      <c r="B106" s="3">
        <v>19</v>
      </c>
      <c r="C106" s="3">
        <v>41.65</v>
      </c>
    </row>
    <row r="107" spans="1:3" x14ac:dyDescent="0.25">
      <c r="A107" s="18">
        <v>40850</v>
      </c>
      <c r="B107" s="3">
        <v>20</v>
      </c>
      <c r="C107" s="3">
        <v>40.01</v>
      </c>
    </row>
    <row r="108" spans="1:3" x14ac:dyDescent="0.25">
      <c r="A108" s="18">
        <v>40850</v>
      </c>
      <c r="B108" s="3">
        <v>21</v>
      </c>
      <c r="C108" s="3">
        <v>39.19</v>
      </c>
    </row>
    <row r="109" spans="1:3" x14ac:dyDescent="0.25">
      <c r="A109" s="18">
        <v>40850</v>
      </c>
      <c r="B109" s="3">
        <v>22</v>
      </c>
      <c r="C109" s="3">
        <v>37.9</v>
      </c>
    </row>
    <row r="110" spans="1:3" x14ac:dyDescent="0.25">
      <c r="A110" s="18">
        <v>40850</v>
      </c>
      <c r="B110" s="3">
        <v>23</v>
      </c>
      <c r="C110" s="3">
        <v>36.549999999999997</v>
      </c>
    </row>
    <row r="111" spans="1:3" x14ac:dyDescent="0.25">
      <c r="A111" s="18">
        <v>40851</v>
      </c>
      <c r="B111" s="3">
        <v>0</v>
      </c>
      <c r="C111" s="3">
        <v>36.24</v>
      </c>
    </row>
    <row r="112" spans="1:3" x14ac:dyDescent="0.25">
      <c r="A112" s="18">
        <v>40851</v>
      </c>
      <c r="B112" s="3">
        <v>1</v>
      </c>
      <c r="C112" s="3">
        <v>34.53</v>
      </c>
    </row>
    <row r="113" spans="1:3" x14ac:dyDescent="0.25">
      <c r="A113" s="18">
        <v>40851</v>
      </c>
      <c r="B113" s="3">
        <v>2</v>
      </c>
      <c r="C113" s="3">
        <v>33.840000000000003</v>
      </c>
    </row>
    <row r="114" spans="1:3" x14ac:dyDescent="0.25">
      <c r="A114" s="18">
        <v>40851</v>
      </c>
      <c r="B114" s="3">
        <v>3</v>
      </c>
      <c r="C114" s="3">
        <v>34.21</v>
      </c>
    </row>
    <row r="115" spans="1:3" x14ac:dyDescent="0.25">
      <c r="A115" s="18">
        <v>40851</v>
      </c>
      <c r="B115" s="3">
        <v>4</v>
      </c>
      <c r="C115" s="3">
        <v>35.72</v>
      </c>
    </row>
    <row r="116" spans="1:3" x14ac:dyDescent="0.25">
      <c r="A116" s="18">
        <v>40851</v>
      </c>
      <c r="B116" s="3">
        <v>5</v>
      </c>
      <c r="C116" s="3">
        <v>37.520000000000003</v>
      </c>
    </row>
    <row r="117" spans="1:3" x14ac:dyDescent="0.25">
      <c r="A117" s="18">
        <v>40851</v>
      </c>
      <c r="B117" s="3">
        <v>6</v>
      </c>
      <c r="C117" s="3">
        <v>39.74</v>
      </c>
    </row>
    <row r="118" spans="1:3" x14ac:dyDescent="0.25">
      <c r="A118" s="18">
        <v>40851</v>
      </c>
      <c r="B118" s="3">
        <v>7</v>
      </c>
      <c r="C118" s="3">
        <v>40.380000000000003</v>
      </c>
    </row>
    <row r="119" spans="1:3" x14ac:dyDescent="0.25">
      <c r="A119" s="18">
        <v>40851</v>
      </c>
      <c r="B119" s="3">
        <v>8</v>
      </c>
      <c r="C119" s="3">
        <v>41.43</v>
      </c>
    </row>
    <row r="120" spans="1:3" x14ac:dyDescent="0.25">
      <c r="A120" s="18">
        <v>40851</v>
      </c>
      <c r="B120" s="3">
        <v>9</v>
      </c>
      <c r="C120" s="3">
        <v>41.91</v>
      </c>
    </row>
    <row r="121" spans="1:3" x14ac:dyDescent="0.25">
      <c r="A121" s="18">
        <v>40851</v>
      </c>
      <c r="B121" s="3">
        <v>10</v>
      </c>
      <c r="C121" s="3">
        <v>41.29</v>
      </c>
    </row>
    <row r="122" spans="1:3" x14ac:dyDescent="0.25">
      <c r="A122" s="18">
        <v>40851</v>
      </c>
      <c r="B122" s="3">
        <v>11</v>
      </c>
      <c r="C122" s="3">
        <v>40.729999999999997</v>
      </c>
    </row>
    <row r="123" spans="1:3" x14ac:dyDescent="0.25">
      <c r="A123" s="18">
        <v>40851</v>
      </c>
      <c r="B123" s="3">
        <v>12</v>
      </c>
      <c r="C123" s="3">
        <v>40.369999999999997</v>
      </c>
    </row>
    <row r="124" spans="1:3" x14ac:dyDescent="0.25">
      <c r="A124" s="18">
        <v>40851</v>
      </c>
      <c r="B124" s="3">
        <v>13</v>
      </c>
      <c r="C124" s="3">
        <v>40.049999999999997</v>
      </c>
    </row>
    <row r="125" spans="1:3" x14ac:dyDescent="0.25">
      <c r="A125" s="18">
        <v>40851</v>
      </c>
      <c r="B125" s="3">
        <v>14</v>
      </c>
      <c r="C125" s="3">
        <v>39.72</v>
      </c>
    </row>
    <row r="126" spans="1:3" x14ac:dyDescent="0.25">
      <c r="A126" s="18">
        <v>40851</v>
      </c>
      <c r="B126" s="3">
        <v>15</v>
      </c>
      <c r="C126" s="3">
        <v>39.729999999999997</v>
      </c>
    </row>
    <row r="127" spans="1:3" x14ac:dyDescent="0.25">
      <c r="A127" s="18">
        <v>40851</v>
      </c>
      <c r="B127" s="3">
        <v>16</v>
      </c>
      <c r="C127" s="3">
        <v>40.630000000000003</v>
      </c>
    </row>
    <row r="128" spans="1:3" x14ac:dyDescent="0.25">
      <c r="A128" s="18">
        <v>40851</v>
      </c>
      <c r="B128" s="3">
        <v>17</v>
      </c>
      <c r="C128" s="3">
        <v>43.97</v>
      </c>
    </row>
    <row r="129" spans="1:3" x14ac:dyDescent="0.25">
      <c r="A129" s="18">
        <v>40851</v>
      </c>
      <c r="B129" s="3">
        <v>18</v>
      </c>
      <c r="C129" s="3">
        <v>42.98</v>
      </c>
    </row>
    <row r="130" spans="1:3" x14ac:dyDescent="0.25">
      <c r="A130" s="18">
        <v>40851</v>
      </c>
      <c r="B130" s="3">
        <v>19</v>
      </c>
      <c r="C130" s="3">
        <v>40.99</v>
      </c>
    </row>
    <row r="131" spans="1:3" x14ac:dyDescent="0.25">
      <c r="A131" s="18">
        <v>40851</v>
      </c>
      <c r="B131" s="3">
        <v>20</v>
      </c>
      <c r="C131" s="3">
        <v>39.64</v>
      </c>
    </row>
    <row r="132" spans="1:3" x14ac:dyDescent="0.25">
      <c r="A132" s="18">
        <v>40851</v>
      </c>
      <c r="B132" s="3">
        <v>21</v>
      </c>
      <c r="C132" s="3">
        <v>39.26</v>
      </c>
    </row>
    <row r="133" spans="1:3" x14ac:dyDescent="0.25">
      <c r="A133" s="18">
        <v>40851</v>
      </c>
      <c r="B133" s="3">
        <v>22</v>
      </c>
      <c r="C133" s="3">
        <v>38.21</v>
      </c>
    </row>
    <row r="134" spans="1:3" x14ac:dyDescent="0.25">
      <c r="A134" s="18">
        <v>40851</v>
      </c>
      <c r="B134" s="3">
        <v>23</v>
      </c>
      <c r="C134" s="3">
        <v>37.28</v>
      </c>
    </row>
    <row r="135" spans="1:3" x14ac:dyDescent="0.25">
      <c r="A135" s="18">
        <v>40852</v>
      </c>
      <c r="B135" s="3">
        <v>0</v>
      </c>
      <c r="C135" s="3">
        <v>38.729999999999997</v>
      </c>
    </row>
    <row r="136" spans="1:3" x14ac:dyDescent="0.25">
      <c r="A136" s="18">
        <v>40852</v>
      </c>
      <c r="B136" s="3">
        <v>1</v>
      </c>
      <c r="C136" s="3">
        <v>37.92</v>
      </c>
    </row>
    <row r="137" spans="1:3" x14ac:dyDescent="0.25">
      <c r="A137" s="18">
        <v>40852</v>
      </c>
      <c r="B137" s="3">
        <v>2</v>
      </c>
      <c r="C137" s="3">
        <v>37.89</v>
      </c>
    </row>
    <row r="138" spans="1:3" x14ac:dyDescent="0.25">
      <c r="A138" s="18">
        <v>40852</v>
      </c>
      <c r="B138" s="3">
        <v>3</v>
      </c>
      <c r="C138" s="3">
        <v>38.130000000000003</v>
      </c>
    </row>
    <row r="139" spans="1:3" x14ac:dyDescent="0.25">
      <c r="A139" s="18">
        <v>40852</v>
      </c>
      <c r="B139" s="3">
        <v>4</v>
      </c>
      <c r="C139" s="3">
        <v>37.520000000000003</v>
      </c>
    </row>
    <row r="140" spans="1:3" x14ac:dyDescent="0.25">
      <c r="A140" s="18">
        <v>40852</v>
      </c>
      <c r="B140" s="3">
        <v>5</v>
      </c>
      <c r="C140" s="3">
        <v>37.9</v>
      </c>
    </row>
    <row r="141" spans="1:3" x14ac:dyDescent="0.25">
      <c r="A141" s="18">
        <v>40852</v>
      </c>
      <c r="B141" s="3">
        <v>6</v>
      </c>
      <c r="C141" s="3">
        <v>39.57</v>
      </c>
    </row>
    <row r="142" spans="1:3" x14ac:dyDescent="0.25">
      <c r="A142" s="18">
        <v>40852</v>
      </c>
      <c r="B142" s="3">
        <v>7</v>
      </c>
      <c r="C142" s="3">
        <v>39.78</v>
      </c>
    </row>
    <row r="143" spans="1:3" x14ac:dyDescent="0.25">
      <c r="A143" s="18">
        <v>40852</v>
      </c>
      <c r="B143" s="3">
        <v>8</v>
      </c>
      <c r="C143" s="3">
        <v>39.93</v>
      </c>
    </row>
    <row r="144" spans="1:3" x14ac:dyDescent="0.25">
      <c r="A144" s="18">
        <v>40852</v>
      </c>
      <c r="B144" s="3">
        <v>9</v>
      </c>
      <c r="C144" s="3">
        <v>39.9</v>
      </c>
    </row>
    <row r="145" spans="1:3" x14ac:dyDescent="0.25">
      <c r="A145" s="18">
        <v>40852</v>
      </c>
      <c r="B145" s="3">
        <v>10</v>
      </c>
      <c r="C145" s="3">
        <v>40.06</v>
      </c>
    </row>
    <row r="146" spans="1:3" x14ac:dyDescent="0.25">
      <c r="A146" s="18">
        <v>40852</v>
      </c>
      <c r="B146" s="3">
        <v>11</v>
      </c>
      <c r="C146" s="3">
        <v>40.06</v>
      </c>
    </row>
    <row r="147" spans="1:3" x14ac:dyDescent="0.25">
      <c r="A147" s="18">
        <v>40852</v>
      </c>
      <c r="B147" s="3">
        <v>12</v>
      </c>
      <c r="C147" s="3">
        <v>39.99</v>
      </c>
    </row>
    <row r="148" spans="1:3" x14ac:dyDescent="0.25">
      <c r="A148" s="18">
        <v>40852</v>
      </c>
      <c r="B148" s="3">
        <v>13</v>
      </c>
      <c r="C148" s="3">
        <v>39.93</v>
      </c>
    </row>
    <row r="149" spans="1:3" x14ac:dyDescent="0.25">
      <c r="A149" s="18">
        <v>40852</v>
      </c>
      <c r="B149" s="3">
        <v>14</v>
      </c>
      <c r="C149" s="3">
        <v>39.770000000000003</v>
      </c>
    </row>
    <row r="150" spans="1:3" x14ac:dyDescent="0.25">
      <c r="A150" s="18">
        <v>40852</v>
      </c>
      <c r="B150" s="3">
        <v>15</v>
      </c>
      <c r="C150" s="3">
        <v>39.93</v>
      </c>
    </row>
    <row r="151" spans="1:3" x14ac:dyDescent="0.25">
      <c r="A151" s="18">
        <v>40852</v>
      </c>
      <c r="B151" s="3">
        <v>16</v>
      </c>
      <c r="C151" s="3">
        <v>41.12</v>
      </c>
    </row>
    <row r="152" spans="1:3" x14ac:dyDescent="0.25">
      <c r="A152" s="18">
        <v>40852</v>
      </c>
      <c r="B152" s="3">
        <v>17</v>
      </c>
      <c r="C152" s="3">
        <v>43.81</v>
      </c>
    </row>
    <row r="153" spans="1:3" x14ac:dyDescent="0.25">
      <c r="A153" s="18">
        <v>40852</v>
      </c>
      <c r="B153" s="3">
        <v>18</v>
      </c>
      <c r="C153" s="3">
        <v>43.94</v>
      </c>
    </row>
    <row r="154" spans="1:3" x14ac:dyDescent="0.25">
      <c r="A154" s="18">
        <v>40852</v>
      </c>
      <c r="B154" s="3">
        <v>19</v>
      </c>
      <c r="C154" s="3">
        <v>41.49</v>
      </c>
    </row>
    <row r="155" spans="1:3" x14ac:dyDescent="0.25">
      <c r="A155" s="18">
        <v>40852</v>
      </c>
      <c r="B155" s="3">
        <v>20</v>
      </c>
      <c r="C155" s="3">
        <v>40.299999999999997</v>
      </c>
    </row>
    <row r="156" spans="1:3" x14ac:dyDescent="0.25">
      <c r="A156" s="18">
        <v>40852</v>
      </c>
      <c r="B156" s="3">
        <v>21</v>
      </c>
      <c r="C156" s="3">
        <v>39.979999999999997</v>
      </c>
    </row>
    <row r="157" spans="1:3" x14ac:dyDescent="0.25">
      <c r="A157" s="18">
        <v>40852</v>
      </c>
      <c r="B157" s="3">
        <v>22</v>
      </c>
      <c r="C157" s="3">
        <v>39.659999999999997</v>
      </c>
    </row>
    <row r="158" spans="1:3" x14ac:dyDescent="0.25">
      <c r="A158" s="18">
        <v>40852</v>
      </c>
      <c r="B158" s="3">
        <v>23</v>
      </c>
      <c r="C158" s="3">
        <v>38.979999999999997</v>
      </c>
    </row>
    <row r="159" spans="1:3" x14ac:dyDescent="0.25">
      <c r="A159" s="18">
        <v>40853</v>
      </c>
      <c r="B159" s="3">
        <v>0</v>
      </c>
      <c r="C159" s="3">
        <v>38.96</v>
      </c>
    </row>
    <row r="160" spans="1:3" x14ac:dyDescent="0.25">
      <c r="A160" s="18">
        <v>40853</v>
      </c>
      <c r="B160" s="3">
        <v>1</v>
      </c>
      <c r="C160" s="3">
        <v>38.17</v>
      </c>
    </row>
    <row r="161" spans="1:3" x14ac:dyDescent="0.25">
      <c r="A161" s="18">
        <v>40853</v>
      </c>
      <c r="B161" s="3">
        <v>2</v>
      </c>
      <c r="C161" s="3">
        <v>37.81</v>
      </c>
    </row>
    <row r="162" spans="1:3" x14ac:dyDescent="0.25">
      <c r="A162" s="18">
        <v>40853</v>
      </c>
      <c r="B162" s="3">
        <v>3</v>
      </c>
      <c r="C162" s="3">
        <v>37.340000000000003</v>
      </c>
    </row>
    <row r="163" spans="1:3" x14ac:dyDescent="0.25">
      <c r="A163" s="18">
        <v>40853</v>
      </c>
      <c r="B163" s="3">
        <v>4</v>
      </c>
      <c r="C163" s="3">
        <v>37.35</v>
      </c>
    </row>
    <row r="164" spans="1:3" x14ac:dyDescent="0.25">
      <c r="A164" s="18">
        <v>40853</v>
      </c>
      <c r="B164" s="3">
        <v>5</v>
      </c>
      <c r="C164" s="3">
        <v>37.130000000000003</v>
      </c>
    </row>
    <row r="165" spans="1:3" x14ac:dyDescent="0.25">
      <c r="A165" s="18">
        <v>40853</v>
      </c>
      <c r="B165" s="3">
        <v>6</v>
      </c>
      <c r="C165" s="3">
        <v>37.9</v>
      </c>
    </row>
    <row r="166" spans="1:3" x14ac:dyDescent="0.25">
      <c r="A166" s="18">
        <v>40853</v>
      </c>
      <c r="B166" s="3">
        <v>7</v>
      </c>
      <c r="C166" s="3">
        <v>38.299999999999997</v>
      </c>
    </row>
    <row r="167" spans="1:3" x14ac:dyDescent="0.25">
      <c r="A167" s="18">
        <v>40853</v>
      </c>
      <c r="B167" s="3">
        <v>8</v>
      </c>
      <c r="C167" s="3">
        <v>39.18</v>
      </c>
    </row>
    <row r="168" spans="1:3" x14ac:dyDescent="0.25">
      <c r="A168" s="18">
        <v>40853</v>
      </c>
      <c r="B168" s="3">
        <v>9</v>
      </c>
      <c r="C168" s="3">
        <v>39.89</v>
      </c>
    </row>
    <row r="169" spans="1:3" x14ac:dyDescent="0.25">
      <c r="A169" s="18">
        <v>40853</v>
      </c>
      <c r="B169" s="3">
        <v>10</v>
      </c>
      <c r="C169" s="3">
        <v>40.33</v>
      </c>
    </row>
    <row r="170" spans="1:3" x14ac:dyDescent="0.25">
      <c r="A170" s="18">
        <v>40853</v>
      </c>
      <c r="B170" s="3">
        <v>11</v>
      </c>
      <c r="C170" s="3">
        <v>40.72</v>
      </c>
    </row>
    <row r="171" spans="1:3" x14ac:dyDescent="0.25">
      <c r="A171" s="18">
        <v>40853</v>
      </c>
      <c r="B171" s="3">
        <v>12</v>
      </c>
      <c r="C171" s="3">
        <v>40.78</v>
      </c>
    </row>
    <row r="172" spans="1:3" x14ac:dyDescent="0.25">
      <c r="A172" s="18">
        <v>40853</v>
      </c>
      <c r="B172" s="3">
        <v>13</v>
      </c>
      <c r="C172" s="3">
        <v>40.409999999999997</v>
      </c>
    </row>
    <row r="173" spans="1:3" x14ac:dyDescent="0.25">
      <c r="A173" s="18">
        <v>40853</v>
      </c>
      <c r="B173" s="3">
        <v>14</v>
      </c>
      <c r="C173" s="3">
        <v>40.29</v>
      </c>
    </row>
    <row r="174" spans="1:3" x14ac:dyDescent="0.25">
      <c r="A174" s="18">
        <v>40853</v>
      </c>
      <c r="B174" s="3">
        <v>15</v>
      </c>
      <c r="C174" s="3">
        <v>40.380000000000003</v>
      </c>
    </row>
    <row r="175" spans="1:3" x14ac:dyDescent="0.25">
      <c r="A175" s="18">
        <v>40853</v>
      </c>
      <c r="B175" s="3">
        <v>16</v>
      </c>
      <c r="C175" s="3">
        <v>42.3</v>
      </c>
    </row>
    <row r="176" spans="1:3" x14ac:dyDescent="0.25">
      <c r="A176" s="18">
        <v>40853</v>
      </c>
      <c r="B176" s="3">
        <v>17</v>
      </c>
      <c r="C176" s="3">
        <v>44.01</v>
      </c>
    </row>
    <row r="177" spans="1:3" x14ac:dyDescent="0.25">
      <c r="A177" s="18">
        <v>40853</v>
      </c>
      <c r="B177" s="3">
        <v>18</v>
      </c>
      <c r="C177" s="3">
        <v>43.91</v>
      </c>
    </row>
    <row r="178" spans="1:3" x14ac:dyDescent="0.25">
      <c r="A178" s="18">
        <v>40853</v>
      </c>
      <c r="B178" s="3">
        <v>19</v>
      </c>
      <c r="C178" s="3">
        <v>42.48</v>
      </c>
    </row>
    <row r="179" spans="1:3" x14ac:dyDescent="0.25">
      <c r="A179" s="18">
        <v>40853</v>
      </c>
      <c r="B179" s="3">
        <v>20</v>
      </c>
      <c r="C179" s="3">
        <v>41.38</v>
      </c>
    </row>
    <row r="180" spans="1:3" x14ac:dyDescent="0.25">
      <c r="A180" s="18">
        <v>40853</v>
      </c>
      <c r="B180" s="3">
        <v>21</v>
      </c>
      <c r="C180" s="3">
        <v>41.02</v>
      </c>
    </row>
    <row r="181" spans="1:3" x14ac:dyDescent="0.25">
      <c r="A181" s="18">
        <v>40853</v>
      </c>
      <c r="B181" s="3">
        <v>22</v>
      </c>
      <c r="C181" s="3">
        <v>40.04</v>
      </c>
    </row>
    <row r="182" spans="1:3" x14ac:dyDescent="0.25">
      <c r="A182" s="18">
        <v>40853</v>
      </c>
      <c r="B182" s="3">
        <v>23</v>
      </c>
      <c r="C182" s="3">
        <v>39.08</v>
      </c>
    </row>
    <row r="183" spans="1:3" x14ac:dyDescent="0.25">
      <c r="A183" s="18">
        <v>40854</v>
      </c>
      <c r="B183" s="3">
        <v>0</v>
      </c>
      <c r="C183" s="3">
        <v>38.11</v>
      </c>
    </row>
    <row r="184" spans="1:3" x14ac:dyDescent="0.25">
      <c r="A184" s="18">
        <v>40854</v>
      </c>
      <c r="B184" s="3">
        <v>1</v>
      </c>
      <c r="C184" s="3">
        <v>37.11</v>
      </c>
    </row>
    <row r="185" spans="1:3" x14ac:dyDescent="0.25">
      <c r="A185" s="18">
        <v>40854</v>
      </c>
      <c r="B185" s="3">
        <v>2</v>
      </c>
      <c r="C185" s="3">
        <v>35.409999999999997</v>
      </c>
    </row>
    <row r="186" spans="1:3" x14ac:dyDescent="0.25">
      <c r="A186" s="18">
        <v>40854</v>
      </c>
      <c r="B186" s="3">
        <v>3</v>
      </c>
      <c r="C186" s="3">
        <v>34.99</v>
      </c>
    </row>
    <row r="187" spans="1:3" x14ac:dyDescent="0.25">
      <c r="A187" s="18">
        <v>40854</v>
      </c>
      <c r="B187" s="3">
        <v>4</v>
      </c>
      <c r="C187" s="3">
        <v>37.229999999999997</v>
      </c>
    </row>
    <row r="188" spans="1:3" x14ac:dyDescent="0.25">
      <c r="A188" s="18">
        <v>40854</v>
      </c>
      <c r="B188" s="3">
        <v>5</v>
      </c>
      <c r="C188" s="3">
        <v>38.979999999999997</v>
      </c>
    </row>
    <row r="189" spans="1:3" x14ac:dyDescent="0.25">
      <c r="A189" s="18">
        <v>40854</v>
      </c>
      <c r="B189" s="3">
        <v>6</v>
      </c>
      <c r="C189" s="3">
        <v>42.71</v>
      </c>
    </row>
    <row r="190" spans="1:3" x14ac:dyDescent="0.25">
      <c r="A190" s="18">
        <v>40854</v>
      </c>
      <c r="B190" s="3">
        <v>7</v>
      </c>
      <c r="C190" s="3">
        <v>46.6</v>
      </c>
    </row>
    <row r="191" spans="1:3" x14ac:dyDescent="0.25">
      <c r="A191" s="18">
        <v>40854</v>
      </c>
      <c r="B191" s="3">
        <v>8</v>
      </c>
      <c r="C191" s="3">
        <v>45.78</v>
      </c>
    </row>
    <row r="192" spans="1:3" x14ac:dyDescent="0.25">
      <c r="A192" s="18">
        <v>40854</v>
      </c>
      <c r="B192" s="3">
        <v>9</v>
      </c>
      <c r="C192" s="3">
        <v>45.47</v>
      </c>
    </row>
    <row r="193" spans="1:3" x14ac:dyDescent="0.25">
      <c r="A193" s="18">
        <v>40854</v>
      </c>
      <c r="B193" s="3">
        <v>10</v>
      </c>
      <c r="C193" s="3">
        <v>45.45</v>
      </c>
    </row>
    <row r="194" spans="1:3" x14ac:dyDescent="0.25">
      <c r="A194" s="18">
        <v>40854</v>
      </c>
      <c r="B194" s="3">
        <v>11</v>
      </c>
      <c r="C194" s="3">
        <v>46.05</v>
      </c>
    </row>
    <row r="195" spans="1:3" x14ac:dyDescent="0.25">
      <c r="A195" s="18">
        <v>40854</v>
      </c>
      <c r="B195" s="3">
        <v>12</v>
      </c>
      <c r="C195" s="3">
        <v>46.07</v>
      </c>
    </row>
    <row r="196" spans="1:3" x14ac:dyDescent="0.25">
      <c r="A196" s="18">
        <v>40854</v>
      </c>
      <c r="B196" s="3">
        <v>13</v>
      </c>
      <c r="C196" s="3">
        <v>45.6</v>
      </c>
    </row>
    <row r="197" spans="1:3" x14ac:dyDescent="0.25">
      <c r="A197" s="18">
        <v>40854</v>
      </c>
      <c r="B197" s="3">
        <v>14</v>
      </c>
      <c r="C197" s="3">
        <v>45.68</v>
      </c>
    </row>
    <row r="198" spans="1:3" x14ac:dyDescent="0.25">
      <c r="A198" s="18">
        <v>40854</v>
      </c>
      <c r="B198" s="3">
        <v>15</v>
      </c>
      <c r="C198" s="3">
        <v>45.83</v>
      </c>
    </row>
    <row r="199" spans="1:3" x14ac:dyDescent="0.25">
      <c r="A199" s="18">
        <v>40854</v>
      </c>
      <c r="B199" s="3">
        <v>16</v>
      </c>
      <c r="C199" s="3">
        <v>47.23</v>
      </c>
    </row>
    <row r="200" spans="1:3" x14ac:dyDescent="0.25">
      <c r="A200" s="18">
        <v>40854</v>
      </c>
      <c r="B200" s="3">
        <v>17</v>
      </c>
      <c r="C200" s="3">
        <v>48.63</v>
      </c>
    </row>
    <row r="201" spans="1:3" x14ac:dyDescent="0.25">
      <c r="A201" s="18">
        <v>40854</v>
      </c>
      <c r="B201" s="3">
        <v>18</v>
      </c>
      <c r="C201" s="3">
        <v>48.76</v>
      </c>
    </row>
    <row r="202" spans="1:3" x14ac:dyDescent="0.25">
      <c r="A202" s="18">
        <v>40854</v>
      </c>
      <c r="B202" s="3">
        <v>19</v>
      </c>
      <c r="C202" s="3">
        <v>45.45</v>
      </c>
    </row>
    <row r="203" spans="1:3" x14ac:dyDescent="0.25">
      <c r="A203" s="18">
        <v>40854</v>
      </c>
      <c r="B203" s="3">
        <v>20</v>
      </c>
      <c r="C203" s="3">
        <v>42</v>
      </c>
    </row>
    <row r="204" spans="1:3" x14ac:dyDescent="0.25">
      <c r="A204" s="18">
        <v>40854</v>
      </c>
      <c r="B204" s="3">
        <v>21</v>
      </c>
      <c r="C204" s="3">
        <v>40.96</v>
      </c>
    </row>
    <row r="205" spans="1:3" x14ac:dyDescent="0.25">
      <c r="A205" s="18">
        <v>40854</v>
      </c>
      <c r="B205" s="3">
        <v>22</v>
      </c>
      <c r="C205" s="3">
        <v>40.47</v>
      </c>
    </row>
    <row r="206" spans="1:3" x14ac:dyDescent="0.25">
      <c r="A206" s="18">
        <v>40854</v>
      </c>
      <c r="B206" s="3">
        <v>23</v>
      </c>
      <c r="C206" s="3">
        <v>39.11</v>
      </c>
    </row>
    <row r="207" spans="1:3" x14ac:dyDescent="0.25">
      <c r="A207" s="18">
        <v>40855</v>
      </c>
      <c r="B207" s="3">
        <v>0</v>
      </c>
      <c r="C207" s="3">
        <v>38.9</v>
      </c>
    </row>
    <row r="208" spans="1:3" x14ac:dyDescent="0.25">
      <c r="A208" s="18">
        <v>40855</v>
      </c>
      <c r="B208" s="3">
        <v>1</v>
      </c>
      <c r="C208" s="3">
        <v>38.409999999999997</v>
      </c>
    </row>
    <row r="209" spans="1:3" x14ac:dyDescent="0.25">
      <c r="A209" s="18">
        <v>40855</v>
      </c>
      <c r="B209" s="3">
        <v>2</v>
      </c>
      <c r="C209" s="3">
        <v>38.67</v>
      </c>
    </row>
    <row r="210" spans="1:3" x14ac:dyDescent="0.25">
      <c r="A210" s="18">
        <v>40855</v>
      </c>
      <c r="B210" s="3">
        <v>3</v>
      </c>
      <c r="C210" s="3">
        <v>38.15</v>
      </c>
    </row>
    <row r="211" spans="1:3" x14ac:dyDescent="0.25">
      <c r="A211" s="18">
        <v>40855</v>
      </c>
      <c r="B211" s="3">
        <v>4</v>
      </c>
      <c r="C211" s="3">
        <v>38.85</v>
      </c>
    </row>
    <row r="212" spans="1:3" x14ac:dyDescent="0.25">
      <c r="A212" s="18">
        <v>40855</v>
      </c>
      <c r="B212" s="3">
        <v>5</v>
      </c>
      <c r="C212" s="3">
        <v>40.46</v>
      </c>
    </row>
    <row r="213" spans="1:3" x14ac:dyDescent="0.25">
      <c r="A213" s="18">
        <v>40855</v>
      </c>
      <c r="B213" s="3">
        <v>6</v>
      </c>
      <c r="C213" s="3">
        <v>43.21</v>
      </c>
    </row>
    <row r="214" spans="1:3" x14ac:dyDescent="0.25">
      <c r="A214" s="18">
        <v>40855</v>
      </c>
      <c r="B214" s="3">
        <v>7</v>
      </c>
      <c r="C214" s="3">
        <v>46.87</v>
      </c>
    </row>
    <row r="215" spans="1:3" x14ac:dyDescent="0.25">
      <c r="A215" s="18">
        <v>40855</v>
      </c>
      <c r="B215" s="3">
        <v>8</v>
      </c>
      <c r="C215" s="3">
        <v>46.6</v>
      </c>
    </row>
    <row r="216" spans="1:3" x14ac:dyDescent="0.25">
      <c r="A216" s="18">
        <v>40855</v>
      </c>
      <c r="B216" s="3">
        <v>9</v>
      </c>
      <c r="C216" s="3">
        <v>45.75</v>
      </c>
    </row>
    <row r="217" spans="1:3" x14ac:dyDescent="0.25">
      <c r="A217" s="18">
        <v>40855</v>
      </c>
      <c r="B217" s="3">
        <v>10</v>
      </c>
      <c r="C217" s="3">
        <v>45.42</v>
      </c>
    </row>
    <row r="218" spans="1:3" x14ac:dyDescent="0.25">
      <c r="A218" s="18">
        <v>40855</v>
      </c>
      <c r="B218" s="3">
        <v>11</v>
      </c>
      <c r="C218" s="3">
        <v>45.46</v>
      </c>
    </row>
    <row r="219" spans="1:3" x14ac:dyDescent="0.25">
      <c r="A219" s="18">
        <v>40855</v>
      </c>
      <c r="B219" s="3">
        <v>12</v>
      </c>
      <c r="C219" s="3">
        <v>45.41</v>
      </c>
    </row>
    <row r="220" spans="1:3" x14ac:dyDescent="0.25">
      <c r="A220" s="18">
        <v>40855</v>
      </c>
      <c r="B220" s="3">
        <v>13</v>
      </c>
      <c r="C220" s="3">
        <v>44.48</v>
      </c>
    </row>
    <row r="221" spans="1:3" x14ac:dyDescent="0.25">
      <c r="A221" s="18">
        <v>40855</v>
      </c>
      <c r="B221" s="3">
        <v>14</v>
      </c>
      <c r="C221" s="3">
        <v>44</v>
      </c>
    </row>
    <row r="222" spans="1:3" x14ac:dyDescent="0.25">
      <c r="A222" s="18">
        <v>40855</v>
      </c>
      <c r="B222" s="3">
        <v>15</v>
      </c>
      <c r="C222" s="3">
        <v>44.61</v>
      </c>
    </row>
    <row r="223" spans="1:3" x14ac:dyDescent="0.25">
      <c r="A223" s="18">
        <v>40855</v>
      </c>
      <c r="B223" s="3">
        <v>16</v>
      </c>
      <c r="C223" s="3">
        <v>48.46</v>
      </c>
    </row>
    <row r="224" spans="1:3" x14ac:dyDescent="0.25">
      <c r="A224" s="18">
        <v>40855</v>
      </c>
      <c r="B224" s="3">
        <v>17</v>
      </c>
      <c r="C224" s="3">
        <v>53.86</v>
      </c>
    </row>
    <row r="225" spans="1:3" x14ac:dyDescent="0.25">
      <c r="A225" s="18">
        <v>40855</v>
      </c>
      <c r="B225" s="3">
        <v>18</v>
      </c>
      <c r="C225" s="3">
        <v>50.77</v>
      </c>
    </row>
    <row r="226" spans="1:3" x14ac:dyDescent="0.25">
      <c r="A226" s="18">
        <v>40855</v>
      </c>
      <c r="B226" s="3">
        <v>19</v>
      </c>
      <c r="C226" s="3">
        <v>46.98</v>
      </c>
    </row>
    <row r="227" spans="1:3" x14ac:dyDescent="0.25">
      <c r="A227" s="18">
        <v>40855</v>
      </c>
      <c r="B227" s="3">
        <v>20</v>
      </c>
      <c r="C227" s="3">
        <v>43.56</v>
      </c>
    </row>
    <row r="228" spans="1:3" x14ac:dyDescent="0.25">
      <c r="A228" s="18">
        <v>40855</v>
      </c>
      <c r="B228" s="3">
        <v>21</v>
      </c>
      <c r="C228" s="3">
        <v>42.27</v>
      </c>
    </row>
    <row r="229" spans="1:3" x14ac:dyDescent="0.25">
      <c r="A229" s="18">
        <v>40855</v>
      </c>
      <c r="B229" s="3">
        <v>22</v>
      </c>
      <c r="C229" s="3">
        <v>41.05</v>
      </c>
    </row>
    <row r="230" spans="1:3" x14ac:dyDescent="0.25">
      <c r="A230" s="18">
        <v>40855</v>
      </c>
      <c r="B230" s="3">
        <v>23</v>
      </c>
      <c r="C230" s="3">
        <v>39.700000000000003</v>
      </c>
    </row>
    <row r="231" spans="1:3" x14ac:dyDescent="0.25">
      <c r="A231" s="18">
        <v>40856</v>
      </c>
      <c r="B231" s="3">
        <v>0</v>
      </c>
      <c r="C231" s="3">
        <v>39.74</v>
      </c>
    </row>
    <row r="232" spans="1:3" x14ac:dyDescent="0.25">
      <c r="A232" s="18">
        <v>40856</v>
      </c>
      <c r="B232" s="3">
        <v>1</v>
      </c>
      <c r="C232" s="3">
        <v>38.86</v>
      </c>
    </row>
    <row r="233" spans="1:3" x14ac:dyDescent="0.25">
      <c r="A233" s="18">
        <v>40856</v>
      </c>
      <c r="B233" s="3">
        <v>2</v>
      </c>
      <c r="C233" s="3">
        <v>38.950000000000003</v>
      </c>
    </row>
    <row r="234" spans="1:3" x14ac:dyDescent="0.25">
      <c r="A234" s="18">
        <v>40856</v>
      </c>
      <c r="B234" s="3">
        <v>3</v>
      </c>
      <c r="C234" s="3">
        <v>39.26</v>
      </c>
    </row>
    <row r="235" spans="1:3" x14ac:dyDescent="0.25">
      <c r="A235" s="18">
        <v>40856</v>
      </c>
      <c r="B235" s="3">
        <v>4</v>
      </c>
      <c r="C235" s="3">
        <v>39.909999999999997</v>
      </c>
    </row>
    <row r="236" spans="1:3" x14ac:dyDescent="0.25">
      <c r="A236" s="18">
        <v>40856</v>
      </c>
      <c r="B236" s="3">
        <v>5</v>
      </c>
      <c r="C236" s="3">
        <v>41.34</v>
      </c>
    </row>
    <row r="237" spans="1:3" x14ac:dyDescent="0.25">
      <c r="A237" s="18">
        <v>40856</v>
      </c>
      <c r="B237" s="3">
        <v>6</v>
      </c>
      <c r="C237" s="3">
        <v>44.54</v>
      </c>
    </row>
    <row r="238" spans="1:3" x14ac:dyDescent="0.25">
      <c r="A238" s="18">
        <v>40856</v>
      </c>
      <c r="B238" s="3">
        <v>7</v>
      </c>
      <c r="C238" s="3">
        <v>47.5</v>
      </c>
    </row>
    <row r="239" spans="1:3" x14ac:dyDescent="0.25">
      <c r="A239" s="18">
        <v>40856</v>
      </c>
      <c r="B239" s="3">
        <v>8</v>
      </c>
      <c r="C239" s="3">
        <v>47.36</v>
      </c>
    </row>
    <row r="240" spans="1:3" x14ac:dyDescent="0.25">
      <c r="A240" s="18">
        <v>40856</v>
      </c>
      <c r="B240" s="3">
        <v>9</v>
      </c>
      <c r="C240" s="3">
        <v>47.18</v>
      </c>
    </row>
    <row r="241" spans="1:3" x14ac:dyDescent="0.25">
      <c r="A241" s="18">
        <v>40856</v>
      </c>
      <c r="B241" s="3">
        <v>10</v>
      </c>
      <c r="C241" s="3">
        <v>46.33</v>
      </c>
    </row>
    <row r="242" spans="1:3" x14ac:dyDescent="0.25">
      <c r="A242" s="18">
        <v>40856</v>
      </c>
      <c r="B242" s="3">
        <v>11</v>
      </c>
      <c r="C242" s="3">
        <v>46.3</v>
      </c>
    </row>
    <row r="243" spans="1:3" x14ac:dyDescent="0.25">
      <c r="A243" s="18">
        <v>40856</v>
      </c>
      <c r="B243" s="3">
        <v>12</v>
      </c>
      <c r="C243" s="3">
        <v>46.05</v>
      </c>
    </row>
    <row r="244" spans="1:3" x14ac:dyDescent="0.25">
      <c r="A244" s="18">
        <v>40856</v>
      </c>
      <c r="B244" s="3">
        <v>13</v>
      </c>
      <c r="C244" s="3">
        <v>45.98</v>
      </c>
    </row>
    <row r="245" spans="1:3" x14ac:dyDescent="0.25">
      <c r="A245" s="18">
        <v>40856</v>
      </c>
      <c r="B245" s="3">
        <v>14</v>
      </c>
      <c r="C245" s="3">
        <v>45.24</v>
      </c>
    </row>
    <row r="246" spans="1:3" x14ac:dyDescent="0.25">
      <c r="A246" s="18">
        <v>40856</v>
      </c>
      <c r="B246" s="3">
        <v>15</v>
      </c>
      <c r="C246" s="3">
        <v>45.91</v>
      </c>
    </row>
    <row r="247" spans="1:3" x14ac:dyDescent="0.25">
      <c r="A247" s="18">
        <v>40856</v>
      </c>
      <c r="B247" s="3">
        <v>16</v>
      </c>
      <c r="C247" s="3">
        <v>49.39</v>
      </c>
    </row>
    <row r="248" spans="1:3" x14ac:dyDescent="0.25">
      <c r="A248" s="18">
        <v>40856</v>
      </c>
      <c r="B248" s="3">
        <v>17</v>
      </c>
      <c r="C248" s="3">
        <v>50.22</v>
      </c>
    </row>
    <row r="249" spans="1:3" x14ac:dyDescent="0.25">
      <c r="A249" s="18">
        <v>40856</v>
      </c>
      <c r="B249" s="3">
        <v>18</v>
      </c>
      <c r="C249" s="3">
        <v>47.32</v>
      </c>
    </row>
    <row r="250" spans="1:3" x14ac:dyDescent="0.25">
      <c r="A250" s="18">
        <v>40856</v>
      </c>
      <c r="B250" s="3">
        <v>19</v>
      </c>
      <c r="C250" s="3">
        <v>45.96</v>
      </c>
    </row>
    <row r="251" spans="1:3" x14ac:dyDescent="0.25">
      <c r="A251" s="18">
        <v>40856</v>
      </c>
      <c r="B251" s="3">
        <v>20</v>
      </c>
      <c r="C251" s="3">
        <v>44.51</v>
      </c>
    </row>
    <row r="252" spans="1:3" x14ac:dyDescent="0.25">
      <c r="A252" s="18">
        <v>40856</v>
      </c>
      <c r="B252" s="3">
        <v>21</v>
      </c>
      <c r="C252" s="3">
        <v>43.25</v>
      </c>
    </row>
    <row r="253" spans="1:3" x14ac:dyDescent="0.25">
      <c r="A253" s="18">
        <v>40856</v>
      </c>
      <c r="B253" s="3">
        <v>22</v>
      </c>
      <c r="C253" s="3">
        <v>42.5</v>
      </c>
    </row>
    <row r="254" spans="1:3" x14ac:dyDescent="0.25">
      <c r="A254" s="18">
        <v>40856</v>
      </c>
      <c r="B254" s="3">
        <v>23</v>
      </c>
      <c r="C254" s="3">
        <v>40.380000000000003</v>
      </c>
    </row>
    <row r="255" spans="1:3" x14ac:dyDescent="0.25">
      <c r="A255" s="18">
        <v>40857</v>
      </c>
      <c r="B255" s="3">
        <v>0</v>
      </c>
      <c r="C255" s="3">
        <v>40.630000000000003</v>
      </c>
    </row>
    <row r="256" spans="1:3" x14ac:dyDescent="0.25">
      <c r="A256" s="18">
        <v>40857</v>
      </c>
      <c r="B256" s="3">
        <v>1</v>
      </c>
      <c r="C256" s="3">
        <v>39.76</v>
      </c>
    </row>
    <row r="257" spans="1:3" x14ac:dyDescent="0.25">
      <c r="A257" s="18">
        <v>40857</v>
      </c>
      <c r="B257" s="3">
        <v>2</v>
      </c>
      <c r="C257" s="3">
        <v>39.840000000000003</v>
      </c>
    </row>
    <row r="258" spans="1:3" x14ac:dyDescent="0.25">
      <c r="A258" s="18">
        <v>40857</v>
      </c>
      <c r="B258" s="3">
        <v>3</v>
      </c>
      <c r="C258" s="3">
        <v>39.93</v>
      </c>
    </row>
    <row r="259" spans="1:3" x14ac:dyDescent="0.25">
      <c r="A259" s="18">
        <v>40857</v>
      </c>
      <c r="B259" s="3">
        <v>4</v>
      </c>
      <c r="C259" s="3">
        <v>41.02</v>
      </c>
    </row>
    <row r="260" spans="1:3" x14ac:dyDescent="0.25">
      <c r="A260" s="18">
        <v>40857</v>
      </c>
      <c r="B260" s="3">
        <v>5</v>
      </c>
      <c r="C260" s="3">
        <v>42.75</v>
      </c>
    </row>
    <row r="261" spans="1:3" x14ac:dyDescent="0.25">
      <c r="A261" s="18">
        <v>40857</v>
      </c>
      <c r="B261" s="3">
        <v>6</v>
      </c>
      <c r="C261" s="3">
        <v>44.91</v>
      </c>
    </row>
    <row r="262" spans="1:3" x14ac:dyDescent="0.25">
      <c r="A262" s="18">
        <v>40857</v>
      </c>
      <c r="B262" s="3">
        <v>7</v>
      </c>
      <c r="C262" s="3">
        <v>46.71</v>
      </c>
    </row>
    <row r="263" spans="1:3" x14ac:dyDescent="0.25">
      <c r="A263" s="18">
        <v>40857</v>
      </c>
      <c r="B263" s="3">
        <v>8</v>
      </c>
      <c r="C263" s="3">
        <v>48.69</v>
      </c>
    </row>
    <row r="264" spans="1:3" x14ac:dyDescent="0.25">
      <c r="A264" s="18">
        <v>40857</v>
      </c>
      <c r="B264" s="3">
        <v>9</v>
      </c>
      <c r="C264" s="3">
        <v>46.97</v>
      </c>
    </row>
    <row r="265" spans="1:3" x14ac:dyDescent="0.25">
      <c r="A265" s="18">
        <v>40857</v>
      </c>
      <c r="B265" s="3">
        <v>10</v>
      </c>
      <c r="C265" s="3">
        <v>46.2</v>
      </c>
    </row>
    <row r="266" spans="1:3" x14ac:dyDescent="0.25">
      <c r="A266" s="18">
        <v>40857</v>
      </c>
      <c r="B266" s="3">
        <v>11</v>
      </c>
      <c r="C266" s="3">
        <v>46.19</v>
      </c>
    </row>
    <row r="267" spans="1:3" x14ac:dyDescent="0.25">
      <c r="A267" s="18">
        <v>40857</v>
      </c>
      <c r="B267" s="3">
        <v>12</v>
      </c>
      <c r="C267" s="3">
        <v>46.12</v>
      </c>
    </row>
    <row r="268" spans="1:3" x14ac:dyDescent="0.25">
      <c r="A268" s="18">
        <v>40857</v>
      </c>
      <c r="B268" s="3">
        <v>13</v>
      </c>
      <c r="C268" s="3">
        <v>45</v>
      </c>
    </row>
    <row r="269" spans="1:3" x14ac:dyDescent="0.25">
      <c r="A269" s="18">
        <v>40857</v>
      </c>
      <c r="B269" s="3">
        <v>14</v>
      </c>
      <c r="C269" s="3">
        <v>44.9</v>
      </c>
    </row>
    <row r="270" spans="1:3" x14ac:dyDescent="0.25">
      <c r="A270" s="18">
        <v>40857</v>
      </c>
      <c r="B270" s="3">
        <v>15</v>
      </c>
      <c r="C270" s="3">
        <v>44.99</v>
      </c>
    </row>
    <row r="271" spans="1:3" x14ac:dyDescent="0.25">
      <c r="A271" s="18">
        <v>40857</v>
      </c>
      <c r="B271" s="3">
        <v>16</v>
      </c>
      <c r="C271" s="3">
        <v>48.49</v>
      </c>
    </row>
    <row r="272" spans="1:3" x14ac:dyDescent="0.25">
      <c r="A272" s="18">
        <v>40857</v>
      </c>
      <c r="B272" s="3">
        <v>17</v>
      </c>
      <c r="C272" s="3">
        <v>50.61</v>
      </c>
    </row>
    <row r="273" spans="1:3" x14ac:dyDescent="0.25">
      <c r="A273" s="18">
        <v>40857</v>
      </c>
      <c r="B273" s="3">
        <v>18</v>
      </c>
      <c r="C273" s="3">
        <v>48.23</v>
      </c>
    </row>
    <row r="274" spans="1:3" x14ac:dyDescent="0.25">
      <c r="A274" s="18">
        <v>40857</v>
      </c>
      <c r="B274" s="3">
        <v>19</v>
      </c>
      <c r="C274" s="3">
        <v>45.04</v>
      </c>
    </row>
    <row r="275" spans="1:3" x14ac:dyDescent="0.25">
      <c r="A275" s="18">
        <v>40857</v>
      </c>
      <c r="B275" s="3">
        <v>20</v>
      </c>
      <c r="C275" s="3">
        <v>44.18</v>
      </c>
    </row>
    <row r="276" spans="1:3" x14ac:dyDescent="0.25">
      <c r="A276" s="18">
        <v>40857</v>
      </c>
      <c r="B276" s="3">
        <v>21</v>
      </c>
      <c r="C276" s="3">
        <v>43.03</v>
      </c>
    </row>
    <row r="277" spans="1:3" x14ac:dyDescent="0.25">
      <c r="A277" s="18">
        <v>40857</v>
      </c>
      <c r="B277" s="3">
        <v>22</v>
      </c>
      <c r="C277" s="3">
        <v>41.86</v>
      </c>
    </row>
    <row r="278" spans="1:3" x14ac:dyDescent="0.25">
      <c r="A278" s="18">
        <v>40857</v>
      </c>
      <c r="B278" s="3">
        <v>23</v>
      </c>
      <c r="C278" s="3">
        <v>40.619999999999997</v>
      </c>
    </row>
    <row r="279" spans="1:3" x14ac:dyDescent="0.25">
      <c r="A279" s="18">
        <v>40858</v>
      </c>
      <c r="B279" s="3">
        <v>0</v>
      </c>
      <c r="C279" s="3">
        <v>40.619999999999997</v>
      </c>
    </row>
    <row r="280" spans="1:3" x14ac:dyDescent="0.25">
      <c r="A280" s="18">
        <v>40858</v>
      </c>
      <c r="B280" s="3">
        <v>1</v>
      </c>
      <c r="C280" s="3">
        <v>39.700000000000003</v>
      </c>
    </row>
    <row r="281" spans="1:3" x14ac:dyDescent="0.25">
      <c r="A281" s="18">
        <v>40858</v>
      </c>
      <c r="B281" s="3">
        <v>2</v>
      </c>
      <c r="C281" s="3">
        <v>39.619999999999997</v>
      </c>
    </row>
    <row r="282" spans="1:3" x14ac:dyDescent="0.25">
      <c r="A282" s="18">
        <v>40858</v>
      </c>
      <c r="B282" s="3">
        <v>3</v>
      </c>
      <c r="C282" s="3">
        <v>39.799999999999997</v>
      </c>
    </row>
    <row r="283" spans="1:3" x14ac:dyDescent="0.25">
      <c r="A283" s="18">
        <v>40858</v>
      </c>
      <c r="B283" s="3">
        <v>4</v>
      </c>
      <c r="C283" s="3">
        <v>39.47</v>
      </c>
    </row>
    <row r="284" spans="1:3" x14ac:dyDescent="0.25">
      <c r="A284" s="18">
        <v>40858</v>
      </c>
      <c r="B284" s="3">
        <v>5</v>
      </c>
      <c r="C284" s="3">
        <v>41.04</v>
      </c>
    </row>
    <row r="285" spans="1:3" x14ac:dyDescent="0.25">
      <c r="A285" s="18">
        <v>40858</v>
      </c>
      <c r="B285" s="3">
        <v>6</v>
      </c>
      <c r="C285" s="3">
        <v>44.1</v>
      </c>
    </row>
    <row r="286" spans="1:3" x14ac:dyDescent="0.25">
      <c r="A286" s="18">
        <v>40858</v>
      </c>
      <c r="B286" s="3">
        <v>7</v>
      </c>
      <c r="C286" s="3">
        <v>46.92</v>
      </c>
    </row>
    <row r="287" spans="1:3" x14ac:dyDescent="0.25">
      <c r="A287" s="18">
        <v>40858</v>
      </c>
      <c r="B287" s="3">
        <v>8</v>
      </c>
      <c r="C287" s="3">
        <v>46.44</v>
      </c>
    </row>
    <row r="288" spans="1:3" x14ac:dyDescent="0.25">
      <c r="A288" s="18">
        <v>40858</v>
      </c>
      <c r="B288" s="3">
        <v>9</v>
      </c>
      <c r="C288" s="3">
        <v>45.76</v>
      </c>
    </row>
    <row r="289" spans="1:3" x14ac:dyDescent="0.25">
      <c r="A289" s="18">
        <v>40858</v>
      </c>
      <c r="B289" s="3">
        <v>10</v>
      </c>
      <c r="C289" s="3">
        <v>45.8</v>
      </c>
    </row>
    <row r="290" spans="1:3" x14ac:dyDescent="0.25">
      <c r="A290" s="18">
        <v>40858</v>
      </c>
      <c r="B290" s="3">
        <v>11</v>
      </c>
      <c r="C290" s="3">
        <v>45.79</v>
      </c>
    </row>
    <row r="291" spans="1:3" x14ac:dyDescent="0.25">
      <c r="A291" s="18">
        <v>40858</v>
      </c>
      <c r="B291" s="3">
        <v>12</v>
      </c>
      <c r="C291" s="3">
        <v>45.16</v>
      </c>
    </row>
    <row r="292" spans="1:3" x14ac:dyDescent="0.25">
      <c r="A292" s="18">
        <v>40858</v>
      </c>
      <c r="B292" s="3">
        <v>13</v>
      </c>
      <c r="C292" s="3">
        <v>44.44</v>
      </c>
    </row>
    <row r="293" spans="1:3" x14ac:dyDescent="0.25">
      <c r="A293" s="18">
        <v>40858</v>
      </c>
      <c r="B293" s="3">
        <v>14</v>
      </c>
      <c r="C293" s="3">
        <v>43.65</v>
      </c>
    </row>
    <row r="294" spans="1:3" x14ac:dyDescent="0.25">
      <c r="A294" s="18">
        <v>40858</v>
      </c>
      <c r="B294" s="3">
        <v>15</v>
      </c>
      <c r="C294" s="3">
        <v>43.47</v>
      </c>
    </row>
    <row r="295" spans="1:3" x14ac:dyDescent="0.25">
      <c r="A295" s="18">
        <v>40858</v>
      </c>
      <c r="B295" s="3">
        <v>16</v>
      </c>
      <c r="C295" s="3">
        <v>44.69</v>
      </c>
    </row>
    <row r="296" spans="1:3" x14ac:dyDescent="0.25">
      <c r="A296" s="18">
        <v>40858</v>
      </c>
      <c r="B296" s="3">
        <v>17</v>
      </c>
      <c r="C296" s="3">
        <v>46.62</v>
      </c>
    </row>
    <row r="297" spans="1:3" x14ac:dyDescent="0.25">
      <c r="A297" s="18">
        <v>40858</v>
      </c>
      <c r="B297" s="3">
        <v>18</v>
      </c>
      <c r="C297" s="3">
        <v>44.78</v>
      </c>
    </row>
    <row r="298" spans="1:3" x14ac:dyDescent="0.25">
      <c r="A298" s="18">
        <v>40858</v>
      </c>
      <c r="B298" s="3">
        <v>19</v>
      </c>
      <c r="C298" s="3">
        <v>43.21</v>
      </c>
    </row>
    <row r="299" spans="1:3" x14ac:dyDescent="0.25">
      <c r="A299" s="18">
        <v>40858</v>
      </c>
      <c r="B299" s="3">
        <v>20</v>
      </c>
      <c r="C299" s="3">
        <v>42.73</v>
      </c>
    </row>
    <row r="300" spans="1:3" x14ac:dyDescent="0.25">
      <c r="A300" s="18">
        <v>40858</v>
      </c>
      <c r="B300" s="3">
        <v>21</v>
      </c>
      <c r="C300" s="3">
        <v>42.22</v>
      </c>
    </row>
    <row r="301" spans="1:3" x14ac:dyDescent="0.25">
      <c r="A301" s="18">
        <v>40858</v>
      </c>
      <c r="B301" s="3">
        <v>22</v>
      </c>
      <c r="C301" s="3">
        <v>41.74</v>
      </c>
    </row>
    <row r="302" spans="1:3" x14ac:dyDescent="0.25">
      <c r="A302" s="18">
        <v>40858</v>
      </c>
      <c r="B302" s="3">
        <v>23</v>
      </c>
      <c r="C302" s="3">
        <v>40.619999999999997</v>
      </c>
    </row>
    <row r="303" spans="1:3" x14ac:dyDescent="0.25">
      <c r="A303" s="18">
        <v>40859</v>
      </c>
      <c r="B303" s="3">
        <v>0</v>
      </c>
      <c r="C303" s="3">
        <v>40.67</v>
      </c>
    </row>
    <row r="304" spans="1:3" x14ac:dyDescent="0.25">
      <c r="A304" s="18">
        <v>40859</v>
      </c>
      <c r="B304" s="3">
        <v>1</v>
      </c>
      <c r="C304" s="3">
        <v>39.39</v>
      </c>
    </row>
    <row r="305" spans="1:3" x14ac:dyDescent="0.25">
      <c r="A305" s="18">
        <v>40859</v>
      </c>
      <c r="B305" s="3">
        <v>2</v>
      </c>
      <c r="C305" s="3">
        <v>37.700000000000003</v>
      </c>
    </row>
    <row r="306" spans="1:3" x14ac:dyDescent="0.25">
      <c r="A306" s="18">
        <v>40859</v>
      </c>
      <c r="B306" s="3">
        <v>3</v>
      </c>
      <c r="C306" s="3">
        <v>37.33</v>
      </c>
    </row>
    <row r="307" spans="1:3" x14ac:dyDescent="0.25">
      <c r="A307" s="18">
        <v>40859</v>
      </c>
      <c r="B307" s="3">
        <v>4</v>
      </c>
      <c r="C307" s="3">
        <v>37.85</v>
      </c>
    </row>
    <row r="308" spans="1:3" x14ac:dyDescent="0.25">
      <c r="A308" s="18">
        <v>40859</v>
      </c>
      <c r="B308" s="3">
        <v>5</v>
      </c>
      <c r="C308" s="3">
        <v>38.81</v>
      </c>
    </row>
    <row r="309" spans="1:3" x14ac:dyDescent="0.25">
      <c r="A309" s="18">
        <v>40859</v>
      </c>
      <c r="B309" s="3">
        <v>6</v>
      </c>
      <c r="C309" s="3">
        <v>39.97</v>
      </c>
    </row>
    <row r="310" spans="1:3" x14ac:dyDescent="0.25">
      <c r="A310" s="18">
        <v>40859</v>
      </c>
      <c r="B310" s="3">
        <v>7</v>
      </c>
      <c r="C310" s="3">
        <v>41.55</v>
      </c>
    </row>
    <row r="311" spans="1:3" x14ac:dyDescent="0.25">
      <c r="A311" s="18">
        <v>40859</v>
      </c>
      <c r="B311" s="3">
        <v>8</v>
      </c>
      <c r="C311" s="3">
        <v>42.59</v>
      </c>
    </row>
    <row r="312" spans="1:3" x14ac:dyDescent="0.25">
      <c r="A312" s="18">
        <v>40859</v>
      </c>
      <c r="B312" s="3">
        <v>9</v>
      </c>
      <c r="C312" s="3">
        <v>42.78</v>
      </c>
    </row>
    <row r="313" spans="1:3" x14ac:dyDescent="0.25">
      <c r="A313" s="18">
        <v>40859</v>
      </c>
      <c r="B313" s="3">
        <v>10</v>
      </c>
      <c r="C313" s="3">
        <v>42.88</v>
      </c>
    </row>
    <row r="314" spans="1:3" x14ac:dyDescent="0.25">
      <c r="A314" s="18">
        <v>40859</v>
      </c>
      <c r="B314" s="3">
        <v>11</v>
      </c>
      <c r="C314" s="3">
        <v>42.82</v>
      </c>
    </row>
    <row r="315" spans="1:3" x14ac:dyDescent="0.25">
      <c r="A315" s="18">
        <v>40859</v>
      </c>
      <c r="B315" s="3">
        <v>12</v>
      </c>
      <c r="C315" s="3">
        <v>42.04</v>
      </c>
    </row>
    <row r="316" spans="1:3" x14ac:dyDescent="0.25">
      <c r="A316" s="18">
        <v>40859</v>
      </c>
      <c r="B316" s="3">
        <v>13</v>
      </c>
      <c r="C316" s="3">
        <v>41.82</v>
      </c>
    </row>
    <row r="317" spans="1:3" x14ac:dyDescent="0.25">
      <c r="A317" s="18">
        <v>40859</v>
      </c>
      <c r="B317" s="3">
        <v>14</v>
      </c>
      <c r="C317" s="3">
        <v>42.08</v>
      </c>
    </row>
    <row r="318" spans="1:3" x14ac:dyDescent="0.25">
      <c r="A318" s="18">
        <v>40859</v>
      </c>
      <c r="B318" s="3">
        <v>15</v>
      </c>
      <c r="C318" s="3">
        <v>42.78</v>
      </c>
    </row>
    <row r="319" spans="1:3" x14ac:dyDescent="0.25">
      <c r="A319" s="18">
        <v>40859</v>
      </c>
      <c r="B319" s="3">
        <v>16</v>
      </c>
      <c r="C319" s="3">
        <v>44.43</v>
      </c>
    </row>
    <row r="320" spans="1:3" x14ac:dyDescent="0.25">
      <c r="A320" s="18">
        <v>40859</v>
      </c>
      <c r="B320" s="3">
        <v>17</v>
      </c>
      <c r="C320" s="3">
        <v>47.96</v>
      </c>
    </row>
    <row r="321" spans="1:3" x14ac:dyDescent="0.25">
      <c r="A321" s="18">
        <v>40859</v>
      </c>
      <c r="B321" s="3">
        <v>18</v>
      </c>
      <c r="C321" s="3">
        <v>46.84</v>
      </c>
    </row>
    <row r="322" spans="1:3" x14ac:dyDescent="0.25">
      <c r="A322" s="18">
        <v>40859</v>
      </c>
      <c r="B322" s="3">
        <v>19</v>
      </c>
      <c r="C322" s="3">
        <v>44.77</v>
      </c>
    </row>
    <row r="323" spans="1:3" x14ac:dyDescent="0.25">
      <c r="A323" s="18">
        <v>40859</v>
      </c>
      <c r="B323" s="3">
        <v>20</v>
      </c>
      <c r="C323" s="3">
        <v>43.4</v>
      </c>
    </row>
    <row r="324" spans="1:3" x14ac:dyDescent="0.25">
      <c r="A324" s="18">
        <v>40859</v>
      </c>
      <c r="B324" s="3">
        <v>21</v>
      </c>
      <c r="C324" s="3">
        <v>43.04</v>
      </c>
    </row>
    <row r="325" spans="1:3" x14ac:dyDescent="0.25">
      <c r="A325" s="18">
        <v>40859</v>
      </c>
      <c r="B325" s="3">
        <v>22</v>
      </c>
      <c r="C325" s="3">
        <v>42.97</v>
      </c>
    </row>
    <row r="326" spans="1:3" x14ac:dyDescent="0.25">
      <c r="A326" s="18">
        <v>40859</v>
      </c>
      <c r="B326" s="3">
        <v>23</v>
      </c>
      <c r="C326" s="3">
        <v>41.87</v>
      </c>
    </row>
    <row r="327" spans="1:3" x14ac:dyDescent="0.25">
      <c r="A327" s="18">
        <v>40860</v>
      </c>
      <c r="B327" s="3">
        <v>0</v>
      </c>
      <c r="C327" s="3">
        <v>42.45</v>
      </c>
    </row>
    <row r="328" spans="1:3" x14ac:dyDescent="0.25">
      <c r="A328" s="18">
        <v>40860</v>
      </c>
      <c r="B328" s="3">
        <v>1</v>
      </c>
      <c r="C328" s="3">
        <v>41.04</v>
      </c>
    </row>
    <row r="329" spans="1:3" x14ac:dyDescent="0.25">
      <c r="A329" s="18">
        <v>40860</v>
      </c>
      <c r="B329" s="3">
        <v>2</v>
      </c>
      <c r="C329" s="3">
        <v>39.24</v>
      </c>
    </row>
    <row r="330" spans="1:3" x14ac:dyDescent="0.25">
      <c r="A330" s="18">
        <v>40860</v>
      </c>
      <c r="B330" s="3">
        <v>3</v>
      </c>
      <c r="C330" s="3">
        <v>39.15</v>
      </c>
    </row>
    <row r="331" spans="1:3" x14ac:dyDescent="0.25">
      <c r="A331" s="18">
        <v>40860</v>
      </c>
      <c r="B331" s="3">
        <v>4</v>
      </c>
      <c r="C331" s="3">
        <v>39.31</v>
      </c>
    </row>
    <row r="332" spans="1:3" x14ac:dyDescent="0.25">
      <c r="A332" s="18">
        <v>40860</v>
      </c>
      <c r="B332" s="3">
        <v>5</v>
      </c>
      <c r="C332" s="3">
        <v>39.32</v>
      </c>
    </row>
    <row r="333" spans="1:3" x14ac:dyDescent="0.25">
      <c r="A333" s="18">
        <v>40860</v>
      </c>
      <c r="B333" s="3">
        <v>6</v>
      </c>
      <c r="C333" s="3">
        <v>38.869999999999997</v>
      </c>
    </row>
    <row r="334" spans="1:3" x14ac:dyDescent="0.25">
      <c r="A334" s="18">
        <v>40860</v>
      </c>
      <c r="B334" s="3">
        <v>7</v>
      </c>
      <c r="C334" s="3">
        <v>39.03</v>
      </c>
    </row>
    <row r="335" spans="1:3" x14ac:dyDescent="0.25">
      <c r="A335" s="18">
        <v>40860</v>
      </c>
      <c r="B335" s="3">
        <v>8</v>
      </c>
      <c r="C335" s="3">
        <v>40.049999999999997</v>
      </c>
    </row>
    <row r="336" spans="1:3" x14ac:dyDescent="0.25">
      <c r="A336" s="18">
        <v>40860</v>
      </c>
      <c r="B336" s="3">
        <v>9</v>
      </c>
      <c r="C336" s="3">
        <v>42.84</v>
      </c>
    </row>
    <row r="337" spans="1:3" x14ac:dyDescent="0.25">
      <c r="A337" s="18">
        <v>40860</v>
      </c>
      <c r="B337" s="3">
        <v>10</v>
      </c>
      <c r="C337" s="3">
        <v>43.64</v>
      </c>
    </row>
    <row r="338" spans="1:3" x14ac:dyDescent="0.25">
      <c r="A338" s="18">
        <v>40860</v>
      </c>
      <c r="B338" s="3">
        <v>11</v>
      </c>
      <c r="C338" s="3">
        <v>43.8</v>
      </c>
    </row>
    <row r="339" spans="1:3" x14ac:dyDescent="0.25">
      <c r="A339" s="18">
        <v>40860</v>
      </c>
      <c r="B339" s="3">
        <v>12</v>
      </c>
      <c r="C339" s="3">
        <v>43.68</v>
      </c>
    </row>
    <row r="340" spans="1:3" x14ac:dyDescent="0.25">
      <c r="A340" s="18">
        <v>40860</v>
      </c>
      <c r="B340" s="3">
        <v>13</v>
      </c>
      <c r="C340" s="3">
        <v>43.14</v>
      </c>
    </row>
    <row r="341" spans="1:3" x14ac:dyDescent="0.25">
      <c r="A341" s="18">
        <v>40860</v>
      </c>
      <c r="B341" s="3">
        <v>14</v>
      </c>
      <c r="C341" s="3">
        <v>42.45</v>
      </c>
    </row>
    <row r="342" spans="1:3" x14ac:dyDescent="0.25">
      <c r="A342" s="18">
        <v>40860</v>
      </c>
      <c r="B342" s="3">
        <v>15</v>
      </c>
      <c r="C342" s="3">
        <v>43.04</v>
      </c>
    </row>
    <row r="343" spans="1:3" x14ac:dyDescent="0.25">
      <c r="A343" s="18">
        <v>40860</v>
      </c>
      <c r="B343" s="3">
        <v>16</v>
      </c>
      <c r="C343" s="3">
        <v>46</v>
      </c>
    </row>
    <row r="344" spans="1:3" x14ac:dyDescent="0.25">
      <c r="A344" s="18">
        <v>40860</v>
      </c>
      <c r="B344" s="3">
        <v>17</v>
      </c>
      <c r="C344" s="3">
        <v>48.09</v>
      </c>
    </row>
    <row r="345" spans="1:3" x14ac:dyDescent="0.25">
      <c r="A345" s="18">
        <v>40860</v>
      </c>
      <c r="B345" s="3">
        <v>18</v>
      </c>
      <c r="C345" s="3">
        <v>47.72</v>
      </c>
    </row>
    <row r="346" spans="1:3" x14ac:dyDescent="0.25">
      <c r="A346" s="18">
        <v>40860</v>
      </c>
      <c r="B346" s="3">
        <v>19</v>
      </c>
      <c r="C346" s="3">
        <v>46.35</v>
      </c>
    </row>
    <row r="347" spans="1:3" x14ac:dyDescent="0.25">
      <c r="A347" s="18">
        <v>40860</v>
      </c>
      <c r="B347" s="3">
        <v>20</v>
      </c>
      <c r="C347" s="3">
        <v>44.12</v>
      </c>
    </row>
    <row r="348" spans="1:3" x14ac:dyDescent="0.25">
      <c r="A348" s="18">
        <v>40860</v>
      </c>
      <c r="B348" s="3">
        <v>21</v>
      </c>
      <c r="C348" s="3">
        <v>43.95</v>
      </c>
    </row>
    <row r="349" spans="1:3" x14ac:dyDescent="0.25">
      <c r="A349" s="18">
        <v>40860</v>
      </c>
      <c r="B349" s="3">
        <v>22</v>
      </c>
      <c r="C349" s="3">
        <v>43.03</v>
      </c>
    </row>
    <row r="350" spans="1:3" x14ac:dyDescent="0.25">
      <c r="A350" s="18">
        <v>40860</v>
      </c>
      <c r="B350" s="3">
        <v>23</v>
      </c>
      <c r="C350" s="3">
        <v>41.26</v>
      </c>
    </row>
    <row r="351" spans="1:3" x14ac:dyDescent="0.25">
      <c r="A351" s="18">
        <v>40861</v>
      </c>
      <c r="B351" s="3">
        <v>0</v>
      </c>
      <c r="C351" s="3">
        <v>41.37</v>
      </c>
    </row>
    <row r="352" spans="1:3" x14ac:dyDescent="0.25">
      <c r="A352" s="18">
        <v>40861</v>
      </c>
      <c r="B352" s="3">
        <v>1</v>
      </c>
      <c r="C352" s="3">
        <v>40.18</v>
      </c>
    </row>
    <row r="353" spans="1:3" x14ac:dyDescent="0.25">
      <c r="A353" s="18">
        <v>40861</v>
      </c>
      <c r="B353" s="3">
        <v>2</v>
      </c>
      <c r="C353" s="3">
        <v>39.020000000000003</v>
      </c>
    </row>
    <row r="354" spans="1:3" x14ac:dyDescent="0.25">
      <c r="A354" s="18">
        <v>40861</v>
      </c>
      <c r="B354" s="3">
        <v>3</v>
      </c>
      <c r="C354" s="3">
        <v>38.96</v>
      </c>
    </row>
    <row r="355" spans="1:3" x14ac:dyDescent="0.25">
      <c r="A355" s="18">
        <v>40861</v>
      </c>
      <c r="B355" s="3">
        <v>4</v>
      </c>
      <c r="C355" s="3">
        <v>39.770000000000003</v>
      </c>
    </row>
    <row r="356" spans="1:3" x14ac:dyDescent="0.25">
      <c r="A356" s="18">
        <v>40861</v>
      </c>
      <c r="B356" s="3">
        <v>5</v>
      </c>
      <c r="C356" s="3">
        <v>42.45</v>
      </c>
    </row>
    <row r="357" spans="1:3" x14ac:dyDescent="0.25">
      <c r="A357" s="18">
        <v>40861</v>
      </c>
      <c r="B357" s="3">
        <v>6</v>
      </c>
      <c r="C357" s="3">
        <v>45.54</v>
      </c>
    </row>
    <row r="358" spans="1:3" x14ac:dyDescent="0.25">
      <c r="A358" s="18">
        <v>40861</v>
      </c>
      <c r="B358" s="3">
        <v>7</v>
      </c>
      <c r="C358" s="3">
        <v>47.5</v>
      </c>
    </row>
    <row r="359" spans="1:3" x14ac:dyDescent="0.25">
      <c r="A359" s="18">
        <v>40861</v>
      </c>
      <c r="B359" s="3">
        <v>8</v>
      </c>
      <c r="C359" s="3">
        <v>47.37</v>
      </c>
    </row>
    <row r="360" spans="1:3" x14ac:dyDescent="0.25">
      <c r="A360" s="18">
        <v>40861</v>
      </c>
      <c r="B360" s="3">
        <v>9</v>
      </c>
      <c r="C360" s="3">
        <v>46.72</v>
      </c>
    </row>
    <row r="361" spans="1:3" x14ac:dyDescent="0.25">
      <c r="A361" s="18">
        <v>40861</v>
      </c>
      <c r="B361" s="3">
        <v>10</v>
      </c>
      <c r="C361" s="3">
        <v>46.41</v>
      </c>
    </row>
    <row r="362" spans="1:3" x14ac:dyDescent="0.25">
      <c r="A362" s="18">
        <v>40861</v>
      </c>
      <c r="B362" s="3">
        <v>11</v>
      </c>
      <c r="C362" s="3">
        <v>46.42</v>
      </c>
    </row>
    <row r="363" spans="1:3" x14ac:dyDescent="0.25">
      <c r="A363" s="18">
        <v>40861</v>
      </c>
      <c r="B363" s="3">
        <v>12</v>
      </c>
      <c r="C363" s="3">
        <v>46.47</v>
      </c>
    </row>
    <row r="364" spans="1:3" x14ac:dyDescent="0.25">
      <c r="A364" s="18">
        <v>40861</v>
      </c>
      <c r="B364" s="3">
        <v>13</v>
      </c>
      <c r="C364" s="3">
        <v>46.49</v>
      </c>
    </row>
    <row r="365" spans="1:3" x14ac:dyDescent="0.25">
      <c r="A365" s="18">
        <v>40861</v>
      </c>
      <c r="B365" s="3">
        <v>14</v>
      </c>
      <c r="C365" s="3">
        <v>46.59</v>
      </c>
    </row>
    <row r="366" spans="1:3" x14ac:dyDescent="0.25">
      <c r="A366" s="18">
        <v>40861</v>
      </c>
      <c r="B366" s="3">
        <v>15</v>
      </c>
      <c r="C366" s="3">
        <v>46.72</v>
      </c>
    </row>
    <row r="367" spans="1:3" x14ac:dyDescent="0.25">
      <c r="A367" s="18">
        <v>40861</v>
      </c>
      <c r="B367" s="3">
        <v>16</v>
      </c>
      <c r="C367" s="3">
        <v>48.42</v>
      </c>
    </row>
    <row r="368" spans="1:3" x14ac:dyDescent="0.25">
      <c r="A368" s="18">
        <v>40861</v>
      </c>
      <c r="B368" s="3">
        <v>17</v>
      </c>
      <c r="C368" s="3">
        <v>49.95</v>
      </c>
    </row>
    <row r="369" spans="1:3" x14ac:dyDescent="0.25">
      <c r="A369" s="18">
        <v>40861</v>
      </c>
      <c r="B369" s="3">
        <v>18</v>
      </c>
      <c r="C369" s="3">
        <v>47.79</v>
      </c>
    </row>
    <row r="370" spans="1:3" x14ac:dyDescent="0.25">
      <c r="A370" s="18">
        <v>40861</v>
      </c>
      <c r="B370" s="3">
        <v>19</v>
      </c>
      <c r="C370" s="3">
        <v>45.88</v>
      </c>
    </row>
    <row r="371" spans="1:3" x14ac:dyDescent="0.25">
      <c r="A371" s="18">
        <v>40861</v>
      </c>
      <c r="B371" s="3">
        <v>20</v>
      </c>
      <c r="C371" s="3">
        <v>44.99</v>
      </c>
    </row>
    <row r="372" spans="1:3" x14ac:dyDescent="0.25">
      <c r="A372" s="18">
        <v>40861</v>
      </c>
      <c r="B372" s="3">
        <v>21</v>
      </c>
      <c r="C372" s="3">
        <v>44.54</v>
      </c>
    </row>
    <row r="373" spans="1:3" x14ac:dyDescent="0.25">
      <c r="A373" s="18">
        <v>40861</v>
      </c>
      <c r="B373" s="3">
        <v>22</v>
      </c>
      <c r="C373" s="3">
        <v>43.56</v>
      </c>
    </row>
    <row r="374" spans="1:3" x14ac:dyDescent="0.25">
      <c r="A374" s="18">
        <v>40861</v>
      </c>
      <c r="B374" s="3">
        <v>23</v>
      </c>
      <c r="C374" s="3">
        <v>42.08</v>
      </c>
    </row>
    <row r="375" spans="1:3" x14ac:dyDescent="0.25">
      <c r="A375" s="18">
        <v>40862</v>
      </c>
      <c r="B375" s="3">
        <v>0</v>
      </c>
      <c r="C375" s="3">
        <v>42.23</v>
      </c>
    </row>
    <row r="376" spans="1:3" x14ac:dyDescent="0.25">
      <c r="A376" s="18">
        <v>40862</v>
      </c>
      <c r="B376" s="3">
        <v>1</v>
      </c>
      <c r="C376" s="3">
        <v>41.78</v>
      </c>
    </row>
    <row r="377" spans="1:3" x14ac:dyDescent="0.25">
      <c r="A377" s="18">
        <v>40862</v>
      </c>
      <c r="B377" s="3">
        <v>2</v>
      </c>
      <c r="C377" s="3">
        <v>41.69</v>
      </c>
    </row>
    <row r="378" spans="1:3" x14ac:dyDescent="0.25">
      <c r="A378" s="18">
        <v>40862</v>
      </c>
      <c r="B378" s="3">
        <v>3</v>
      </c>
      <c r="C378" s="3">
        <v>41.2</v>
      </c>
    </row>
    <row r="379" spans="1:3" x14ac:dyDescent="0.25">
      <c r="A379" s="18">
        <v>40862</v>
      </c>
      <c r="B379" s="3">
        <v>4</v>
      </c>
      <c r="C379" s="3">
        <v>41.69</v>
      </c>
    </row>
    <row r="380" spans="1:3" x14ac:dyDescent="0.25">
      <c r="A380" s="18">
        <v>40862</v>
      </c>
      <c r="B380" s="3">
        <v>5</v>
      </c>
      <c r="C380" s="3">
        <v>43.6</v>
      </c>
    </row>
    <row r="381" spans="1:3" x14ac:dyDescent="0.25">
      <c r="A381" s="18">
        <v>40862</v>
      </c>
      <c r="B381" s="3">
        <v>6</v>
      </c>
      <c r="C381" s="3">
        <v>45.65</v>
      </c>
    </row>
    <row r="382" spans="1:3" x14ac:dyDescent="0.25">
      <c r="A382" s="18">
        <v>40862</v>
      </c>
      <c r="B382" s="3">
        <v>7</v>
      </c>
      <c r="C382" s="3">
        <v>47.85</v>
      </c>
    </row>
    <row r="383" spans="1:3" x14ac:dyDescent="0.25">
      <c r="A383" s="18">
        <v>40862</v>
      </c>
      <c r="B383" s="3">
        <v>8</v>
      </c>
      <c r="C383" s="3">
        <v>48.32</v>
      </c>
    </row>
    <row r="384" spans="1:3" x14ac:dyDescent="0.25">
      <c r="A384" s="18">
        <v>40862</v>
      </c>
      <c r="B384" s="3">
        <v>9</v>
      </c>
      <c r="C384" s="3">
        <v>46.86</v>
      </c>
    </row>
    <row r="385" spans="1:3" x14ac:dyDescent="0.25">
      <c r="A385" s="18">
        <v>40862</v>
      </c>
      <c r="B385" s="3">
        <v>10</v>
      </c>
      <c r="C385" s="3">
        <v>46.45</v>
      </c>
    </row>
    <row r="386" spans="1:3" x14ac:dyDescent="0.25">
      <c r="A386" s="18">
        <v>40862</v>
      </c>
      <c r="B386" s="3">
        <v>11</v>
      </c>
      <c r="C386" s="3">
        <v>46.46</v>
      </c>
    </row>
    <row r="387" spans="1:3" x14ac:dyDescent="0.25">
      <c r="A387" s="18">
        <v>40862</v>
      </c>
      <c r="B387" s="3">
        <v>12</v>
      </c>
      <c r="C387" s="3">
        <v>47.05</v>
      </c>
    </row>
    <row r="388" spans="1:3" x14ac:dyDescent="0.25">
      <c r="A388" s="18">
        <v>40862</v>
      </c>
      <c r="B388" s="3">
        <v>13</v>
      </c>
      <c r="C388" s="3">
        <v>46.88</v>
      </c>
    </row>
    <row r="389" spans="1:3" x14ac:dyDescent="0.25">
      <c r="A389" s="18">
        <v>40862</v>
      </c>
      <c r="B389" s="3">
        <v>14</v>
      </c>
      <c r="C389" s="3">
        <v>46.4</v>
      </c>
    </row>
    <row r="390" spans="1:3" x14ac:dyDescent="0.25">
      <c r="A390" s="18">
        <v>40862</v>
      </c>
      <c r="B390" s="3">
        <v>15</v>
      </c>
      <c r="C390" s="3">
        <v>46.92</v>
      </c>
    </row>
    <row r="391" spans="1:3" x14ac:dyDescent="0.25">
      <c r="A391" s="18">
        <v>40862</v>
      </c>
      <c r="B391" s="3">
        <v>16</v>
      </c>
      <c r="C391" s="3">
        <v>51.64</v>
      </c>
    </row>
    <row r="392" spans="1:3" x14ac:dyDescent="0.25">
      <c r="A392" s="18">
        <v>40862</v>
      </c>
      <c r="B392" s="3">
        <v>17</v>
      </c>
      <c r="C392" s="3">
        <v>59.72</v>
      </c>
    </row>
    <row r="393" spans="1:3" x14ac:dyDescent="0.25">
      <c r="A393" s="18">
        <v>40862</v>
      </c>
      <c r="B393" s="3">
        <v>18</v>
      </c>
      <c r="C393" s="3">
        <v>49.98</v>
      </c>
    </row>
    <row r="394" spans="1:3" x14ac:dyDescent="0.25">
      <c r="A394" s="18">
        <v>40862</v>
      </c>
      <c r="B394" s="3">
        <v>19</v>
      </c>
      <c r="C394" s="3">
        <v>46.31</v>
      </c>
    </row>
    <row r="395" spans="1:3" x14ac:dyDescent="0.25">
      <c r="A395" s="18">
        <v>40862</v>
      </c>
      <c r="B395" s="3">
        <v>20</v>
      </c>
      <c r="C395" s="3">
        <v>45.58</v>
      </c>
    </row>
    <row r="396" spans="1:3" x14ac:dyDescent="0.25">
      <c r="A396" s="18">
        <v>40862</v>
      </c>
      <c r="B396" s="3">
        <v>21</v>
      </c>
      <c r="C396" s="3">
        <v>45.2</v>
      </c>
    </row>
    <row r="397" spans="1:3" x14ac:dyDescent="0.25">
      <c r="A397" s="18">
        <v>40862</v>
      </c>
      <c r="B397" s="3">
        <v>22</v>
      </c>
      <c r="C397" s="3">
        <v>43.83</v>
      </c>
    </row>
    <row r="398" spans="1:3" x14ac:dyDescent="0.25">
      <c r="A398" s="18">
        <v>40862</v>
      </c>
      <c r="B398" s="3">
        <v>23</v>
      </c>
      <c r="C398" s="3">
        <v>42.34</v>
      </c>
    </row>
    <row r="399" spans="1:3" x14ac:dyDescent="0.25">
      <c r="A399" s="18">
        <v>40863</v>
      </c>
      <c r="B399" s="3">
        <v>0</v>
      </c>
      <c r="C399" s="3">
        <v>42.1</v>
      </c>
    </row>
    <row r="400" spans="1:3" x14ac:dyDescent="0.25">
      <c r="A400" s="18">
        <v>40863</v>
      </c>
      <c r="B400" s="3">
        <v>1</v>
      </c>
      <c r="C400" s="3">
        <v>41.33</v>
      </c>
    </row>
    <row r="401" spans="1:3" x14ac:dyDescent="0.25">
      <c r="A401" s="18">
        <v>40863</v>
      </c>
      <c r="B401" s="3">
        <v>2</v>
      </c>
      <c r="C401" s="3">
        <v>41.14</v>
      </c>
    </row>
    <row r="402" spans="1:3" x14ac:dyDescent="0.25">
      <c r="A402" s="18">
        <v>40863</v>
      </c>
      <c r="B402" s="3">
        <v>3</v>
      </c>
      <c r="C402" s="3">
        <v>40.72</v>
      </c>
    </row>
    <row r="403" spans="1:3" x14ac:dyDescent="0.25">
      <c r="A403" s="18">
        <v>40863</v>
      </c>
      <c r="B403" s="3">
        <v>4</v>
      </c>
      <c r="C403" s="3">
        <v>41.02</v>
      </c>
    </row>
    <row r="404" spans="1:3" x14ac:dyDescent="0.25">
      <c r="A404" s="18">
        <v>40863</v>
      </c>
      <c r="B404" s="3">
        <v>5</v>
      </c>
      <c r="C404" s="3">
        <v>43.87</v>
      </c>
    </row>
    <row r="405" spans="1:3" x14ac:dyDescent="0.25">
      <c r="A405" s="18">
        <v>40863</v>
      </c>
      <c r="B405" s="3">
        <v>6</v>
      </c>
      <c r="C405" s="3">
        <v>46.03</v>
      </c>
    </row>
    <row r="406" spans="1:3" x14ac:dyDescent="0.25">
      <c r="A406" s="18">
        <v>40863</v>
      </c>
      <c r="B406" s="3">
        <v>7</v>
      </c>
      <c r="C406" s="3">
        <v>46.33</v>
      </c>
    </row>
    <row r="407" spans="1:3" x14ac:dyDescent="0.25">
      <c r="A407" s="18">
        <v>40863</v>
      </c>
      <c r="B407" s="3">
        <v>8</v>
      </c>
      <c r="C407" s="3">
        <v>47.24</v>
      </c>
    </row>
    <row r="408" spans="1:3" x14ac:dyDescent="0.25">
      <c r="A408" s="18">
        <v>40863</v>
      </c>
      <c r="B408" s="3">
        <v>9</v>
      </c>
      <c r="C408" s="3">
        <v>46.35</v>
      </c>
    </row>
    <row r="409" spans="1:3" x14ac:dyDescent="0.25">
      <c r="A409" s="18">
        <v>40863</v>
      </c>
      <c r="B409" s="3">
        <v>10</v>
      </c>
      <c r="C409" s="3">
        <v>46.28</v>
      </c>
    </row>
    <row r="410" spans="1:3" x14ac:dyDescent="0.25">
      <c r="A410" s="18">
        <v>40863</v>
      </c>
      <c r="B410" s="3">
        <v>11</v>
      </c>
      <c r="C410" s="3">
        <v>45.92</v>
      </c>
    </row>
    <row r="411" spans="1:3" x14ac:dyDescent="0.25">
      <c r="A411" s="18">
        <v>40863</v>
      </c>
      <c r="B411" s="3">
        <v>12</v>
      </c>
      <c r="C411" s="3">
        <v>45.94</v>
      </c>
    </row>
    <row r="412" spans="1:3" x14ac:dyDescent="0.25">
      <c r="A412" s="18">
        <v>40863</v>
      </c>
      <c r="B412" s="3">
        <v>13</v>
      </c>
      <c r="C412" s="3">
        <v>45.54</v>
      </c>
    </row>
    <row r="413" spans="1:3" x14ac:dyDescent="0.25">
      <c r="A413" s="18">
        <v>40863</v>
      </c>
      <c r="B413" s="3">
        <v>14</v>
      </c>
      <c r="C413" s="3">
        <v>45.53</v>
      </c>
    </row>
    <row r="414" spans="1:3" x14ac:dyDescent="0.25">
      <c r="A414" s="18">
        <v>40863</v>
      </c>
      <c r="B414" s="3">
        <v>15</v>
      </c>
      <c r="C414" s="3">
        <v>46.29</v>
      </c>
    </row>
    <row r="415" spans="1:3" x14ac:dyDescent="0.25">
      <c r="A415" s="18">
        <v>40863</v>
      </c>
      <c r="B415" s="3">
        <v>16</v>
      </c>
      <c r="C415" s="3">
        <v>47.91</v>
      </c>
    </row>
    <row r="416" spans="1:3" x14ac:dyDescent="0.25">
      <c r="A416" s="18">
        <v>40863</v>
      </c>
      <c r="B416" s="3">
        <v>17</v>
      </c>
      <c r="C416" s="3">
        <v>51.38</v>
      </c>
    </row>
    <row r="417" spans="1:3" x14ac:dyDescent="0.25">
      <c r="A417" s="18">
        <v>40863</v>
      </c>
      <c r="B417" s="3">
        <v>18</v>
      </c>
      <c r="C417" s="3">
        <v>46.31</v>
      </c>
    </row>
    <row r="418" spans="1:3" x14ac:dyDescent="0.25">
      <c r="A418" s="18">
        <v>40863</v>
      </c>
      <c r="B418" s="3">
        <v>19</v>
      </c>
      <c r="C418" s="3">
        <v>45.55</v>
      </c>
    </row>
    <row r="419" spans="1:3" x14ac:dyDescent="0.25">
      <c r="A419" s="18">
        <v>40863</v>
      </c>
      <c r="B419" s="3">
        <v>20</v>
      </c>
      <c r="C419" s="3">
        <v>44.86</v>
      </c>
    </row>
    <row r="420" spans="1:3" x14ac:dyDescent="0.25">
      <c r="A420" s="18">
        <v>40863</v>
      </c>
      <c r="B420" s="3">
        <v>21</v>
      </c>
      <c r="C420" s="3">
        <v>44.28</v>
      </c>
    </row>
    <row r="421" spans="1:3" x14ac:dyDescent="0.25">
      <c r="A421" s="18">
        <v>40863</v>
      </c>
      <c r="B421" s="3">
        <v>22</v>
      </c>
      <c r="C421" s="3">
        <v>43.86</v>
      </c>
    </row>
    <row r="422" spans="1:3" x14ac:dyDescent="0.25">
      <c r="A422" s="18">
        <v>40863</v>
      </c>
      <c r="B422" s="3">
        <v>23</v>
      </c>
      <c r="C422" s="3">
        <v>42.52</v>
      </c>
    </row>
    <row r="423" spans="1:3" x14ac:dyDescent="0.25">
      <c r="A423" s="18">
        <v>40864</v>
      </c>
      <c r="B423" s="3">
        <v>0</v>
      </c>
      <c r="C423" s="3">
        <v>42.5</v>
      </c>
    </row>
    <row r="424" spans="1:3" x14ac:dyDescent="0.25">
      <c r="A424" s="18">
        <v>40864</v>
      </c>
      <c r="B424" s="3">
        <v>1</v>
      </c>
      <c r="C424" s="3">
        <v>42.09</v>
      </c>
    </row>
    <row r="425" spans="1:3" x14ac:dyDescent="0.25">
      <c r="A425" s="18">
        <v>40864</v>
      </c>
      <c r="B425" s="3">
        <v>2</v>
      </c>
      <c r="C425" s="3">
        <v>42.11</v>
      </c>
    </row>
    <row r="426" spans="1:3" x14ac:dyDescent="0.25">
      <c r="A426" s="18">
        <v>40864</v>
      </c>
      <c r="B426" s="3">
        <v>3</v>
      </c>
      <c r="C426" s="3">
        <v>41.98</v>
      </c>
    </row>
    <row r="427" spans="1:3" x14ac:dyDescent="0.25">
      <c r="A427" s="18">
        <v>40864</v>
      </c>
      <c r="B427" s="3">
        <v>4</v>
      </c>
      <c r="C427" s="3">
        <v>42.61</v>
      </c>
    </row>
    <row r="428" spans="1:3" x14ac:dyDescent="0.25">
      <c r="A428" s="18">
        <v>40864</v>
      </c>
      <c r="B428" s="3">
        <v>5</v>
      </c>
      <c r="C428" s="3">
        <v>43.69</v>
      </c>
    </row>
    <row r="429" spans="1:3" x14ac:dyDescent="0.25">
      <c r="A429" s="18">
        <v>40864</v>
      </c>
      <c r="B429" s="3">
        <v>6</v>
      </c>
      <c r="C429" s="3">
        <v>45.83</v>
      </c>
    </row>
    <row r="430" spans="1:3" x14ac:dyDescent="0.25">
      <c r="A430" s="18">
        <v>40864</v>
      </c>
      <c r="B430" s="3">
        <v>7</v>
      </c>
      <c r="C430" s="3">
        <v>46.37</v>
      </c>
    </row>
    <row r="431" spans="1:3" x14ac:dyDescent="0.25">
      <c r="A431" s="18">
        <v>40864</v>
      </c>
      <c r="B431" s="3">
        <v>8</v>
      </c>
      <c r="C431" s="3">
        <v>47.19</v>
      </c>
    </row>
    <row r="432" spans="1:3" x14ac:dyDescent="0.25">
      <c r="A432" s="18">
        <v>40864</v>
      </c>
      <c r="B432" s="3">
        <v>9</v>
      </c>
      <c r="C432" s="3">
        <v>46.29</v>
      </c>
    </row>
    <row r="433" spans="1:3" x14ac:dyDescent="0.25">
      <c r="A433" s="18">
        <v>40864</v>
      </c>
      <c r="B433" s="3">
        <v>10</v>
      </c>
      <c r="C433" s="3">
        <v>46.25</v>
      </c>
    </row>
    <row r="434" spans="1:3" x14ac:dyDescent="0.25">
      <c r="A434" s="18">
        <v>40864</v>
      </c>
      <c r="B434" s="3">
        <v>11</v>
      </c>
      <c r="C434" s="3">
        <v>46.29</v>
      </c>
    </row>
    <row r="435" spans="1:3" x14ac:dyDescent="0.25">
      <c r="A435" s="18">
        <v>40864</v>
      </c>
      <c r="B435" s="3">
        <v>12</v>
      </c>
      <c r="C435" s="3">
        <v>46.32</v>
      </c>
    </row>
    <row r="436" spans="1:3" x14ac:dyDescent="0.25">
      <c r="A436" s="18">
        <v>40864</v>
      </c>
      <c r="B436" s="3">
        <v>13</v>
      </c>
      <c r="C436" s="3">
        <v>46.27</v>
      </c>
    </row>
    <row r="437" spans="1:3" x14ac:dyDescent="0.25">
      <c r="A437" s="18">
        <v>40864</v>
      </c>
      <c r="B437" s="3">
        <v>14</v>
      </c>
      <c r="C437" s="3">
        <v>46.31</v>
      </c>
    </row>
    <row r="438" spans="1:3" x14ac:dyDescent="0.25">
      <c r="A438" s="18">
        <v>40864</v>
      </c>
      <c r="B438" s="3">
        <v>15</v>
      </c>
      <c r="C438" s="3">
        <v>47.82</v>
      </c>
    </row>
    <row r="439" spans="1:3" x14ac:dyDescent="0.25">
      <c r="A439" s="18">
        <v>40864</v>
      </c>
      <c r="B439" s="3">
        <v>16</v>
      </c>
      <c r="C439" s="3">
        <v>50.76</v>
      </c>
    </row>
    <row r="440" spans="1:3" x14ac:dyDescent="0.25">
      <c r="A440" s="18">
        <v>40864</v>
      </c>
      <c r="B440" s="3">
        <v>17</v>
      </c>
      <c r="C440" s="3">
        <v>55.95</v>
      </c>
    </row>
    <row r="441" spans="1:3" x14ac:dyDescent="0.25">
      <c r="A441" s="18">
        <v>40864</v>
      </c>
      <c r="B441" s="3">
        <v>18</v>
      </c>
      <c r="C441" s="3">
        <v>54.91</v>
      </c>
    </row>
    <row r="442" spans="1:3" x14ac:dyDescent="0.25">
      <c r="A442" s="18">
        <v>40864</v>
      </c>
      <c r="B442" s="3">
        <v>19</v>
      </c>
      <c r="C442" s="3">
        <v>48.93</v>
      </c>
    </row>
    <row r="443" spans="1:3" x14ac:dyDescent="0.25">
      <c r="A443" s="18">
        <v>40864</v>
      </c>
      <c r="B443" s="3">
        <v>20</v>
      </c>
      <c r="C443" s="3">
        <v>46.28</v>
      </c>
    </row>
    <row r="444" spans="1:3" x14ac:dyDescent="0.25">
      <c r="A444" s="18">
        <v>40864</v>
      </c>
      <c r="B444" s="3">
        <v>21</v>
      </c>
      <c r="C444" s="3">
        <v>46.22</v>
      </c>
    </row>
    <row r="445" spans="1:3" x14ac:dyDescent="0.25">
      <c r="A445" s="18">
        <v>40864</v>
      </c>
      <c r="B445" s="3">
        <v>22</v>
      </c>
      <c r="C445" s="3">
        <v>45.01</v>
      </c>
    </row>
    <row r="446" spans="1:3" x14ac:dyDescent="0.25">
      <c r="A446" s="18">
        <v>40864</v>
      </c>
      <c r="B446" s="3">
        <v>23</v>
      </c>
      <c r="C446" s="3">
        <v>43.6</v>
      </c>
    </row>
    <row r="447" spans="1:3" x14ac:dyDescent="0.25">
      <c r="A447" s="18">
        <v>40865</v>
      </c>
      <c r="B447" s="3">
        <v>0</v>
      </c>
      <c r="C447" s="3">
        <v>42.69</v>
      </c>
    </row>
    <row r="448" spans="1:3" x14ac:dyDescent="0.25">
      <c r="A448" s="18">
        <v>40865</v>
      </c>
      <c r="B448" s="3">
        <v>1</v>
      </c>
      <c r="C448" s="3">
        <v>42.25</v>
      </c>
    </row>
    <row r="449" spans="1:3" x14ac:dyDescent="0.25">
      <c r="A449" s="18">
        <v>40865</v>
      </c>
      <c r="B449" s="3">
        <v>2</v>
      </c>
      <c r="C449" s="3">
        <v>41.78</v>
      </c>
    </row>
    <row r="450" spans="1:3" x14ac:dyDescent="0.25">
      <c r="A450" s="18">
        <v>40865</v>
      </c>
      <c r="B450" s="3">
        <v>3</v>
      </c>
      <c r="C450" s="3">
        <v>41.26</v>
      </c>
    </row>
    <row r="451" spans="1:3" x14ac:dyDescent="0.25">
      <c r="A451" s="18">
        <v>40865</v>
      </c>
      <c r="B451" s="3">
        <v>4</v>
      </c>
      <c r="C451" s="3">
        <v>41.08</v>
      </c>
    </row>
    <row r="452" spans="1:3" x14ac:dyDescent="0.25">
      <c r="A452" s="18">
        <v>40865</v>
      </c>
      <c r="B452" s="3">
        <v>5</v>
      </c>
      <c r="C452" s="3">
        <v>43.35</v>
      </c>
    </row>
    <row r="453" spans="1:3" x14ac:dyDescent="0.25">
      <c r="A453" s="18">
        <v>40865</v>
      </c>
      <c r="B453" s="3">
        <v>6</v>
      </c>
      <c r="C453" s="3">
        <v>46.82</v>
      </c>
    </row>
    <row r="454" spans="1:3" x14ac:dyDescent="0.25">
      <c r="A454" s="18">
        <v>40865</v>
      </c>
      <c r="B454" s="3">
        <v>7</v>
      </c>
      <c r="C454" s="3">
        <v>49.97</v>
      </c>
    </row>
    <row r="455" spans="1:3" x14ac:dyDescent="0.25">
      <c r="A455" s="18">
        <v>40865</v>
      </c>
      <c r="B455" s="3">
        <v>8</v>
      </c>
      <c r="C455" s="3">
        <v>50.87</v>
      </c>
    </row>
    <row r="456" spans="1:3" x14ac:dyDescent="0.25">
      <c r="A456" s="18">
        <v>40865</v>
      </c>
      <c r="B456" s="3">
        <v>9</v>
      </c>
      <c r="C456" s="3">
        <v>49.33</v>
      </c>
    </row>
    <row r="457" spans="1:3" x14ac:dyDescent="0.25">
      <c r="A457" s="18">
        <v>40865</v>
      </c>
      <c r="B457" s="3">
        <v>10</v>
      </c>
      <c r="C457" s="3">
        <v>48.19</v>
      </c>
    </row>
    <row r="458" spans="1:3" x14ac:dyDescent="0.25">
      <c r="A458" s="18">
        <v>40865</v>
      </c>
      <c r="B458" s="3">
        <v>11</v>
      </c>
      <c r="C458" s="3">
        <v>47.63</v>
      </c>
    </row>
    <row r="459" spans="1:3" x14ac:dyDescent="0.25">
      <c r="A459" s="18">
        <v>40865</v>
      </c>
      <c r="B459" s="3">
        <v>12</v>
      </c>
      <c r="C459" s="3">
        <v>46.66</v>
      </c>
    </row>
    <row r="460" spans="1:3" x14ac:dyDescent="0.25">
      <c r="A460" s="18">
        <v>40865</v>
      </c>
      <c r="B460" s="3">
        <v>13</v>
      </c>
      <c r="C460" s="3">
        <v>45.63</v>
      </c>
    </row>
    <row r="461" spans="1:3" x14ac:dyDescent="0.25">
      <c r="A461" s="18">
        <v>40865</v>
      </c>
      <c r="B461" s="3">
        <v>14</v>
      </c>
      <c r="C461" s="3">
        <v>45.05</v>
      </c>
    </row>
    <row r="462" spans="1:3" x14ac:dyDescent="0.25">
      <c r="A462" s="18">
        <v>40865</v>
      </c>
      <c r="B462" s="3">
        <v>15</v>
      </c>
      <c r="C462" s="3">
        <v>45.3</v>
      </c>
    </row>
    <row r="463" spans="1:3" x14ac:dyDescent="0.25">
      <c r="A463" s="18">
        <v>40865</v>
      </c>
      <c r="B463" s="3">
        <v>16</v>
      </c>
      <c r="C463" s="3">
        <v>45.99</v>
      </c>
    </row>
    <row r="464" spans="1:3" x14ac:dyDescent="0.25">
      <c r="A464" s="18">
        <v>40865</v>
      </c>
      <c r="B464" s="3">
        <v>17</v>
      </c>
      <c r="C464" s="3">
        <v>46.21</v>
      </c>
    </row>
    <row r="465" spans="1:3" x14ac:dyDescent="0.25">
      <c r="A465" s="18">
        <v>40865</v>
      </c>
      <c r="B465" s="3">
        <v>18</v>
      </c>
      <c r="C465" s="3">
        <v>45.75</v>
      </c>
    </row>
    <row r="466" spans="1:3" x14ac:dyDescent="0.25">
      <c r="A466" s="18">
        <v>40865</v>
      </c>
      <c r="B466" s="3">
        <v>19</v>
      </c>
      <c r="C466" s="3">
        <v>44.06</v>
      </c>
    </row>
    <row r="467" spans="1:3" x14ac:dyDescent="0.25">
      <c r="A467" s="18">
        <v>40865</v>
      </c>
      <c r="B467" s="3">
        <v>20</v>
      </c>
      <c r="C467" s="3">
        <v>43.08</v>
      </c>
    </row>
    <row r="468" spans="1:3" x14ac:dyDescent="0.25">
      <c r="A468" s="18">
        <v>40865</v>
      </c>
      <c r="B468" s="3">
        <v>21</v>
      </c>
      <c r="C468" s="3">
        <v>42.55</v>
      </c>
    </row>
    <row r="469" spans="1:3" x14ac:dyDescent="0.25">
      <c r="A469" s="18">
        <v>40865</v>
      </c>
      <c r="B469" s="3">
        <v>22</v>
      </c>
      <c r="C469" s="3">
        <v>42.23</v>
      </c>
    </row>
    <row r="470" spans="1:3" x14ac:dyDescent="0.25">
      <c r="A470" s="18">
        <v>40865</v>
      </c>
      <c r="B470" s="3">
        <v>23</v>
      </c>
      <c r="C470" s="3">
        <v>41.37</v>
      </c>
    </row>
    <row r="471" spans="1:3" x14ac:dyDescent="0.25">
      <c r="A471" s="18">
        <v>40866</v>
      </c>
      <c r="B471" s="3">
        <v>0</v>
      </c>
      <c r="C471" s="3">
        <v>40.94</v>
      </c>
    </row>
    <row r="472" spans="1:3" x14ac:dyDescent="0.25">
      <c r="A472" s="18">
        <v>40866</v>
      </c>
      <c r="B472" s="3">
        <v>1</v>
      </c>
      <c r="C472" s="3">
        <v>40.57</v>
      </c>
    </row>
    <row r="473" spans="1:3" x14ac:dyDescent="0.25">
      <c r="A473" s="18">
        <v>40866</v>
      </c>
      <c r="B473" s="3">
        <v>2</v>
      </c>
      <c r="C473" s="3">
        <v>40.32</v>
      </c>
    </row>
    <row r="474" spans="1:3" x14ac:dyDescent="0.25">
      <c r="A474" s="18">
        <v>40866</v>
      </c>
      <c r="B474" s="3">
        <v>3</v>
      </c>
      <c r="C474" s="3">
        <v>40.229999999999997</v>
      </c>
    </row>
    <row r="475" spans="1:3" x14ac:dyDescent="0.25">
      <c r="A475" s="18">
        <v>40866</v>
      </c>
      <c r="B475" s="3">
        <v>4</v>
      </c>
      <c r="C475" s="3">
        <v>40.39</v>
      </c>
    </row>
    <row r="476" spans="1:3" x14ac:dyDescent="0.25">
      <c r="A476" s="18">
        <v>40866</v>
      </c>
      <c r="B476" s="3">
        <v>5</v>
      </c>
      <c r="C476" s="3">
        <v>40.93</v>
      </c>
    </row>
    <row r="477" spans="1:3" x14ac:dyDescent="0.25">
      <c r="A477" s="18">
        <v>40866</v>
      </c>
      <c r="B477" s="3">
        <v>6</v>
      </c>
      <c r="C477" s="3">
        <v>41.57</v>
      </c>
    </row>
    <row r="478" spans="1:3" x14ac:dyDescent="0.25">
      <c r="A478" s="18">
        <v>40866</v>
      </c>
      <c r="B478" s="3">
        <v>7</v>
      </c>
      <c r="C478" s="3">
        <v>41.74</v>
      </c>
    </row>
    <row r="479" spans="1:3" x14ac:dyDescent="0.25">
      <c r="A479" s="18">
        <v>40866</v>
      </c>
      <c r="B479" s="3">
        <v>8</v>
      </c>
      <c r="C479" s="3">
        <v>42.08</v>
      </c>
    </row>
    <row r="480" spans="1:3" x14ac:dyDescent="0.25">
      <c r="A480" s="18">
        <v>40866</v>
      </c>
      <c r="B480" s="3">
        <v>9</v>
      </c>
      <c r="C480" s="3">
        <v>42.33</v>
      </c>
    </row>
    <row r="481" spans="1:3" x14ac:dyDescent="0.25">
      <c r="A481" s="18">
        <v>40866</v>
      </c>
      <c r="B481" s="3">
        <v>10</v>
      </c>
      <c r="C481" s="3">
        <v>42.58</v>
      </c>
    </row>
    <row r="482" spans="1:3" x14ac:dyDescent="0.25">
      <c r="A482" s="18">
        <v>40866</v>
      </c>
      <c r="B482" s="3">
        <v>11</v>
      </c>
      <c r="C482" s="3">
        <v>42.57</v>
      </c>
    </row>
    <row r="483" spans="1:3" x14ac:dyDescent="0.25">
      <c r="A483" s="18">
        <v>40866</v>
      </c>
      <c r="B483" s="3">
        <v>12</v>
      </c>
      <c r="C483" s="3">
        <v>42.55</v>
      </c>
    </row>
    <row r="484" spans="1:3" x14ac:dyDescent="0.25">
      <c r="A484" s="18">
        <v>40866</v>
      </c>
      <c r="B484" s="3">
        <v>13</v>
      </c>
      <c r="C484" s="3">
        <v>42.4</v>
      </c>
    </row>
    <row r="485" spans="1:3" x14ac:dyDescent="0.25">
      <c r="A485" s="18">
        <v>40866</v>
      </c>
      <c r="B485" s="3">
        <v>14</v>
      </c>
      <c r="C485" s="3">
        <v>42.35</v>
      </c>
    </row>
    <row r="486" spans="1:3" x14ac:dyDescent="0.25">
      <c r="A486" s="18">
        <v>40866</v>
      </c>
      <c r="B486" s="3">
        <v>15</v>
      </c>
      <c r="C486" s="3">
        <v>42.7</v>
      </c>
    </row>
    <row r="487" spans="1:3" x14ac:dyDescent="0.25">
      <c r="A487" s="18">
        <v>40866</v>
      </c>
      <c r="B487" s="3">
        <v>16</v>
      </c>
      <c r="C487" s="3">
        <v>43.37</v>
      </c>
    </row>
    <row r="488" spans="1:3" x14ac:dyDescent="0.25">
      <c r="A488" s="18">
        <v>40866</v>
      </c>
      <c r="B488" s="3">
        <v>17</v>
      </c>
      <c r="C488" s="3">
        <v>43.94</v>
      </c>
    </row>
    <row r="489" spans="1:3" x14ac:dyDescent="0.25">
      <c r="A489" s="18">
        <v>40866</v>
      </c>
      <c r="B489" s="3">
        <v>18</v>
      </c>
      <c r="C489" s="3">
        <v>43.74</v>
      </c>
    </row>
    <row r="490" spans="1:3" x14ac:dyDescent="0.25">
      <c r="A490" s="18">
        <v>40866</v>
      </c>
      <c r="B490" s="3">
        <v>19</v>
      </c>
      <c r="C490" s="3">
        <v>42.99</v>
      </c>
    </row>
    <row r="491" spans="1:3" x14ac:dyDescent="0.25">
      <c r="A491" s="18">
        <v>40866</v>
      </c>
      <c r="B491" s="3">
        <v>20</v>
      </c>
      <c r="C491" s="3">
        <v>42.63</v>
      </c>
    </row>
    <row r="492" spans="1:3" x14ac:dyDescent="0.25">
      <c r="A492" s="18">
        <v>40866</v>
      </c>
      <c r="B492" s="3">
        <v>21</v>
      </c>
      <c r="C492" s="3">
        <v>42.52</v>
      </c>
    </row>
    <row r="493" spans="1:3" x14ac:dyDescent="0.25">
      <c r="A493" s="18">
        <v>40866</v>
      </c>
      <c r="B493" s="3">
        <v>22</v>
      </c>
      <c r="C493" s="3">
        <v>42.39</v>
      </c>
    </row>
    <row r="494" spans="1:3" x14ac:dyDescent="0.25">
      <c r="A494" s="18">
        <v>40866</v>
      </c>
      <c r="B494" s="3">
        <v>23</v>
      </c>
      <c r="C494" s="3">
        <v>41.81</v>
      </c>
    </row>
    <row r="495" spans="1:3" x14ac:dyDescent="0.25">
      <c r="A495" s="18">
        <v>40867</v>
      </c>
      <c r="B495" s="3">
        <v>0</v>
      </c>
      <c r="C495" s="3">
        <v>41.78</v>
      </c>
    </row>
    <row r="496" spans="1:3" x14ac:dyDescent="0.25">
      <c r="A496" s="18">
        <v>40867</v>
      </c>
      <c r="B496" s="3">
        <v>1</v>
      </c>
      <c r="C496" s="3">
        <v>41.16</v>
      </c>
    </row>
    <row r="497" spans="1:3" x14ac:dyDescent="0.25">
      <c r="A497" s="18">
        <v>40867</v>
      </c>
      <c r="B497" s="3">
        <v>2</v>
      </c>
      <c r="C497" s="3">
        <v>40.9</v>
      </c>
    </row>
    <row r="498" spans="1:3" x14ac:dyDescent="0.25">
      <c r="A498" s="18">
        <v>40867</v>
      </c>
      <c r="B498" s="3">
        <v>3</v>
      </c>
      <c r="C498" s="3">
        <v>40.869999999999997</v>
      </c>
    </row>
    <row r="499" spans="1:3" x14ac:dyDescent="0.25">
      <c r="A499" s="18">
        <v>40867</v>
      </c>
      <c r="B499" s="3">
        <v>4</v>
      </c>
      <c r="C499" s="3">
        <v>40.04</v>
      </c>
    </row>
    <row r="500" spans="1:3" x14ac:dyDescent="0.25">
      <c r="A500" s="18">
        <v>40867</v>
      </c>
      <c r="B500" s="3">
        <v>5</v>
      </c>
      <c r="C500" s="3">
        <v>39.590000000000003</v>
      </c>
    </row>
    <row r="501" spans="1:3" x14ac:dyDescent="0.25">
      <c r="A501" s="18">
        <v>40867</v>
      </c>
      <c r="B501" s="3">
        <v>6</v>
      </c>
      <c r="C501" s="3">
        <v>40.659999999999997</v>
      </c>
    </row>
    <row r="502" spans="1:3" x14ac:dyDescent="0.25">
      <c r="A502" s="18">
        <v>40867</v>
      </c>
      <c r="B502" s="3">
        <v>7</v>
      </c>
      <c r="C502" s="3">
        <v>40.78</v>
      </c>
    </row>
    <row r="503" spans="1:3" x14ac:dyDescent="0.25">
      <c r="A503" s="18">
        <v>40867</v>
      </c>
      <c r="B503" s="3">
        <v>8</v>
      </c>
      <c r="C503" s="3">
        <v>41.36</v>
      </c>
    </row>
    <row r="504" spans="1:3" x14ac:dyDescent="0.25">
      <c r="A504" s="18">
        <v>40867</v>
      </c>
      <c r="B504" s="3">
        <v>9</v>
      </c>
      <c r="C504" s="3">
        <v>42.01</v>
      </c>
    </row>
    <row r="505" spans="1:3" x14ac:dyDescent="0.25">
      <c r="A505" s="18">
        <v>40867</v>
      </c>
      <c r="B505" s="3">
        <v>10</v>
      </c>
      <c r="C505" s="3">
        <v>42.38</v>
      </c>
    </row>
    <row r="506" spans="1:3" x14ac:dyDescent="0.25">
      <c r="A506" s="18">
        <v>40867</v>
      </c>
      <c r="B506" s="3">
        <v>11</v>
      </c>
      <c r="C506" s="3">
        <v>42.57</v>
      </c>
    </row>
    <row r="507" spans="1:3" x14ac:dyDescent="0.25">
      <c r="A507" s="18">
        <v>40867</v>
      </c>
      <c r="B507" s="3">
        <v>12</v>
      </c>
      <c r="C507" s="3">
        <v>42.59</v>
      </c>
    </row>
    <row r="508" spans="1:3" x14ac:dyDescent="0.25">
      <c r="A508" s="18">
        <v>40867</v>
      </c>
      <c r="B508" s="3">
        <v>13</v>
      </c>
      <c r="C508" s="3">
        <v>42.44</v>
      </c>
    </row>
    <row r="509" spans="1:3" x14ac:dyDescent="0.25">
      <c r="A509" s="18">
        <v>40867</v>
      </c>
      <c r="B509" s="3">
        <v>14</v>
      </c>
      <c r="C509" s="3">
        <v>42.45</v>
      </c>
    </row>
    <row r="510" spans="1:3" x14ac:dyDescent="0.25">
      <c r="A510" s="18">
        <v>40867</v>
      </c>
      <c r="B510" s="3">
        <v>15</v>
      </c>
      <c r="C510" s="3">
        <v>42.59</v>
      </c>
    </row>
    <row r="511" spans="1:3" x14ac:dyDescent="0.25">
      <c r="A511" s="18">
        <v>40867</v>
      </c>
      <c r="B511" s="3">
        <v>16</v>
      </c>
      <c r="C511" s="3">
        <v>42.91</v>
      </c>
    </row>
    <row r="512" spans="1:3" x14ac:dyDescent="0.25">
      <c r="A512" s="18">
        <v>40867</v>
      </c>
      <c r="B512" s="3">
        <v>17</v>
      </c>
      <c r="C512" s="3">
        <v>43.11</v>
      </c>
    </row>
    <row r="513" spans="1:3" x14ac:dyDescent="0.25">
      <c r="A513" s="18">
        <v>40867</v>
      </c>
      <c r="B513" s="3">
        <v>18</v>
      </c>
      <c r="C513" s="3">
        <v>43.13</v>
      </c>
    </row>
    <row r="514" spans="1:3" x14ac:dyDescent="0.25">
      <c r="A514" s="18">
        <v>40867</v>
      </c>
      <c r="B514" s="3">
        <v>19</v>
      </c>
      <c r="C514" s="3">
        <v>42.89</v>
      </c>
    </row>
    <row r="515" spans="1:3" x14ac:dyDescent="0.25">
      <c r="A515" s="18">
        <v>40867</v>
      </c>
      <c r="B515" s="3">
        <v>20</v>
      </c>
      <c r="C515" s="3">
        <v>42.87</v>
      </c>
    </row>
    <row r="516" spans="1:3" x14ac:dyDescent="0.25">
      <c r="A516" s="18">
        <v>40867</v>
      </c>
      <c r="B516" s="3">
        <v>21</v>
      </c>
      <c r="C516" s="3">
        <v>42.65</v>
      </c>
    </row>
    <row r="517" spans="1:3" x14ac:dyDescent="0.25">
      <c r="A517" s="18">
        <v>40867</v>
      </c>
      <c r="B517" s="3">
        <v>22</v>
      </c>
      <c r="C517" s="3">
        <v>42.45</v>
      </c>
    </row>
    <row r="518" spans="1:3" x14ac:dyDescent="0.25">
      <c r="A518" s="18">
        <v>40867</v>
      </c>
      <c r="B518" s="3">
        <v>23</v>
      </c>
      <c r="C518" s="3">
        <v>41.91</v>
      </c>
    </row>
    <row r="519" spans="1:3" x14ac:dyDescent="0.25">
      <c r="A519" s="18">
        <v>40868</v>
      </c>
      <c r="B519" s="3">
        <v>0</v>
      </c>
      <c r="C519" s="3">
        <v>39.99</v>
      </c>
    </row>
    <row r="520" spans="1:3" x14ac:dyDescent="0.25">
      <c r="A520" s="18">
        <v>40868</v>
      </c>
      <c r="B520" s="3">
        <v>1</v>
      </c>
      <c r="C520" s="3">
        <v>39.729999999999997</v>
      </c>
    </row>
    <row r="521" spans="1:3" x14ac:dyDescent="0.25">
      <c r="A521" s="18">
        <v>40868</v>
      </c>
      <c r="B521" s="3">
        <v>2</v>
      </c>
      <c r="C521" s="3">
        <v>39.76</v>
      </c>
    </row>
    <row r="522" spans="1:3" x14ac:dyDescent="0.25">
      <c r="A522" s="18">
        <v>40868</v>
      </c>
      <c r="B522" s="3">
        <v>3</v>
      </c>
      <c r="C522" s="3">
        <v>39.81</v>
      </c>
    </row>
    <row r="523" spans="1:3" x14ac:dyDescent="0.25">
      <c r="A523" s="18">
        <v>40868</v>
      </c>
      <c r="B523" s="3">
        <v>4</v>
      </c>
      <c r="C523" s="3">
        <v>39.94</v>
      </c>
    </row>
    <row r="524" spans="1:3" x14ac:dyDescent="0.25">
      <c r="A524" s="18">
        <v>40868</v>
      </c>
      <c r="B524" s="3">
        <v>5</v>
      </c>
      <c r="C524" s="3">
        <v>41.94</v>
      </c>
    </row>
    <row r="525" spans="1:3" x14ac:dyDescent="0.25">
      <c r="A525" s="18">
        <v>40868</v>
      </c>
      <c r="B525" s="3">
        <v>6</v>
      </c>
      <c r="C525" s="3">
        <v>43.01</v>
      </c>
    </row>
    <row r="526" spans="1:3" x14ac:dyDescent="0.25">
      <c r="A526" s="18">
        <v>40868</v>
      </c>
      <c r="B526" s="3">
        <v>7</v>
      </c>
      <c r="C526" s="3">
        <v>44.13</v>
      </c>
    </row>
    <row r="527" spans="1:3" x14ac:dyDescent="0.25">
      <c r="A527" s="18">
        <v>40868</v>
      </c>
      <c r="B527" s="3">
        <v>8</v>
      </c>
      <c r="C527" s="3">
        <v>43.89</v>
      </c>
    </row>
    <row r="528" spans="1:3" x14ac:dyDescent="0.25">
      <c r="A528" s="18">
        <v>40868</v>
      </c>
      <c r="B528" s="3">
        <v>9</v>
      </c>
      <c r="C528" s="3">
        <v>43.74</v>
      </c>
    </row>
    <row r="529" spans="1:3" x14ac:dyDescent="0.25">
      <c r="A529" s="18">
        <v>40868</v>
      </c>
      <c r="B529" s="3">
        <v>10</v>
      </c>
      <c r="C529" s="3">
        <v>43.95</v>
      </c>
    </row>
    <row r="530" spans="1:3" x14ac:dyDescent="0.25">
      <c r="A530" s="18">
        <v>40868</v>
      </c>
      <c r="B530" s="3">
        <v>11</v>
      </c>
      <c r="C530" s="3">
        <v>43.87</v>
      </c>
    </row>
    <row r="531" spans="1:3" x14ac:dyDescent="0.25">
      <c r="A531" s="18">
        <v>40868</v>
      </c>
      <c r="B531" s="3">
        <v>12</v>
      </c>
      <c r="C531" s="3">
        <v>43.89</v>
      </c>
    </row>
    <row r="532" spans="1:3" x14ac:dyDescent="0.25">
      <c r="A532" s="18">
        <v>40868</v>
      </c>
      <c r="B532" s="3">
        <v>13</v>
      </c>
      <c r="C532" s="3">
        <v>43.86</v>
      </c>
    </row>
    <row r="533" spans="1:3" x14ac:dyDescent="0.25">
      <c r="A533" s="18">
        <v>40868</v>
      </c>
      <c r="B533" s="3">
        <v>14</v>
      </c>
      <c r="C533" s="3">
        <v>43.91</v>
      </c>
    </row>
    <row r="534" spans="1:3" x14ac:dyDescent="0.25">
      <c r="A534" s="18">
        <v>40868</v>
      </c>
      <c r="B534" s="3">
        <v>15</v>
      </c>
      <c r="C534" s="3">
        <v>44.6</v>
      </c>
    </row>
    <row r="535" spans="1:3" x14ac:dyDescent="0.25">
      <c r="A535" s="18">
        <v>40868</v>
      </c>
      <c r="B535" s="3">
        <v>16</v>
      </c>
      <c r="C535" s="3">
        <v>45.37</v>
      </c>
    </row>
    <row r="536" spans="1:3" x14ac:dyDescent="0.25">
      <c r="A536" s="18">
        <v>40868</v>
      </c>
      <c r="B536" s="3">
        <v>17</v>
      </c>
      <c r="C536" s="3">
        <v>46.12</v>
      </c>
    </row>
    <row r="537" spans="1:3" x14ac:dyDescent="0.25">
      <c r="A537" s="18">
        <v>40868</v>
      </c>
      <c r="B537" s="3">
        <v>18</v>
      </c>
      <c r="C537" s="3">
        <v>45.04</v>
      </c>
    </row>
    <row r="538" spans="1:3" x14ac:dyDescent="0.25">
      <c r="A538" s="18">
        <v>40868</v>
      </c>
      <c r="B538" s="3">
        <v>19</v>
      </c>
      <c r="C538" s="3">
        <v>43.44</v>
      </c>
    </row>
    <row r="539" spans="1:3" x14ac:dyDescent="0.25">
      <c r="A539" s="18">
        <v>40868</v>
      </c>
      <c r="B539" s="3">
        <v>20</v>
      </c>
      <c r="C539" s="3">
        <v>42.79</v>
      </c>
    </row>
    <row r="540" spans="1:3" x14ac:dyDescent="0.25">
      <c r="A540" s="18">
        <v>40868</v>
      </c>
      <c r="B540" s="3">
        <v>21</v>
      </c>
      <c r="C540" s="3">
        <v>42.74</v>
      </c>
    </row>
    <row r="541" spans="1:3" x14ac:dyDescent="0.25">
      <c r="A541" s="18">
        <v>40868</v>
      </c>
      <c r="B541" s="3">
        <v>22</v>
      </c>
      <c r="C541" s="3">
        <v>41.97</v>
      </c>
    </row>
    <row r="542" spans="1:3" x14ac:dyDescent="0.25">
      <c r="A542" s="18">
        <v>40868</v>
      </c>
      <c r="B542" s="3">
        <v>23</v>
      </c>
      <c r="C542" s="3">
        <v>41.07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Asian</vt:lpstr>
      <vt:lpstr>Asian Struct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Robin Smith</cp:lastModifiedBy>
  <dcterms:created xsi:type="dcterms:W3CDTF">2013-08-22T06:34:41Z</dcterms:created>
  <dcterms:modified xsi:type="dcterms:W3CDTF">2015-06-03T08:17:17Z</dcterms:modified>
</cp:coreProperties>
</file>